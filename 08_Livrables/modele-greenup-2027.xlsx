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Cessions" sheetId="6" state="visible" r:id="rId8"/>
    <sheet name="Trajectoire" sheetId="7" state="visible" r:id="rId9"/>
    <sheet name="Sensibilité" sheetId="8" state="visible" r:id="rId10"/>
    <sheet name="Segments" sheetId="9" state="visible" r:id="rId11"/>
    <sheet name="Booster" sheetId="10" state="visible" r:id="rId12"/>
    <sheet name="ESG" sheetId="11" state="visible" r:id="rId13"/>
    <sheet name="Cibles" sheetId="12" state="visible" r:id="rId14"/>
    <sheet name="Vérifications" sheetId="13" state="visible" r:id="rId15"/>
  </sheets>
  <definedNames>
    <definedName function="false" hidden="true" localSheetId="1" name="_xlnm._FilterDatabase" vbProcedure="false">Entrées!$A$5:$L$264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<sst xmlns="http://schemas.openxmlformats.org/spreadsheetml/2006/main" count="3865" uniqueCount="1552">
  <si>
    <t xml:space="preserve">Modèle GreenUp 2027 — Veolia, sujet 2 du capstone EDHEC</t>
  </si>
  <si>
    <t xml:space="preserve">Combien Veolia peut-elle encore acheter en déchets dangereux sans dépasser son plafond de levier ?</t>
  </si>
  <si>
    <t xml:space="preserve">Résultats du scénario central</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</si>
  <si>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</si>
  <si>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</si>
  <si>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</si>
  <si>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</si>
  <si>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</si>
  <si>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</si>
  <si>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</si>
  <si>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</si>
  <si>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</si>
  <si>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</si>
  <si>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</si>
  <si>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</si>
  <si>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</si>
  <si>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</si>
  <si>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Contrôles bloquants</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</si>
  <si>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</si>
  <si>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</si>
  <si>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</si>
  <si>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</si>
  <si>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</si>
  <si>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</si>
  <si>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</si>
  <si>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</si>
  <si>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</si>
  <si>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</si>
  <si>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</si>
  <si>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</si>
  <si>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</si>
  <si>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</si>
  <si>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</si>
  <si>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</si>
  <si>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</si>
  <si>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</si>
  <si>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</si>
  <si>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t>
  </si>
  <si>
    <t xml:space="preserve">Définition de Veolia, ratios publiés reproduits, trois lectures du départ au 30/06/2026.</t>
  </si>
  <si>
    <t xml:space="preserve">3. Capacité et sensibilité</t>
  </si>
  <si>
    <t xml:space="preserve">Trajectoire, Sensibilité, Cessions §C</t>
  </si>
  <si>
    <t xml:space="preserve">FCF, calendrier des cessions, ce qui bouge le plus la marge.</t>
  </si>
  <si>
    <t xml:space="preserve">4. L'écart et les comparables</t>
  </si>
  <si>
    <t xml:space="preserve">Segments, Booster</t>
  </si>
  <si>
    <t xml:space="preserve">D'où viennent les 8 Md€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</si>
  <si>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</si>
  <si>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</si>
  <si>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</si>
  <si>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</si>
  <si>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</si>
  <si>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</si>
  <si>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</si>
  <si>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</si>
  <si>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</si>
  <si>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</si>
  <si>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</si>
  <si>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</si>
  <si>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Registre : chiffres versés dans dataroom.is42.fr le 1er octobre 2026. Aucun n'a encore été relu par un tiers (Vérifications, ligne 14).</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</si>
  <si>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</si>
  <si>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</si>
  <si>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</si>
  <si>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</si>
  <si>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</si>
  <si>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</si>
  <si>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</si>
  <si>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</si>
  <si>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</si>
  <si>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</si>
  <si>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</si>
  <si>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</si>
  <si>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</si>
  <si>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</si>
  <si>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</si>
  <si>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</si>
  <si>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</si>
  <si>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</si>
  <si>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</si>
  <si>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</si>
  <si>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</si>
  <si>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</si>
  <si>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</si>
  <si>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</si>
  <si>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</si>
  <si>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</si>
  <si>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</si>
  <si>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</si>
  <si>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</si>
  <si>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</si>
  <si>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</si>
  <si>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</si>
  <si>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</si>
  <si>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</si>
  <si>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</si>
  <si>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</si>
  <si>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</si>
  <si>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</si>
  <si>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</si>
  <si>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</si>
  <si>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</si>
  <si>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</si>
  <si>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</si>
  <si>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</si>
  <si>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</si>
  <si>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</si>
  <si>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</si>
  <si>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</si>
  <si>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</si>
  <si>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</si>
  <si>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</si>
  <si>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</si>
  <si>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</si>
  <si>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</si>
  <si>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</si>
  <si>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</si>
  <si>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</si>
  <si>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</si>
  <si>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</si>
  <si>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</si>
  <si>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</si>
  <si>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</si>
  <si>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</si>
  <si>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</si>
  <si>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</si>
  <si>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</si>
  <si>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</si>
  <si>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</si>
  <si>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</si>
  <si>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</si>
  <si>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</si>
  <si>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</si>
  <si>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</si>
  <si>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</si>
  <si>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</si>
  <si>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</si>
  <si>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</si>
  <si>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</si>
  <si>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</si>
  <si>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</si>
  <si>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</si>
  <si>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</si>
  <si>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</si>
  <si>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</si>
  <si>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</si>
  <si>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</si>
  <si>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</si>
  <si>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</si>
  <si>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</si>
  <si>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</si>
  <si>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</si>
  <si>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</si>
  <si>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</si>
  <si>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</si>
  <si>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</si>
  <si>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</si>
  <si>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</si>
  <si>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</si>
  <si>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</si>
  <si>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</si>
  <si>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</si>
  <si>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</si>
  <si>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</si>
  <si>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</si>
  <si>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</si>
  <si>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</si>
  <si>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</si>
  <si>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</si>
  <si>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</si>
  <si>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</si>
  <si>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</si>
  <si>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</si>
  <si>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</si>
  <si>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</si>
  <si>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</si>
  <si>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</si>
  <si>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</si>
  <si>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</si>
  <si>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</si>
  <si>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</si>
  <si>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</si>
  <si>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</si>
  <si>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</si>
  <si>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</si>
  <si>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</si>
  <si>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</si>
  <si>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</si>
  <si>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</si>
  <si>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</si>
  <si>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</si>
  <si>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</si>
  <si>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</si>
  <si>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</si>
  <si>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</si>
  <si>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</si>
  <si>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</si>
  <si>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</si>
  <si>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</si>
  <si>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</si>
  <si>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</si>
  <si>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</si>
  <si>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</si>
  <si>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</si>
  <si>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</si>
  <si>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</si>
  <si>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</si>
  <si>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</si>
  <si>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</si>
  <si>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</si>
  <si>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</si>
  <si>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</si>
  <si>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</si>
  <si>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</si>
  <si>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</si>
  <si>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</si>
  <si>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</si>
  <si>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</si>
  <si>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</si>
  <si>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</si>
  <si>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</si>
  <si>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</si>
  <si>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</si>
  <si>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</si>
  <si>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</si>
  <si>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</si>
  <si>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</si>
  <si>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</si>
  <si>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</si>
  <si>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</si>
  <si>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</si>
  <si>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</si>
  <si>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</si>
  <si>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</si>
  <si>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</si>
  <si>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</si>
  <si>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</si>
  <si>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</si>
  <si>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</si>
  <si>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</si>
  <si>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</si>
  <si>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</si>
  <si>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</si>
  <si>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</si>
  <si>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</si>
  <si>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</si>
  <si>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</si>
  <si>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</si>
  <si>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</si>
  <si>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</si>
  <si>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</si>
  <si>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</si>
  <si>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</si>
  <si>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</si>
  <si>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</si>
  <si>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</si>
  <si>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</si>
  <si>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</si>
  <si>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</si>
  <si>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</si>
  <si>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</si>
  <si>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</si>
  <si>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</si>
  <si>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</si>
  <si>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</si>
  <si>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</si>
  <si>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</si>
  <si>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</si>
  <si>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</si>
  <si>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</si>
  <si>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</si>
  <si>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</si>
  <si>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</si>
  <si>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</si>
  <si>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</si>
  <si>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</si>
  <si>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</si>
  <si>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</si>
  <si>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</si>
  <si>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</si>
  <si>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</si>
  <si>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</si>
  <si>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</si>
  <si>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</si>
  <si>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</si>
  <si>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</si>
  <si>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</si>
  <si>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</si>
  <si>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</si>
  <si>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</si>
  <si>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</si>
  <si>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</si>
  <si>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</si>
  <si>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</si>
  <si>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</si>
  <si>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</si>
  <si>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</si>
  <si>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</si>
  <si>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</si>
  <si>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</si>
  <si>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</si>
  <si>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</si>
  <si>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</si>
  <si>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</si>
  <si>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</si>
  <si>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</si>
  <si>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</si>
  <si>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</si>
  <si>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</si>
  <si>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</si>
  <si>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</si>
  <si>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</si>
  <si>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</si>
  <si>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</si>
  <si>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</si>
  <si>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</si>
  <si>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</si>
  <si>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</si>
  <si>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</si>
  <si>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</si>
  <si>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</si>
  <si>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</si>
  <si>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</si>
  <si>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</si>
  <si>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</si>
  <si>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</si>
  <si>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</si>
  <si>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</si>
  <si>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</si>
  <si>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</si>
  <si>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</si>
  <si>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</si>
  <si>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</si>
  <si>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</si>
  <si>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</si>
  <si>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</si>
  <si>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</si>
  <si>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</si>
  <si>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</si>
  <si>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</si>
  <si>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</si>
  <si>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</si>
  <si>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</si>
  <si>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</si>
  <si>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</si>
  <si>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</si>
  <si>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</si>
  <si>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</si>
  <si>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</si>
  <si>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</si>
  <si>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</si>
  <si>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</si>
  <si>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</si>
  <si>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</si>
  <si>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</si>
  <si>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</si>
  <si>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</si>
  <si>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</si>
  <si>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</si>
  <si>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</si>
  <si>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</si>
  <si>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</si>
  <si>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</si>
  <si>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</si>
  <si>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</si>
  <si>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</si>
  <si>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</si>
  <si>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</si>
  <si>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</si>
  <si>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</si>
  <si>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</si>
  <si>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</si>
  <si>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</si>
  <si>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</si>
  <si>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</si>
  <si>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</si>
  <si>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</si>
  <si>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</si>
  <si>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</si>
  <si>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</si>
  <si>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</si>
  <si>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</si>
  <si>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</si>
  <si>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</si>
  <si>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</si>
  <si>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</si>
  <si>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</si>
  <si>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</si>
  <si>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</si>
  <si>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</si>
  <si>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</si>
  <si>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</si>
  <si>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</si>
  <si>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</si>
  <si>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</si>
  <si>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</si>
  <si>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</si>
  <si>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</si>
  <si>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</si>
  <si>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</si>
  <si>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</si>
  <si>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</si>
  <si>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</si>
  <si>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</si>
  <si>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</si>
  <si>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</si>
  <si>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</si>
  <si>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</si>
  <si>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</si>
  <si>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</si>
  <si>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</si>
  <si>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</si>
  <si>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</si>
  <si>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</si>
  <si>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</si>
  <si>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</si>
  <si>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</si>
  <si>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</si>
  <si>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</si>
  <si>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</si>
  <si>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</si>
  <si>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</si>
  <si>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</si>
  <si>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</si>
  <si>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</si>
  <si>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</si>
  <si>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</si>
  <si>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</si>
  <si>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</si>
  <si>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</si>
  <si>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</si>
  <si>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</si>
  <si>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</si>
  <si>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</si>
  <si>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</si>
  <si>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</si>
  <si>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</si>
  <si>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</si>
  <si>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</si>
  <si>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</si>
  <si>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</si>
  <si>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</si>
  <si>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</si>
  <si>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</si>
  <si>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</si>
  <si>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</si>
  <si>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</si>
  <si>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</si>
  <si>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</si>
  <si>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</si>
  <si>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</si>
  <si>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</si>
  <si>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</si>
  <si>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</si>
  <si>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</si>
  <si>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</si>
  <si>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</si>
  <si>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</si>
  <si>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</si>
  <si>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</si>
  <si>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</si>
  <si>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</si>
  <si>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</si>
  <si>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</si>
  <si>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</si>
  <si>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</si>
  <si>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</si>
  <si>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</si>
  <si>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</si>
  <si>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</si>
  <si>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</si>
  <si>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</si>
  <si>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</si>
  <si>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</si>
  <si>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</si>
  <si>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</si>
  <si>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</si>
  <si>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</si>
  <si>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</si>
  <si>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</si>
  <si>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</si>
  <si>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</si>
  <si>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</si>
  <si>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</si>
  <si>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</si>
  <si>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</si>
  <si>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</si>
  <si>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</si>
  <si>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</si>
  <si>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</si>
  <si>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</si>
  <si>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</si>
  <si>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</si>
  <si>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</si>
  <si>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</si>
  <si>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</si>
  <si>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</si>
  <si>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</si>
  <si>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</si>
  <si>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</si>
  <si>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</si>
  <si>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</si>
  <si>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</si>
  <si>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</si>
  <si>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</si>
  <si>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</si>
  <si>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</si>
  <si>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</si>
  <si>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</si>
  <si>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</si>
  <si>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</si>
  <si>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</si>
  <si>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</si>
  <si>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</si>
  <si>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</si>
  <si>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</si>
  <si>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</si>
  <si>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</si>
  <si>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</si>
  <si>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</si>
  <si>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</si>
  <si>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</si>
  <si>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</si>
  <si>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</si>
  <si>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</si>
  <si>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</si>
  <si>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</si>
  <si>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</si>
  <si>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</si>
  <si>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</si>
  <si>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</si>
  <si>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</si>
  <si>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</si>
  <si>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</si>
  <si>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</si>
  <si>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</si>
  <si>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</si>
  <si>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</si>
  <si>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</si>
  <si>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</si>
  <si>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</si>
  <si>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</si>
  <si>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</si>
  <si>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</si>
  <si>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</si>
  <si>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</si>
  <si>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</si>
  <si>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</si>
  <si>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</si>
  <si>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</si>
  <si>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</si>
  <si>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</si>
  <si>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</si>
  <si>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</si>
  <si>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</si>
  <si>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</si>
  <si>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</si>
  <si>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</si>
  <si>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</si>
  <si>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</si>
  <si>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</si>
  <si>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</si>
  <si>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</si>
  <si>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</si>
  <si>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</si>
  <si>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</si>
  <si>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</si>
  <si>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</si>
  <si>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</si>
  <si>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</si>
  <si>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</si>
  <si>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</si>
  <si>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</si>
  <si>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</si>
  <si>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</si>
  <si>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</si>
  <si>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</si>
  <si>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</si>
  <si>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</si>
  <si>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</si>
  <si>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</si>
  <si>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</si>
  <si>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</si>
  <si>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</si>
  <si>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</si>
  <si>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</si>
  <si>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</si>
  <si>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</si>
  <si>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</si>
  <si>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</si>
  <si>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</si>
  <si>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</si>
  <si>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</si>
  <si>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</si>
  <si>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</si>
  <si>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</si>
  <si>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</si>
  <si>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</si>
  <si>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</si>
  <si>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</si>
  <si>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</si>
  <si>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</si>
  <si>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</si>
  <si>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</si>
  <si>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</si>
  <si>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</si>
  <si>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</si>
  <si>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</si>
  <si>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</si>
  <si>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</si>
  <si>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</si>
  <si>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</si>
  <si>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</si>
  <si>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</si>
  <si>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</si>
  <si>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</si>
  <si>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</si>
  <si>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</si>
  <si>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</si>
  <si>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</si>
  <si>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</si>
  <si>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</si>
  <si>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</si>
  <si>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</si>
  <si>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</si>
  <si>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</si>
  <si>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</si>
  <si>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</si>
  <si>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</si>
  <si>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</si>
  <si>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</si>
  <si>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</si>
  <si>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</si>
  <si>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</si>
  <si>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</si>
  <si>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</si>
  <si>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</si>
  <si>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</si>
  <si>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</si>
  <si>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</si>
  <si>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</si>
  <si>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</si>
  <si>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</si>
  <si>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</si>
  <si>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</si>
  <si>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</si>
  <si>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</si>
  <si>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</si>
  <si>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</si>
  <si>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</si>
  <si>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</si>
  <si>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</si>
  <si>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</si>
  <si>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</si>
  <si>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</si>
  <si>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</si>
  <si>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</si>
  <si>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</si>
  <si>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</si>
  <si>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</si>
  <si>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</si>
  <si>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</si>
  <si>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</si>
  <si>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</si>
  <si>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</si>
  <si>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</si>
  <si>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</si>
  <si>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</si>
  <si>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</si>
  <si>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</si>
  <si>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</si>
  <si>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</si>
  <si>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</si>
  <si>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</si>
  <si>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</si>
  <si>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</si>
  <si>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</si>
  <si>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</si>
  <si>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</si>
  <si>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</si>
  <si>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</si>
  <si>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</si>
  <si>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</si>
  <si>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</si>
  <si>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</si>
  <si>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</si>
  <si>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</si>
  <si>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</si>
  <si>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</si>
  <si>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</si>
  <si>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</si>
  <si>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</si>
  <si>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</si>
  <si>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</si>
  <si>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</si>
  <si>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</si>
  <si>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</si>
  <si>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</si>
  <si>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</si>
  <si>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</si>
  <si>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</si>
  <si>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</si>
  <si>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</si>
  <si>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</si>
  <si>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</si>
  <si>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</si>
  <si>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</si>
  <si>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</si>
  <si>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</si>
  <si>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</si>
  <si>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</si>
  <si>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</si>
  <si>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</si>
  <si>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</si>
  <si>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</si>
  <si>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</si>
  <si>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</si>
  <si>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</si>
  <si>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</si>
  <si>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</si>
  <si>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</si>
  <si>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</si>
  <si>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</si>
  <si>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</si>
  <si>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</si>
  <si>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</si>
  <si>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</si>
  <si>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</si>
  <si>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</si>
  <si>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</si>
  <si>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</si>
  <si>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</si>
  <si>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</si>
  <si>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</si>
  <si>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</si>
  <si>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</si>
  <si>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</si>
  <si>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</si>
  <si>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</si>
  <si>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</si>
  <si>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</si>
  <si>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</si>
  <si>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</si>
  <si>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</si>
  <si>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</si>
  <si>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</si>
  <si>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</si>
  <si>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</si>
  <si>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</si>
  <si>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</si>
  <si>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</si>
  <si>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</si>
  <si>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</si>
  <si>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</si>
  <si>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</si>
  <si>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</si>
  <si>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</si>
  <si>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</si>
  <si>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</si>
  <si>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</si>
  <si>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</si>
  <si>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</si>
  <si>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</si>
  <si>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</si>
  <si>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</si>
  <si>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</si>
  <si>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</si>
  <si>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</si>
  <si>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</si>
  <si>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</si>
  <si>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</si>
  <si>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</si>
  <si>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</si>
  <si>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</si>
  <si>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</si>
  <si>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</si>
  <si>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</si>
  <si>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</si>
  <si>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</si>
  <si>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</si>
  <si>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</si>
  <si>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</si>
  <si>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</si>
  <si>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</si>
  <si>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</si>
  <si>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</si>
  <si>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</si>
  <si>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</si>
  <si>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</si>
  <si>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</si>
  <si>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</si>
  <si>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</si>
  <si>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</si>
  <si>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</si>
  <si>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</si>
  <si>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</si>
  <si>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</si>
  <si>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</si>
  <si>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</si>
  <si>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</si>
  <si>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</si>
  <si>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</si>
  <si>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</si>
  <si>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</si>
  <si>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</si>
  <si>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</si>
  <si>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</si>
  <si>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</si>
  <si>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</si>
  <si>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</si>
  <si>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</si>
  <si>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</si>
  <si>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</si>
  <si>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</si>
  <si>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</si>
  <si>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</si>
  <si>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</si>
  <si>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</si>
  <si>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</si>
  <si>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</si>
  <si>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</si>
  <si>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</si>
  <si>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</si>
  <si>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</si>
  <si>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</si>
  <si>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</si>
  <si>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</si>
  <si>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</si>
  <si>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</si>
  <si>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</si>
  <si>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</si>
  <si>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</si>
  <si>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</si>
  <si>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</si>
  <si>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</si>
  <si>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</si>
  <si>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</si>
  <si>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</si>
  <si>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</si>
  <si>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</si>
  <si>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</si>
  <si>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</si>
  <si>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</si>
  <si>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</si>
  <si>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</si>
  <si>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</si>
  <si>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</si>
  <si>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</si>
  <si>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</si>
  <si>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</si>
  <si>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</si>
  <si>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</si>
  <si>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</si>
  <si>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</si>
  <si>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</si>
  <si>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</si>
  <si>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</si>
  <si>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</si>
  <si>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</si>
  <si>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</si>
  <si>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</si>
  <si>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</si>
  <si>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</si>
  <si>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</si>
  <si>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</si>
  <si>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</si>
  <si>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</si>
  <si>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</si>
  <si>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</si>
  <si>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</si>
  <si>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</si>
  <si>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</si>
  <si>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</si>
  <si>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</si>
  <si>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</si>
  <si>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</si>
  <si>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</si>
  <si>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</si>
  <si>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</si>
  <si>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</si>
  <si>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</si>
  <si>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</si>
  <si>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</si>
  <si>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</si>
  <si>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</si>
  <si>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</si>
  <si>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</si>
  <si>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</si>
  <si>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</si>
  <si>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</si>
  <si>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</si>
  <si>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</si>
  <si>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</si>
  <si>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</si>
  <si>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</si>
  <si>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</si>
  <si>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</si>
  <si>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</si>
  <si>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</si>
  <si>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</si>
  <si>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</si>
  <si>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</si>
  <si>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</si>
  <si>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</si>
  <si>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</si>
  <si>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</si>
  <si>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</si>
  <si>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</si>
  <si>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</si>
  <si>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</si>
  <si>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</si>
  <si>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</si>
  <si>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</si>
  <si>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</si>
  <si>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</si>
  <si>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</si>
  <si>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</si>
  <si>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</si>
  <si>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</si>
  <si>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</si>
  <si>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</si>
  <si>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</si>
  <si>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</si>
  <si>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</si>
  <si>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</si>
  <si>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</si>
  <si>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</si>
  <si>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</si>
  <si>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</si>
  <si>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</si>
  <si>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</si>
  <si>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</si>
  <si>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</si>
  <si>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</si>
  <si>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</si>
  <si>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</si>
  <si>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</si>
  <si>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</si>
  <si>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</si>
  <si>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</si>
  <si>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</si>
  <si>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</si>
  <si>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</si>
  <si>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</si>
  <si>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</si>
  <si>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</si>
  <si>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</si>
  <si>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</si>
  <si>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</si>
  <si>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</si>
  <si>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</si>
  <si>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</si>
  <si>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</si>
  <si>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</si>
  <si>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</si>
  <si>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</si>
  <si>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</si>
  <si>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</si>
  <si>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</si>
  <si>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</si>
  <si>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</si>
  <si>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</si>
  <si>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</si>
  <si>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</si>
  <si>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</si>
  <si>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</si>
  <si>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</si>
  <si>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</si>
  <si>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</si>
  <si>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</si>
  <si>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</si>
  <si>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</si>
  <si>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</si>
  <si>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</si>
  <si>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</si>
  <si>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</si>
  <si>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</si>
  <si>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</si>
  <si>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</si>
  <si>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</si>
  <si>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</si>
  <si>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</si>
  <si>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</si>
  <si>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</si>
  <si>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</si>
  <si>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</si>
  <si>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</si>
  <si>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</si>
  <si>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</si>
  <si>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</si>
  <si>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</si>
  <si>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</si>
  <si>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</si>
  <si>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</si>
  <si>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</si>
  <si>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</si>
  <si>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</si>
  <si>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</si>
  <si>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</si>
  <si>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</si>
  <si>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</si>
  <si>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</si>
  <si>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</si>
  <si>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</si>
  <si>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</si>
  <si>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</si>
  <si>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</si>
  <si>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</si>
  <si>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</si>
  <si>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</si>
  <si>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</si>
  <si>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</si>
  <si>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</si>
  <si>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</si>
  <si>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</si>
  <si>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</si>
  <si>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</si>
  <si>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</si>
  <si>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</si>
  <si>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</si>
  <si>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</si>
  <si>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</si>
  <si>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</si>
  <si>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</si>
  <si>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</si>
  <si>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</si>
  <si>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</si>
  <si>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</si>
  <si>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</si>
  <si>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</si>
  <si>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</si>
  <si>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</si>
  <si>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</si>
  <si>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</si>
  <si>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</si>
  <si>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</si>
  <si>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</si>
  <si>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</si>
  <si>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</si>
  <si>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</si>
  <si>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</si>
  <si>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</si>
  <si>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</si>
  <si>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</si>
  <si>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</si>
  <si>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</si>
  <si>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</si>
  <si>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</si>
  <si>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</si>
  <si>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</si>
  <si>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C</t>
  </si>
  <si>
    <t xml:space="preserve">Le plafond selon la définition retenue (scénario central,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</si>
  <si>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</si>
  <si>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</si>
  <si>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</si>
  <si>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</si>
  <si>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</si>
  <si>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</si>
  <si>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</si>
  <si>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</si>
  <si>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</si>
  <si>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</si>
  <si>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</si>
  <si>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</si>
  <si>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</si>
  <si>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</si>
  <si>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</si>
  <si>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</si>
  <si>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</si>
  <si>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</si>
  <si>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</si>
  <si>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</si>
  <si>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</si>
  <si>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</si>
  <si>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</si>
  <si>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</si>
  <si>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</si>
  <si>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</si>
  <si>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</si>
  <si>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</si>
  <si>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</si>
  <si>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</si>
  <si>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</si>
  <si>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</si>
  <si>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</si>
  <si>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</si>
  <si>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</si>
  <si>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</si>
  <si>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</si>
  <si>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</si>
  <si>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</si>
  <si>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</si>
  <si>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</si>
  <si>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</si>
  <si>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</si>
  <si>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</si>
  <si>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</si>
  <si>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</si>
  <si>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</si>
  <si>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</si>
  <si>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</si>
  <si>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</si>
  <si>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</si>
  <si>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</si>
  <si>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</si>
  <si>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</si>
  <si>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</si>
  <si>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</si>
  <si>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</si>
  <si>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</si>
  <si>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</si>
  <si>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</si>
  <si>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</si>
  <si>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</si>
  <si>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</si>
  <si>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</si>
  <si>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</si>
  <si>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</si>
  <si>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</si>
  <si>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</si>
  <si>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</si>
  <si>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</si>
  <si>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</si>
  <si>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</si>
  <si>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</si>
  <si>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</si>
  <si>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</si>
  <si>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</si>
  <si>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</si>
  <si>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</si>
  <si>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</si>
  <si>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</si>
  <si>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</si>
  <si>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</si>
  <si>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</si>
  <si>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</si>
  <si>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</si>
  <si>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</si>
  <si>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</si>
  <si>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</si>
  <si>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</si>
  <si>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</si>
  <si>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</si>
  <si>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</si>
  <si>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</si>
  <si>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</si>
  <si>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</si>
  <si>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</si>
  <si>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</si>
  <si>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</si>
  <si>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</si>
  <si>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</si>
  <si>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</si>
  <si>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</si>
  <si>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</si>
  <si>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</si>
  <si>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</si>
  <si>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</si>
  <si>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</si>
  <si>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</si>
  <si>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</si>
  <si>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</si>
  <si>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</si>
  <si>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</si>
  <si>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</si>
  <si>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</si>
  <si>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Rôles 3 et 6 — Trajectoire 2026-2027 et marge de manœuvre sous 3x</t>
  </si>
  <si>
    <t xml:space="preserve">Colonne D = scénario central. Chaque colonne suivante change UNE hypothèse (cellule saumon). Les deux dernières combinent tous les bas défavorables, puis tous les hauts favorables.</t>
  </si>
  <si>
    <t xml:space="preserve">Scénario</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</si>
  <si>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</si>
  <si>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</si>
  <si>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</si>
  <si>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</si>
  <si>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</si>
  <si>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</si>
  <si>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</si>
  <si>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</si>
  <si>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</si>
  <si>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</si>
  <si>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</si>
  <si>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</si>
  <si>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</si>
  <si>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</si>
  <si>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</si>
  <si>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</si>
  <si>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</si>
  <si>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</si>
  <si>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</si>
  <si>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</si>
  <si>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</si>
  <si>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</si>
  <si>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</si>
  <si>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</si>
  <si>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</si>
  <si>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</si>
  <si>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</si>
  <si>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</si>
  <si>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</si>
  <si>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</si>
  <si>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</si>
  <si>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</si>
  <si>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</si>
  <si>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</si>
  <si>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</si>
  <si>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</si>
  <si>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</si>
  <si>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</si>
  <si>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</si>
  <si>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</si>
  <si>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</si>
  <si>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</si>
  <si>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</si>
  <si>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</si>
  <si>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</si>
  <si>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</si>
  <si>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</si>
  <si>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</si>
  <si>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</si>
  <si>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</si>
  <si>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</si>
  <si>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</si>
  <si>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</si>
  <si>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</si>
  <si>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</si>
  <si>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</si>
  <si>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</si>
  <si>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</si>
  <si>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</si>
  <si>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</si>
  <si>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</si>
  <si>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</si>
  <si>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</si>
  <si>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</si>
  <si>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</si>
  <si>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</si>
  <si>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</si>
  <si>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</si>
  <si>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</si>
  <si>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</si>
  <si>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</si>
  <si>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</si>
  <si>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</si>
  <si>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</si>
  <si>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</si>
  <si>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</si>
  <si>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</si>
  <si>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</si>
  <si>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</si>
  <si>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</si>
  <si>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</si>
  <si>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</si>
  <si>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</si>
  <si>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</si>
  <si>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</si>
  <si>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</si>
  <si>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</si>
  <si>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</si>
  <si>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</si>
  <si>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</si>
  <si>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</si>
  <si>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</si>
  <si>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</si>
  <si>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</si>
  <si>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</si>
  <si>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</si>
  <si>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</si>
  <si>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</si>
  <si>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</si>
  <si>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</si>
  <si>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</si>
  <si>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</si>
  <si>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</si>
  <si>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</si>
  <si>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</si>
  <si>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</si>
  <si>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</si>
  <si>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</si>
  <si>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</si>
  <si>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</si>
  <si>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</si>
  <si>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</si>
  <si>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</si>
  <si>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</si>
  <si>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</si>
  <si>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</si>
  <si>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</si>
  <si>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</si>
  <si>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</si>
  <si>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</si>
  <si>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</si>
  <si>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</si>
  <si>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</si>
  <si>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</si>
  <si>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</si>
  <si>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</si>
  <si>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</si>
  <si>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</si>
  <si>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</si>
  <si>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CA 2025</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</si>
  <si>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</si>
  <si>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</si>
  <si>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</si>
  <si>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</si>
  <si>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</si>
  <si>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</si>
  <si>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</si>
  <si>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</si>
  <si>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</si>
  <si>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</si>
  <si>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</si>
  <si>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</si>
  <si>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</si>
  <si>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</si>
  <si>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</si>
  <si>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</si>
  <si>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</si>
  <si>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n/d</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</si>
  <si>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</si>
  <si>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</si>
  <si>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</si>
  <si>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</si>
  <si>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</si>
  <si>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</si>
  <si>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</si>
  <si>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</si>
  <si>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</si>
  <si>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</si>
  <si>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</si>
  <si>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</si>
  <si>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</si>
  <si>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</si>
  <si>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</si>
  <si>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</si>
  <si>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</si>
  <si>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</si>
  <si>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</si>
  <si>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</si>
  <si>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</si>
  <si>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</si>
  <si>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</si>
  <si>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</si>
  <si>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</si>
  <si>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</si>
  <si>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</si>
  <si>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</si>
  <si>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</si>
  <si>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</si>
  <si>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</si>
  <si>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</si>
  <si>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</si>
  <si>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</si>
  <si>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</si>
  <si>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</si>
  <si>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</si>
  <si>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</si>
  <si>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</si>
  <si>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</si>
  <si>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</si>
  <si>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</si>
  <si>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</si>
  <si>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</si>
  <si>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</si>
  <si>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</si>
  <si>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</si>
  <si>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</si>
  <si>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</si>
  <si>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</si>
  <si>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</si>
  <si>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</si>
  <si>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</si>
  <si>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</si>
  <si>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</si>
  <si>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</si>
  <si>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</si>
  <si>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</si>
  <si>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</si>
  <si>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</si>
  <si>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</si>
  <si>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</si>
  <si>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</si>
  <si>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</si>
  <si>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</si>
  <si>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</si>
  <si>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</si>
  <si>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</si>
  <si>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</si>
  <si>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</si>
  <si>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</si>
  <si>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</si>
  <si>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</si>
  <si>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</si>
  <si>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</si>
  <si>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</si>
  <si>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</si>
  <si>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</si>
  <si>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</si>
  <si>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</si>
  <si>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</si>
  <si>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</si>
  <si>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</si>
  <si>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</si>
  <si>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</si>
  <si>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États-Unis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</si>
  <si>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</si>
  <si>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</si>
  <si>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</si>
  <si>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</si>
  <si>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</si>
  <si>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</si>
  <si>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</si>
  <si>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</si>
  <si>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</si>
  <si>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</si>
  <si>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Allemagne</t>
  </si>
  <si>
    <t xml:space="preserve">non coté : comparable métier, pas de multiple de marché</t>
  </si>
  <si>
    <t xml:space="preserve">Pour mémoire : marge d'EBITDA ajusté de Clean Harbors publiée</t>
  </si>
  <si>
    <t xml:space="preserve">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</si>
  <si>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</si>
  <si>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</si>
  <si>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</si>
  <si>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</si>
  <si>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</si>
  <si>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</si>
  <si>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</si>
  <si>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</si>
  <si>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</si>
  <si>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</si>
  <si>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</si>
  <si>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</si>
  <si>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</si>
  <si>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</si>
  <si>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</si>
  <si>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</si>
  <si>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</si>
  <si>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</si>
  <si>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</si>
  <si>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</si>
  <si>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</si>
  <si>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</si>
  <si>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</si>
  <si>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</si>
  <si>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</si>
  <si>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</si>
  <si>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</si>
  <si>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</si>
  <si>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</si>
  <si>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</si>
  <si>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</si>
  <si>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</si>
  <si>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</si>
  <si>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</si>
  <si>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</si>
  <si>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</si>
  <si>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</si>
  <si>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</si>
  <si>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</si>
  <si>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</si>
  <si>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</si>
  <si>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</si>
  <si>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</si>
  <si>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</si>
  <si>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</si>
  <si>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</si>
  <si>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</si>
  <si>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</si>
  <si>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</si>
  <si>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</si>
  <si>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</si>
  <si>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</si>
  <si>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</si>
  <si>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</si>
  <si>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</si>
  <si>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</si>
  <si>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</si>
  <si>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</si>
  <si>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</si>
  <si>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</si>
  <si>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</si>
  <si>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</si>
  <si>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</si>
  <si>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</si>
  <si>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</si>
  <si>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</si>
  <si>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</si>
  <si>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</si>
  <si>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</si>
  <si>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</si>
  <si>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</si>
  <si>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</si>
  <si>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</si>
  <si>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</si>
  <si>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</si>
  <si>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</si>
  <si>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</si>
  <si>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</si>
  <si>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</si>
  <si>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</si>
  <si>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</si>
  <si>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</si>
  <si>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</si>
  <si>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</si>
  <si>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</si>
  <si>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</si>
  <si>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Univers de cibles — à remplir (phase F)</t>
  </si>
  <si>
    <t xml:space="preserve">Cible</t>
  </si>
  <si>
    <t xml:space="preserve">Activité DD</t>
  </si>
  <si>
    <t xml:space="preserve">VE estimée (M EUR)</t>
  </si>
  <si>
    <t xml:space="preserve">Multiple VE / EBITDA</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</si>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</sst>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3">
    <numFmt numFmtId="164" formatCode="General"/>
    <numFmt numFmtId="165" formatCode="0.00\x;\(0.00&quot;x)&quot;;\-"/>
    <numFmt numFmtId="166" formatCode="#,##0;\(#,##0\);\-"/>
    <numFmt numFmtId="167" formatCode="#,##0.00;\(#,##0.00\);\-"/>
    <numFmt numFmtId="168" formatCode="0.0\x"/>
    <numFmt numFmtId="169" formatCode="#,##0"/>
    <numFmt numFmtId="170" formatCode="#,##0.00;\-#,##0.00"/>
    <numFmt numFmtId="171" formatCode="0.0%;\(0.0%\);\-"/>
    <numFmt numFmtId="172" formatCode="0.0000"/>
    <numFmt numFmtId="173" formatCode="#,##0.0;\(#,##0.0\);\-"/>
    <numFmt numFmtId="174" formatCode="0.0"/>
    <numFmt numFmtId="175" formatCode="0.000000"/>
    <numFmt numFmtId="176" formatCode="0.000"/>
  </numFmts>
  <fonts count="2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9" fontId="15" fillId="5"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8" fillId="2"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8" fillId="2"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7" fontId="18"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72" fontId="18"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68" fontId="18"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73" fontId="18" fillId="2"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true" applyProtection="false">
      <alignment horizontal="right"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8" fillId="0" borderId="0" xfId="0" applyFont="true" applyBorder="false" applyAlignment="false" applyProtection="false">
      <alignment horizontal="general" vertical="bottom" textRotation="0" wrapText="false" indent="0" shrinkToFit="false"/>
      <protection locked="true" hidden="false"/>
    </xf>
    <xf numFmtId="171" fontId="18"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8"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8"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8"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9" fontId="1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3" fontId="1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5"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6" fontId="18"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Sensibilité!C21</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Sensibilité!$C$22:$C$33</c:f>
              <c:numCache>
                <c:formatCode>#,##0;\(#,##0\);\-</c:formatCode>
                <c:ptCount val="12"/>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4.35695750114246</c:v>
                </c:pt>
                <c:pt idx="11">
                  <c:v>0</c:v>
                </c:pt>
              </c:numCache>
            </c:numRef>
          </c:val>
        </c:ser>
        <c:ser>
          <c:idx val="1"/>
          <c:order val="1"/>
          <c:tx>
            <c:strRef>
              <c:f>Sensibilité!D21</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Sensibilité!$B$22:$B$33</c:f>
              <c:strCache>
                <c:ptCount val="12"/>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Part des signatures 2026 encaissée avant le 31/12/2026</c:v>
                </c:pt>
                <c:pt idx="11">
                  <c:v>FFO (mesure des agences) en % de l'EBITDA</c:v>
                </c:pt>
              </c:strCache>
            </c:strRef>
          </c:cat>
          <c:val>
            <c:numRef>
              <c:f>Sensibilité!$D$22:$D$33</c:f>
              <c:numCache>
                <c:formatCode>#,##0;\(#,##0\);\-</c:formatCode>
                <c:ptCount val="12"/>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-4.35695750113518</c:v>
                </c:pt>
                <c:pt idx="11">
                  <c:v>0</c:v>
                </c:pt>
              </c:numCache>
            </c:numRef>
          </c:val>
        </c:ser>
        <c:gapWidth val="150"/>
        <c:overlap val="100"/>
        <c:axId val="61889627"/>
        <c:axId val="40909761"/>
      </c:barChart>
      <c:catAx>
        <c:axId val="61889627"/>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40909761"/>
        <c:crosses val="autoZero"/>
        <c:auto val="1"/>
        <c:lblAlgn val="ctr"/>
        <c:lblOffset val="100"/>
        <c:noMultiLvlLbl val="0"/>
      </c:catAx>
      <c:valAx>
        <c:axId val="40909761"/>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1889627"/>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19</xdr:row>
      <xdr:rowOff>48240</xdr:rowOff>
    </xdr:from>
    <xdr:to>
      <xdr:col>15</xdr:col>
      <xdr:colOff>549720</xdr:colOff>
      <xdr:row>38</xdr:row>
      <xdr:rowOff>28440</xdr:rowOff>
    </xdr:to>
    <xdr:graphicFrame>
      <xdr:nvGraphicFramePr>
        <xdr:cNvPr id="0" name="Chart 1"/>
        <xdr:cNvGraphicFramePr/>
      </xdr:nvGraphicFramePr>
      <xdr:xfrm>
        <a:off x="9334440" y="38098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Trajectoire!$D$33</f>
        <v>3.01771731406222</v>
      </c>
      <c r="D5" s="2"/>
      <c r="E5" s="2"/>
      <c r="F5" s="2"/>
    </row>
    <row r="6" customFormat="false" ht="15" hidden="false" customHeight="false" outlineLevel="0" collapsed="false">
      <c r="A6" s="2"/>
      <c r="B6" s="5" t="s">
        <v>4</v>
      </c>
      <c r="C6" s="6" t="n">
        <f aca="false">Trajectoire!$D$45</f>
        <v>2.80320887741352</v>
      </c>
      <c r="D6" s="2"/>
      <c r="E6" s="2"/>
      <c r="F6" s="2"/>
    </row>
    <row r="7" customFormat="false" ht="15" hidden="false" customHeight="false" outlineLevel="0" collapsed="false">
      <c r="A7" s="2"/>
      <c r="B7" s="5" t="s">
        <v>5</v>
      </c>
      <c r="C7" s="7" t="n">
        <f aca="false">Trajectoire!$D$46</f>
        <v>1570.67466937297</v>
      </c>
      <c r="D7" s="2"/>
      <c r="E7" s="2"/>
      <c r="F7" s="2"/>
    </row>
    <row r="8" customFormat="false" ht="15" hidden="false" customHeight="false" outlineLevel="0" collapsed="false">
      <c r="A8" s="2"/>
      <c r="B8" s="5" t="s">
        <v>6</v>
      </c>
      <c r="C8" s="7" t="n">
        <f aca="false">Trajectoire!$D$47</f>
        <v>2263.61937644927</v>
      </c>
      <c r="D8" s="2"/>
      <c r="E8" s="2"/>
      <c r="F8" s="2"/>
    </row>
    <row r="9" customFormat="false" ht="15" hidden="false" customHeight="false" outlineLevel="0" collapsed="false">
      <c r="A9" s="2"/>
      <c r="B9" s="5" t="s">
        <v>7</v>
      </c>
      <c r="C9" s="7" t="n">
        <f aca="false">Trajectoire!$D$48</f>
        <v>-18.5694927233199</v>
      </c>
      <c r="D9" s="2"/>
      <c r="E9" s="2"/>
      <c r="F9" s="2"/>
    </row>
    <row r="10" customFormat="false" ht="15" hidden="false" customHeight="false" outlineLevel="0" collapsed="false">
      <c r="A10" s="2"/>
      <c r="B10" s="5" t="s">
        <v>8</v>
      </c>
      <c r="C10" s="7" t="n">
        <f aca="false">Trajectoire!$AC$46</f>
        <v>-500.000711943791</v>
      </c>
      <c r="D10" s="2"/>
      <c r="E10" s="2"/>
      <c r="F10" s="2"/>
    </row>
    <row r="11" customFormat="false" ht="15" hidden="false" customHeight="false" outlineLevel="0" collapsed="false">
      <c r="A11" s="2"/>
      <c r="B11" s="5" t="s">
        <v>9</v>
      </c>
      <c r="C11" s="6" t="n">
        <f aca="false">Levier!$C$82</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Trajectoire!$D$57</f>
        <v>4333.42681779325</v>
      </c>
      <c r="D14" s="2"/>
      <c r="E14" s="2"/>
      <c r="F14" s="2"/>
    </row>
    <row r="15" customFormat="false" ht="15" hidden="false" customHeight="false" outlineLevel="0" collapsed="false">
      <c r="A15" s="2"/>
      <c r="B15" s="5" t="s">
        <v>13</v>
      </c>
      <c r="C15" s="9" t="str">
        <f aca="false">Trajectoire!$D$59</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Trajectoire!$D$60</f>
        <v>2263.61937644927</v>
      </c>
      <c r="D18" s="2"/>
      <c r="E18" s="2"/>
      <c r="F18" s="2"/>
    </row>
    <row r="19" customFormat="false" ht="15" hidden="false" customHeight="false" outlineLevel="0" collapsed="false">
      <c r="A19" s="2"/>
      <c r="B19" s="5" t="s">
        <v>17</v>
      </c>
      <c r="C19" s="9" t="str">
        <f aca="false">Vérifications!$F$36</f>
        <v>OK</v>
      </c>
      <c r="D19" s="2"/>
      <c r="E19" s="2"/>
      <c r="F19" s="2"/>
    </row>
    <row r="20" customFormat="false" ht="15" hidden="false" customHeight="false" outlineLevel="0" collapsed="false">
      <c r="A20" s="2"/>
      <c r="B20" s="2"/>
      <c r="C20" s="2"/>
      <c r="D20" s="2"/>
      <c r="E20" s="2"/>
      <c r="F20" s="2"/>
    </row>
    <row r="21" customFormat="false" ht="15" hidden="false" customHeight="false" outlineLevel="0" collapsed="false">
      <c r="A21" s="2"/>
      <c r="B21" s="4" t="s">
        <v>18</v>
      </c>
      <c r="C21" s="2"/>
      <c r="D21" s="2"/>
      <c r="E21" s="2"/>
      <c r="F21" s="2"/>
    </row>
    <row r="22" customFormat="false" ht="15" hidden="false" customHeight="true" outlineLevel="0" collapsed="false">
      <c r="A22" s="2"/>
      <c r="B22" s="11" t="s">
        <v>19</v>
      </c>
      <c r="C22" s="12" t="s">
        <v>20</v>
      </c>
      <c r="D22" s="12"/>
      <c r="E22" s="12"/>
      <c r="F22" s="12"/>
    </row>
    <row r="23" customFormat="false" ht="15" hidden="false" customHeight="true" outlineLevel="0" collapsed="false">
      <c r="A23" s="2"/>
      <c r="B23" s="13" t="s">
        <v>21</v>
      </c>
      <c r="C23" s="12" t="s">
        <v>22</v>
      </c>
      <c r="D23" s="12"/>
      <c r="E23" s="12"/>
      <c r="F23" s="12"/>
    </row>
    <row r="24" customFormat="false" ht="15" hidden="false" customHeight="true" outlineLevel="0" collapsed="false">
      <c r="A24" s="2"/>
      <c r="B24" s="14" t="s">
        <v>23</v>
      </c>
      <c r="C24" s="12" t="s">
        <v>24</v>
      </c>
      <c r="D24" s="12"/>
      <c r="E24" s="12"/>
      <c r="F24" s="12"/>
    </row>
    <row r="25" customFormat="false" ht="15" hidden="false" customHeight="true" outlineLevel="0" collapsed="false">
      <c r="A25" s="2"/>
      <c r="B25" s="15" t="s">
        <v>25</v>
      </c>
      <c r="C25" s="12" t="s">
        <v>26</v>
      </c>
      <c r="D25" s="12"/>
      <c r="E25" s="12"/>
      <c r="F25" s="12"/>
    </row>
    <row r="26" customFormat="false" ht="15" hidden="false" customHeight="true" outlineLevel="0" collapsed="false">
      <c r="A26" s="2"/>
      <c r="B26" s="16" t="s">
        <v>27</v>
      </c>
      <c r="C26" s="12" t="s">
        <v>28</v>
      </c>
      <c r="D26" s="12"/>
      <c r="E26" s="12"/>
      <c r="F26" s="12"/>
    </row>
    <row r="27" customFormat="false" ht="15" hidden="false" customHeight="false" outlineLevel="0" collapsed="false">
      <c r="A27" s="2"/>
      <c r="B27" s="2"/>
      <c r="C27" s="2"/>
      <c r="D27" s="2"/>
      <c r="E27" s="2"/>
      <c r="F27" s="2"/>
    </row>
    <row r="28" customFormat="false" ht="15" hidden="false" customHeight="false" outlineLevel="0" collapsed="false">
      <c r="A28" s="2"/>
      <c r="B28" s="4" t="s">
        <v>29</v>
      </c>
      <c r="C28" s="2"/>
      <c r="D28" s="2"/>
      <c r="E28" s="2"/>
      <c r="F28" s="2"/>
    </row>
    <row r="29" customFormat="false" ht="15" hidden="false" customHeight="false" outlineLevel="0" collapsed="false">
      <c r="A29" s="17"/>
      <c r="B29" s="17" t="s">
        <v>30</v>
      </c>
      <c r="C29" s="17" t="s">
        <v>31</v>
      </c>
      <c r="D29" s="17" t="s">
        <v>32</v>
      </c>
      <c r="E29" s="2"/>
      <c r="F29" s="2"/>
    </row>
    <row r="30" customFormat="false" ht="27.75" hidden="false" customHeight="true" outlineLevel="0" collapsed="false">
      <c r="A30" s="2"/>
      <c r="B30" s="18" t="s">
        <v>33</v>
      </c>
      <c r="C30" s="5" t="s">
        <v>34</v>
      </c>
      <c r="D30" s="12" t="s">
        <v>35</v>
      </c>
      <c r="E30" s="12"/>
      <c r="F30" s="12"/>
    </row>
    <row r="31" customFormat="false" ht="27.75" hidden="false" customHeight="true" outlineLevel="0" collapsed="false">
      <c r="A31" s="2"/>
      <c r="B31" s="18" t="s">
        <v>36</v>
      </c>
      <c r="C31" s="5" t="s">
        <v>37</v>
      </c>
      <c r="D31" s="12" t="s">
        <v>38</v>
      </c>
      <c r="E31" s="12"/>
      <c r="F31" s="12"/>
    </row>
    <row r="32" customFormat="false" ht="27.75" hidden="false" customHeight="true" outlineLevel="0" collapsed="false">
      <c r="A32" s="2"/>
      <c r="B32" s="18" t="s">
        <v>39</v>
      </c>
      <c r="C32" s="5" t="s">
        <v>40</v>
      </c>
      <c r="D32" s="12" t="s">
        <v>41</v>
      </c>
      <c r="E32" s="12"/>
      <c r="F32" s="12"/>
    </row>
    <row r="33" customFormat="false" ht="27.75" hidden="false" customHeight="true" outlineLevel="0" collapsed="false">
      <c r="A33" s="2"/>
      <c r="B33" s="18" t="s">
        <v>42</v>
      </c>
      <c r="C33" s="5" t="s">
        <v>43</v>
      </c>
      <c r="D33" s="12" t="s">
        <v>44</v>
      </c>
      <c r="E33" s="12"/>
      <c r="F33" s="12"/>
    </row>
    <row r="34" customFormat="false" ht="27.75" hidden="false" customHeight="true" outlineLevel="0" collapsed="false">
      <c r="A34" s="2"/>
      <c r="B34" s="18" t="s">
        <v>45</v>
      </c>
      <c r="C34" s="5" t="s">
        <v>46</v>
      </c>
      <c r="D34" s="12" t="s">
        <v>47</v>
      </c>
      <c r="E34" s="12"/>
      <c r="F34" s="12"/>
    </row>
    <row r="35" customFormat="false" ht="27.75" hidden="false" customHeight="true" outlineLevel="0" collapsed="false">
      <c r="A35" s="2"/>
      <c r="B35" s="18" t="s">
        <v>48</v>
      </c>
      <c r="C35" s="5" t="s">
        <v>49</v>
      </c>
      <c r="D35" s="12" t="s">
        <v>50</v>
      </c>
      <c r="E35" s="12"/>
      <c r="F35" s="12"/>
    </row>
    <row r="36" customFormat="false" ht="15" hidden="false" customHeight="false" outlineLevel="0" collapsed="false">
      <c r="A36" s="2"/>
      <c r="B36" s="2"/>
      <c r="C36" s="2"/>
      <c r="D36" s="2"/>
      <c r="E36" s="2"/>
      <c r="F36" s="2"/>
    </row>
    <row r="37" customFormat="false" ht="15" hidden="false" customHeight="false" outlineLevel="0" collapsed="false">
      <c r="A37" s="2"/>
      <c r="B37" s="4" t="s">
        <v>51</v>
      </c>
      <c r="C37" s="2"/>
      <c r="D37" s="2"/>
      <c r="E37" s="2"/>
      <c r="F37" s="2"/>
    </row>
    <row r="38" customFormat="false" ht="27.75" hidden="false" customHeight="true" outlineLevel="0" collapsed="false">
      <c r="A38" s="2"/>
      <c r="B38" s="12" t="s">
        <v>52</v>
      </c>
      <c r="C38" s="12"/>
      <c r="D38" s="12"/>
      <c r="E38" s="12"/>
      <c r="F38" s="12"/>
    </row>
    <row r="39" customFormat="false" ht="27.75" hidden="false" customHeight="true" outlineLevel="0" collapsed="false">
      <c r="A39" s="2"/>
      <c r="B39" s="12" t="s">
        <v>53</v>
      </c>
      <c r="C39" s="12"/>
      <c r="D39" s="12"/>
      <c r="E39" s="12"/>
      <c r="F39" s="12"/>
    </row>
    <row r="40" customFormat="false" ht="27.75" hidden="false" customHeight="true" outlineLevel="0" collapsed="false">
      <c r="A40" s="2"/>
      <c r="B40" s="12" t="s">
        <v>54</v>
      </c>
      <c r="C40" s="12"/>
      <c r="D40" s="12"/>
      <c r="E40" s="12"/>
      <c r="F40" s="12"/>
    </row>
    <row r="41" customFormat="false" ht="27.75" hidden="false" customHeight="true" outlineLevel="0" collapsed="false">
      <c r="A41" s="2"/>
      <c r="B41" s="12" t="s">
        <v>55</v>
      </c>
      <c r="C41" s="12"/>
      <c r="D41" s="12"/>
      <c r="E41" s="12"/>
      <c r="F41" s="12"/>
    </row>
    <row r="42" customFormat="false" ht="27.75" hidden="false" customHeight="true" outlineLevel="0" collapsed="false">
      <c r="A42" s="2"/>
      <c r="B42" s="12" t="s">
        <v>56</v>
      </c>
      <c r="C42" s="12"/>
      <c r="D42" s="12"/>
      <c r="E42" s="12"/>
      <c r="F42" s="12"/>
    </row>
    <row r="43" customFormat="false" ht="27.75" hidden="false" customHeight="true" outlineLevel="0" collapsed="false">
      <c r="A43" s="2"/>
      <c r="B43" s="12" t="s">
        <v>57</v>
      </c>
      <c r="C43" s="12"/>
      <c r="D43" s="12"/>
      <c r="E43" s="12"/>
      <c r="F43" s="12"/>
    </row>
  </sheetData>
  <mergeCells count="17">
    <mergeCell ref="C22:F22"/>
    <mergeCell ref="C23:F23"/>
    <mergeCell ref="C24:F24"/>
    <mergeCell ref="C25:F25"/>
    <mergeCell ref="C26:F26"/>
    <mergeCell ref="D30:F30"/>
    <mergeCell ref="D31:F31"/>
    <mergeCell ref="D32:F32"/>
    <mergeCell ref="D33:F33"/>
    <mergeCell ref="D34:F34"/>
    <mergeCell ref="D35:F35"/>
    <mergeCell ref="B38:F38"/>
    <mergeCell ref="B39:F39"/>
    <mergeCell ref="B40:F40"/>
    <mergeCell ref="B41:F41"/>
    <mergeCell ref="B42:F42"/>
    <mergeCell ref="B43:F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58</v>
      </c>
      <c r="B1" s="2"/>
      <c r="C1" s="2"/>
      <c r="D1" s="2"/>
      <c r="E1" s="2"/>
      <c r="F1" s="2"/>
      <c r="G1" s="2"/>
      <c r="H1" s="2"/>
      <c r="I1" s="2"/>
      <c r="J1" s="2"/>
      <c r="K1" s="2"/>
      <c r="L1" s="2"/>
    </row>
    <row r="2" customFormat="false" ht="15" hidden="false" customHeight="false" outlineLevel="0" collapsed="false">
      <c r="A2" s="3" t="s">
        <v>59</v>
      </c>
      <c r="B2" s="2"/>
      <c r="C2" s="2"/>
      <c r="D2" s="2"/>
      <c r="E2" s="2"/>
      <c r="F2" s="2"/>
      <c r="G2" s="2"/>
      <c r="H2" s="2"/>
      <c r="I2" s="2"/>
      <c r="J2" s="2"/>
      <c r="K2" s="2"/>
      <c r="L2" s="2"/>
    </row>
    <row r="3" customFormat="false" ht="15" hidden="false" customHeight="false" outlineLevel="0" collapsed="false">
      <c r="A3" s="3" t="s">
        <v>60</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7" t="s">
        <v>61</v>
      </c>
      <c r="B5" s="17" t="s">
        <v>62</v>
      </c>
      <c r="C5" s="17" t="s">
        <v>63</v>
      </c>
      <c r="D5" s="17" t="s">
        <v>64</v>
      </c>
      <c r="E5" s="17" t="s">
        <v>65</v>
      </c>
      <c r="F5" s="17" t="s">
        <v>66</v>
      </c>
      <c r="G5" s="17" t="s">
        <v>67</v>
      </c>
      <c r="H5" s="17" t="s">
        <v>68</v>
      </c>
      <c r="I5" s="17" t="s">
        <v>30</v>
      </c>
      <c r="J5" s="17" t="s">
        <v>69</v>
      </c>
      <c r="K5" s="17" t="s">
        <v>70</v>
      </c>
      <c r="L5" s="17" t="s">
        <v>71</v>
      </c>
    </row>
    <row r="6" customFormat="false" ht="15" hidden="false" customHeight="false" outlineLevel="0" collapsed="false">
      <c r="A6" s="18" t="s">
        <v>72</v>
      </c>
      <c r="B6" s="5" t="s">
        <v>73</v>
      </c>
      <c r="C6" s="19" t="n">
        <v>3552</v>
      </c>
      <c r="D6" s="5" t="s">
        <v>74</v>
      </c>
      <c r="E6" s="5" t="s">
        <v>75</v>
      </c>
      <c r="F6" s="20" t="s">
        <v>76</v>
      </c>
      <c r="G6" s="5" t="s">
        <v>77</v>
      </c>
      <c r="H6" s="21" t="n">
        <v>47</v>
      </c>
      <c r="I6" s="5" t="s">
        <v>78</v>
      </c>
      <c r="J6" s="20" t="s">
        <v>79</v>
      </c>
      <c r="K6" s="20" t="s">
        <v>80</v>
      </c>
      <c r="L6" s="22" t="s">
        <v>81</v>
      </c>
    </row>
    <row r="7" customFormat="false" ht="15" hidden="false" customHeight="false" outlineLevel="0" collapsed="false">
      <c r="A7" s="23" t="s">
        <v>82</v>
      </c>
      <c r="B7" s="24" t="s">
        <v>83</v>
      </c>
      <c r="C7" s="25" t="n">
        <v>0.5</v>
      </c>
      <c r="D7" s="24" t="s">
        <v>84</v>
      </c>
      <c r="E7" s="24" t="s">
        <v>85</v>
      </c>
      <c r="F7" s="26" t="s">
        <v>86</v>
      </c>
      <c r="G7" s="24" t="s">
        <v>87</v>
      </c>
      <c r="H7" s="27" t="n">
        <v>63</v>
      </c>
      <c r="I7" s="24" t="s">
        <v>88</v>
      </c>
      <c r="J7" s="26" t="s">
        <v>89</v>
      </c>
      <c r="K7" s="26" t="s">
        <v>80</v>
      </c>
      <c r="L7" s="28" t="s">
        <v>81</v>
      </c>
    </row>
    <row r="8" customFormat="false" ht="15" hidden="false" customHeight="false" outlineLevel="0" collapsed="false">
      <c r="A8" s="18" t="s">
        <v>90</v>
      </c>
      <c r="B8" s="5" t="s">
        <v>73</v>
      </c>
      <c r="C8" s="19" t="n">
        <v>7050</v>
      </c>
      <c r="D8" s="5" t="s">
        <v>74</v>
      </c>
      <c r="E8" s="5" t="s">
        <v>91</v>
      </c>
      <c r="F8" s="20" t="s">
        <v>92</v>
      </c>
      <c r="G8" s="5" t="s">
        <v>93</v>
      </c>
      <c r="H8" s="21" t="n">
        <v>1</v>
      </c>
      <c r="I8" s="5" t="s">
        <v>78</v>
      </c>
      <c r="J8" s="20" t="s">
        <v>94</v>
      </c>
      <c r="K8" s="20" t="s">
        <v>80</v>
      </c>
      <c r="L8" s="22" t="s">
        <v>81</v>
      </c>
    </row>
    <row r="9" customFormat="false" ht="15" hidden="false" customHeight="false" outlineLevel="0" collapsed="false">
      <c r="A9" s="23" t="s">
        <v>95</v>
      </c>
      <c r="B9" s="24" t="s">
        <v>96</v>
      </c>
      <c r="C9" s="29" t="n">
        <v>3855</v>
      </c>
      <c r="D9" s="24" t="s">
        <v>74</v>
      </c>
      <c r="E9" s="24" t="s">
        <v>91</v>
      </c>
      <c r="F9" s="26" t="s">
        <v>97</v>
      </c>
      <c r="G9" s="24" t="s">
        <v>93</v>
      </c>
      <c r="H9" s="27" t="n">
        <v>1</v>
      </c>
      <c r="I9" s="24" t="s">
        <v>98</v>
      </c>
      <c r="J9" s="26" t="s">
        <v>94</v>
      </c>
      <c r="K9" s="26" t="s">
        <v>80</v>
      </c>
      <c r="L9" s="28" t="s">
        <v>81</v>
      </c>
    </row>
    <row r="10" customFormat="false" ht="15" hidden="false" customHeight="false" outlineLevel="0" collapsed="false">
      <c r="A10" s="18" t="s">
        <v>99</v>
      </c>
      <c r="B10" s="5" t="s">
        <v>100</v>
      </c>
      <c r="C10" s="30" t="n">
        <v>0.5</v>
      </c>
      <c r="D10" s="5" t="s">
        <v>101</v>
      </c>
      <c r="E10" s="5" t="s">
        <v>85</v>
      </c>
      <c r="F10" s="20" t="s">
        <v>86</v>
      </c>
      <c r="G10" s="5" t="s">
        <v>87</v>
      </c>
      <c r="H10" s="21" t="n">
        <v>63</v>
      </c>
      <c r="I10" s="5" t="s">
        <v>98</v>
      </c>
      <c r="J10" s="20" t="s">
        <v>89</v>
      </c>
      <c r="K10" s="20" t="s">
        <v>80</v>
      </c>
      <c r="L10" s="22" t="s">
        <v>81</v>
      </c>
    </row>
    <row r="11" customFormat="false" ht="15" hidden="false" customHeight="false" outlineLevel="0" collapsed="false">
      <c r="A11" s="23" t="s">
        <v>102</v>
      </c>
      <c r="B11" s="24" t="s">
        <v>103</v>
      </c>
      <c r="C11" s="29" t="n">
        <v>3</v>
      </c>
      <c r="D11" s="24" t="s">
        <v>104</v>
      </c>
      <c r="E11" s="24" t="s">
        <v>85</v>
      </c>
      <c r="F11" s="26" t="s">
        <v>105</v>
      </c>
      <c r="G11" s="24" t="s">
        <v>87</v>
      </c>
      <c r="H11" s="27" t="n">
        <v>64</v>
      </c>
      <c r="I11" s="24" t="s">
        <v>78</v>
      </c>
      <c r="J11" s="26" t="s">
        <v>89</v>
      </c>
      <c r="K11" s="26" t="s">
        <v>80</v>
      </c>
      <c r="L11" s="28" t="s">
        <v>81</v>
      </c>
    </row>
    <row r="12" customFormat="false" ht="15" hidden="false" customHeight="false" outlineLevel="0" collapsed="false">
      <c r="A12" s="18" t="s">
        <v>106</v>
      </c>
      <c r="B12" s="5" t="s">
        <v>107</v>
      </c>
      <c r="C12" s="30" t="n">
        <v>3.1</v>
      </c>
      <c r="D12" s="5" t="s">
        <v>84</v>
      </c>
      <c r="E12" s="5" t="s">
        <v>85</v>
      </c>
      <c r="F12" s="20" t="s">
        <v>108</v>
      </c>
      <c r="G12" s="5" t="s">
        <v>87</v>
      </c>
      <c r="H12" s="21" t="n">
        <v>63</v>
      </c>
      <c r="I12" s="5" t="s">
        <v>98</v>
      </c>
      <c r="J12" s="20" t="s">
        <v>89</v>
      </c>
      <c r="K12" s="20" t="s">
        <v>80</v>
      </c>
      <c r="L12" s="22" t="s">
        <v>81</v>
      </c>
    </row>
    <row r="13" customFormat="false" ht="15" hidden="false" customHeight="false" outlineLevel="0" collapsed="false">
      <c r="A13" s="23" t="s">
        <v>109</v>
      </c>
      <c r="B13" s="24" t="s">
        <v>110</v>
      </c>
      <c r="C13" s="29" t="n">
        <v>19657</v>
      </c>
      <c r="D13" s="24" t="s">
        <v>74</v>
      </c>
      <c r="E13" s="24" t="s">
        <v>111</v>
      </c>
      <c r="F13" s="26" t="s">
        <v>112</v>
      </c>
      <c r="G13" s="24" t="s">
        <v>93</v>
      </c>
      <c r="H13" s="27" t="n">
        <v>1</v>
      </c>
      <c r="I13" s="24" t="s">
        <v>78</v>
      </c>
      <c r="J13" s="26" t="s">
        <v>94</v>
      </c>
      <c r="K13" s="26" t="s">
        <v>80</v>
      </c>
      <c r="L13" s="28" t="s">
        <v>81</v>
      </c>
    </row>
    <row r="14" customFormat="false" ht="15" hidden="false" customHeight="false" outlineLevel="0" collapsed="false">
      <c r="A14" s="18" t="s">
        <v>113</v>
      </c>
      <c r="B14" s="5" t="s">
        <v>114</v>
      </c>
      <c r="C14" s="30" t="n">
        <v>0.7</v>
      </c>
      <c r="D14" s="5" t="s">
        <v>84</v>
      </c>
      <c r="E14" s="5" t="s">
        <v>85</v>
      </c>
      <c r="F14" s="20" t="s">
        <v>115</v>
      </c>
      <c r="G14" s="5" t="s">
        <v>87</v>
      </c>
      <c r="H14" s="21" t="n">
        <v>63</v>
      </c>
      <c r="I14" s="5" t="s">
        <v>98</v>
      </c>
      <c r="J14" s="20" t="s">
        <v>89</v>
      </c>
      <c r="K14" s="20" t="s">
        <v>80</v>
      </c>
      <c r="L14" s="22" t="s">
        <v>81</v>
      </c>
    </row>
    <row r="15" customFormat="false" ht="15" hidden="false" customHeight="false" outlineLevel="0" collapsed="false">
      <c r="A15" s="23" t="s">
        <v>116</v>
      </c>
      <c r="B15" s="24" t="s">
        <v>117</v>
      </c>
      <c r="C15" s="25" t="n">
        <v>4.1</v>
      </c>
      <c r="D15" s="24" t="s">
        <v>101</v>
      </c>
      <c r="E15" s="24" t="s">
        <v>118</v>
      </c>
      <c r="F15" s="26" t="s">
        <v>119</v>
      </c>
      <c r="G15" s="24" t="s">
        <v>120</v>
      </c>
      <c r="H15" s="27" t="n">
        <v>64</v>
      </c>
      <c r="I15" s="24" t="s">
        <v>78</v>
      </c>
      <c r="J15" s="26" t="s">
        <v>121</v>
      </c>
      <c r="K15" s="26" t="s">
        <v>80</v>
      </c>
      <c r="L15" s="28" t="s">
        <v>81</v>
      </c>
    </row>
    <row r="16" customFormat="false" ht="15" hidden="false" customHeight="false" outlineLevel="0" collapsed="false">
      <c r="A16" s="18" t="s">
        <v>122</v>
      </c>
      <c r="B16" s="5" t="s">
        <v>123</v>
      </c>
      <c r="C16" s="19" t="n">
        <v>24548</v>
      </c>
      <c r="D16" s="5" t="s">
        <v>74</v>
      </c>
      <c r="E16" s="5" t="s">
        <v>118</v>
      </c>
      <c r="F16" s="20" t="s">
        <v>124</v>
      </c>
      <c r="G16" s="5" t="s">
        <v>77</v>
      </c>
      <c r="H16" s="21" t="n">
        <v>14</v>
      </c>
      <c r="I16" s="5" t="s">
        <v>78</v>
      </c>
      <c r="J16" s="20" t="s">
        <v>79</v>
      </c>
      <c r="K16" s="20" t="s">
        <v>80</v>
      </c>
      <c r="L16" s="22" t="s">
        <v>81</v>
      </c>
    </row>
    <row r="17" customFormat="false" ht="15" hidden="false" customHeight="false" outlineLevel="0" collapsed="false">
      <c r="A17" s="23" t="s">
        <v>125</v>
      </c>
      <c r="B17" s="24" t="s">
        <v>126</v>
      </c>
      <c r="C17" s="29" t="n">
        <v>8</v>
      </c>
      <c r="D17" s="24" t="s">
        <v>101</v>
      </c>
      <c r="E17" s="24" t="s">
        <v>127</v>
      </c>
      <c r="F17" s="26" t="s">
        <v>128</v>
      </c>
      <c r="G17" s="24" t="s">
        <v>87</v>
      </c>
      <c r="H17" s="27" t="n">
        <v>9</v>
      </c>
      <c r="I17" s="24" t="s">
        <v>78</v>
      </c>
      <c r="J17" s="26" t="s">
        <v>89</v>
      </c>
      <c r="K17" s="26" t="s">
        <v>80</v>
      </c>
      <c r="L17" s="28" t="s">
        <v>81</v>
      </c>
    </row>
    <row r="18" customFormat="false" ht="15" hidden="false" customHeight="false" outlineLevel="0" collapsed="false">
      <c r="A18" s="18" t="s">
        <v>129</v>
      </c>
      <c r="B18" s="5" t="s">
        <v>130</v>
      </c>
      <c r="C18" s="19" t="n">
        <v>1156</v>
      </c>
      <c r="D18" s="5" t="s">
        <v>74</v>
      </c>
      <c r="E18" s="5" t="s">
        <v>131</v>
      </c>
      <c r="F18" s="20" t="s">
        <v>132</v>
      </c>
      <c r="G18" s="5" t="s">
        <v>93</v>
      </c>
      <c r="H18" s="21" t="n">
        <v>1</v>
      </c>
      <c r="I18" s="5" t="s">
        <v>98</v>
      </c>
      <c r="J18" s="20" t="s">
        <v>94</v>
      </c>
      <c r="K18" s="20" t="s">
        <v>80</v>
      </c>
      <c r="L18" s="22" t="s">
        <v>81</v>
      </c>
    </row>
    <row r="19" customFormat="false" ht="15" hidden="false" customHeight="false" outlineLevel="0" collapsed="false">
      <c r="A19" s="23" t="s">
        <v>133</v>
      </c>
      <c r="B19" s="24" t="s">
        <v>134</v>
      </c>
      <c r="C19" s="25" t="n">
        <v>2.92</v>
      </c>
      <c r="D19" s="24" t="s">
        <v>104</v>
      </c>
      <c r="E19" s="24" t="s">
        <v>135</v>
      </c>
      <c r="F19" s="26" t="s">
        <v>136</v>
      </c>
      <c r="G19" s="24" t="s">
        <v>137</v>
      </c>
      <c r="H19" s="27" t="n">
        <v>5</v>
      </c>
      <c r="I19" s="24" t="s">
        <v>78</v>
      </c>
      <c r="J19" s="26" t="s">
        <v>138</v>
      </c>
      <c r="K19" s="26" t="s">
        <v>80</v>
      </c>
      <c r="L19" s="28" t="s">
        <v>81</v>
      </c>
    </row>
    <row r="20" customFormat="false" ht="15" hidden="false" customHeight="false" outlineLevel="0" collapsed="false">
      <c r="A20" s="18" t="s">
        <v>139</v>
      </c>
      <c r="B20" s="5" t="s">
        <v>140</v>
      </c>
      <c r="C20" s="19" t="n">
        <v>1023</v>
      </c>
      <c r="D20" s="5" t="s">
        <v>74</v>
      </c>
      <c r="E20" s="5" t="s">
        <v>141</v>
      </c>
      <c r="F20" s="20" t="s">
        <v>142</v>
      </c>
      <c r="G20" s="5" t="s">
        <v>143</v>
      </c>
      <c r="H20" s="21" t="n">
        <v>337</v>
      </c>
      <c r="I20" s="5" t="s">
        <v>98</v>
      </c>
      <c r="J20" s="20" t="s">
        <v>144</v>
      </c>
      <c r="K20" s="20" t="s">
        <v>80</v>
      </c>
      <c r="L20" s="22" t="s">
        <v>81</v>
      </c>
    </row>
    <row r="21" customFormat="false" ht="15" hidden="false" customHeight="false" outlineLevel="0" collapsed="false">
      <c r="A21" s="23" t="s">
        <v>145</v>
      </c>
      <c r="B21" s="24" t="s">
        <v>146</v>
      </c>
      <c r="C21" s="25" t="n">
        <v>2.79</v>
      </c>
      <c r="D21" s="24" t="s">
        <v>104</v>
      </c>
      <c r="E21" s="24" t="s">
        <v>91</v>
      </c>
      <c r="F21" s="26" t="s">
        <v>147</v>
      </c>
      <c r="G21" s="24" t="s">
        <v>93</v>
      </c>
      <c r="H21" s="27" t="n">
        <v>1</v>
      </c>
      <c r="I21" s="24" t="s">
        <v>78</v>
      </c>
      <c r="J21" s="26" t="s">
        <v>94</v>
      </c>
      <c r="K21" s="26" t="s">
        <v>80</v>
      </c>
      <c r="L21" s="28" t="s">
        <v>81</v>
      </c>
    </row>
    <row r="22" customFormat="false" ht="15" hidden="false" customHeight="false" outlineLevel="0" collapsed="false">
      <c r="A22" s="18" t="s">
        <v>148</v>
      </c>
      <c r="B22" s="5" t="s">
        <v>73</v>
      </c>
      <c r="C22" s="19" t="n">
        <v>6788</v>
      </c>
      <c r="D22" s="5" t="s">
        <v>74</v>
      </c>
      <c r="E22" s="5" t="s">
        <v>131</v>
      </c>
      <c r="F22" s="20" t="s">
        <v>149</v>
      </c>
      <c r="G22" s="5" t="s">
        <v>93</v>
      </c>
      <c r="H22" s="21" t="n">
        <v>1</v>
      </c>
      <c r="I22" s="5" t="s">
        <v>78</v>
      </c>
      <c r="J22" s="20" t="s">
        <v>94</v>
      </c>
      <c r="K22" s="20" t="s">
        <v>80</v>
      </c>
      <c r="L22" s="22" t="s">
        <v>81</v>
      </c>
    </row>
    <row r="23" customFormat="false" ht="15" hidden="false" customHeight="false" outlineLevel="0" collapsed="false">
      <c r="A23" s="23" t="s">
        <v>150</v>
      </c>
      <c r="B23" s="24" t="s">
        <v>151</v>
      </c>
      <c r="C23" s="25" t="n">
        <v>0.5</v>
      </c>
      <c r="D23" s="24" t="s">
        <v>101</v>
      </c>
      <c r="E23" s="24" t="s">
        <v>85</v>
      </c>
      <c r="F23" s="26" t="s">
        <v>86</v>
      </c>
      <c r="G23" s="24" t="s">
        <v>87</v>
      </c>
      <c r="H23" s="27" t="n">
        <v>63</v>
      </c>
      <c r="I23" s="24" t="s">
        <v>88</v>
      </c>
      <c r="J23" s="26" t="s">
        <v>89</v>
      </c>
      <c r="K23" s="26" t="s">
        <v>80</v>
      </c>
      <c r="L23" s="28" t="s">
        <v>81</v>
      </c>
    </row>
    <row r="24" customFormat="false" ht="15" hidden="false" customHeight="false" outlineLevel="0" collapsed="false">
      <c r="A24" s="18" t="s">
        <v>152</v>
      </c>
      <c r="B24" s="5" t="s">
        <v>73</v>
      </c>
      <c r="C24" s="19" t="n">
        <v>3367</v>
      </c>
      <c r="D24" s="5" t="s">
        <v>74</v>
      </c>
      <c r="E24" s="5" t="s">
        <v>153</v>
      </c>
      <c r="F24" s="20" t="s">
        <v>154</v>
      </c>
      <c r="G24" s="5" t="s">
        <v>77</v>
      </c>
      <c r="H24" s="21" t="n">
        <v>47</v>
      </c>
      <c r="I24" s="5" t="s">
        <v>78</v>
      </c>
      <c r="J24" s="20" t="s">
        <v>79</v>
      </c>
      <c r="K24" s="20" t="s">
        <v>80</v>
      </c>
      <c r="L24" s="22" t="s">
        <v>81</v>
      </c>
    </row>
    <row r="25" customFormat="false" ht="15" hidden="false" customHeight="false" outlineLevel="0" collapsed="false">
      <c r="A25" s="23" t="s">
        <v>155</v>
      </c>
      <c r="B25" s="24" t="s">
        <v>146</v>
      </c>
      <c r="C25" s="25" t="n">
        <v>2.63</v>
      </c>
      <c r="D25" s="24" t="s">
        <v>104</v>
      </c>
      <c r="E25" s="24" t="s">
        <v>131</v>
      </c>
      <c r="F25" s="26" t="s">
        <v>156</v>
      </c>
      <c r="G25" s="24" t="s">
        <v>93</v>
      </c>
      <c r="H25" s="27" t="n">
        <v>1</v>
      </c>
      <c r="I25" s="24" t="s">
        <v>78</v>
      </c>
      <c r="J25" s="26" t="s">
        <v>94</v>
      </c>
      <c r="K25" s="26" t="s">
        <v>80</v>
      </c>
      <c r="L25" s="28" t="s">
        <v>81</v>
      </c>
    </row>
    <row r="26" customFormat="false" ht="15" hidden="false" customHeight="false" outlineLevel="0" collapsed="false">
      <c r="A26" s="18" t="s">
        <v>157</v>
      </c>
      <c r="B26" s="5" t="s">
        <v>158</v>
      </c>
      <c r="C26" s="19" t="n">
        <v>1</v>
      </c>
      <c r="D26" s="5" t="s">
        <v>101</v>
      </c>
      <c r="E26" s="5" t="s">
        <v>85</v>
      </c>
      <c r="F26" s="20" t="s">
        <v>159</v>
      </c>
      <c r="G26" s="5" t="s">
        <v>87</v>
      </c>
      <c r="H26" s="21" t="n">
        <v>63</v>
      </c>
      <c r="I26" s="5" t="s">
        <v>98</v>
      </c>
      <c r="J26" s="20" t="s">
        <v>89</v>
      </c>
      <c r="K26" s="20" t="s">
        <v>80</v>
      </c>
      <c r="L26" s="22" t="s">
        <v>81</v>
      </c>
    </row>
    <row r="27" customFormat="false" ht="15" hidden="false" customHeight="false" outlineLevel="0" collapsed="false">
      <c r="A27" s="23" t="s">
        <v>160</v>
      </c>
      <c r="B27" s="24" t="s">
        <v>161</v>
      </c>
      <c r="C27" s="29" t="n">
        <v>3</v>
      </c>
      <c r="D27" s="24" t="s">
        <v>104</v>
      </c>
      <c r="E27" s="24" t="s">
        <v>162</v>
      </c>
      <c r="F27" s="26" t="s">
        <v>105</v>
      </c>
      <c r="G27" s="24" t="s">
        <v>77</v>
      </c>
      <c r="H27" s="27" t="n">
        <v>29</v>
      </c>
      <c r="I27" s="24" t="s">
        <v>78</v>
      </c>
      <c r="J27" s="26" t="s">
        <v>79</v>
      </c>
      <c r="K27" s="26" t="s">
        <v>80</v>
      </c>
      <c r="L27" s="28" t="s">
        <v>81</v>
      </c>
    </row>
    <row r="28" customFormat="false" ht="15" hidden="false" customHeight="false" outlineLevel="0" collapsed="false">
      <c r="A28" s="18" t="s">
        <v>163</v>
      </c>
      <c r="B28" s="5" t="s">
        <v>110</v>
      </c>
      <c r="C28" s="19" t="n">
        <v>17819</v>
      </c>
      <c r="D28" s="5" t="s">
        <v>74</v>
      </c>
      <c r="E28" s="5" t="s">
        <v>164</v>
      </c>
      <c r="F28" s="20" t="s">
        <v>165</v>
      </c>
      <c r="G28" s="5" t="s">
        <v>93</v>
      </c>
      <c r="H28" s="21" t="n">
        <v>1</v>
      </c>
      <c r="I28" s="5" t="s">
        <v>78</v>
      </c>
      <c r="J28" s="20" t="s">
        <v>94</v>
      </c>
      <c r="K28" s="20" t="s">
        <v>80</v>
      </c>
      <c r="L28" s="22" t="s">
        <v>81</v>
      </c>
    </row>
    <row r="29" customFormat="false" ht="15" hidden="false" customHeight="false" outlineLevel="0" collapsed="false">
      <c r="A29" s="23" t="s">
        <v>166</v>
      </c>
      <c r="B29" s="24" t="s">
        <v>167</v>
      </c>
      <c r="C29" s="25" t="n">
        <v>0.5</v>
      </c>
      <c r="D29" s="24" t="s">
        <v>84</v>
      </c>
      <c r="E29" s="24" t="s">
        <v>85</v>
      </c>
      <c r="F29" s="26" t="s">
        <v>86</v>
      </c>
      <c r="G29" s="24" t="s">
        <v>87</v>
      </c>
      <c r="H29" s="27" t="n">
        <v>63</v>
      </c>
      <c r="I29" s="24" t="s">
        <v>98</v>
      </c>
      <c r="J29" s="26" t="s">
        <v>89</v>
      </c>
      <c r="K29" s="26" t="s">
        <v>80</v>
      </c>
      <c r="L29" s="28" t="s">
        <v>81</v>
      </c>
    </row>
    <row r="30" customFormat="false" ht="15" hidden="false" customHeight="false" outlineLevel="0" collapsed="false">
      <c r="A30" s="18" t="s">
        <v>168</v>
      </c>
      <c r="B30" s="5" t="s">
        <v>169</v>
      </c>
      <c r="C30" s="19" t="n">
        <v>2</v>
      </c>
      <c r="D30" s="5" t="s">
        <v>101</v>
      </c>
      <c r="E30" s="5" t="s">
        <v>170</v>
      </c>
      <c r="F30" s="20" t="s">
        <v>171</v>
      </c>
      <c r="G30" s="5" t="s">
        <v>77</v>
      </c>
      <c r="H30" s="21" t="n">
        <v>29</v>
      </c>
      <c r="I30" s="5" t="s">
        <v>98</v>
      </c>
      <c r="J30" s="20" t="s">
        <v>79</v>
      </c>
      <c r="K30" s="20" t="s">
        <v>80</v>
      </c>
      <c r="L30" s="22" t="s">
        <v>81</v>
      </c>
    </row>
    <row r="31" customFormat="false" ht="15" hidden="false" customHeight="false" outlineLevel="0" collapsed="false">
      <c r="A31" s="23" t="s">
        <v>172</v>
      </c>
      <c r="B31" s="24" t="s">
        <v>173</v>
      </c>
      <c r="C31" s="29" t="n">
        <v>9332</v>
      </c>
      <c r="D31" s="24" t="s">
        <v>74</v>
      </c>
      <c r="E31" s="24" t="s">
        <v>118</v>
      </c>
      <c r="F31" s="26" t="s">
        <v>174</v>
      </c>
      <c r="G31" s="24" t="s">
        <v>77</v>
      </c>
      <c r="H31" s="27" t="n">
        <v>14</v>
      </c>
      <c r="I31" s="24" t="s">
        <v>78</v>
      </c>
      <c r="J31" s="26" t="s">
        <v>79</v>
      </c>
      <c r="K31" s="26" t="s">
        <v>80</v>
      </c>
      <c r="L31" s="28" t="s">
        <v>81</v>
      </c>
    </row>
    <row r="32" customFormat="false" ht="15" hidden="false" customHeight="false" outlineLevel="0" collapsed="false">
      <c r="A32" s="18" t="s">
        <v>175</v>
      </c>
      <c r="B32" s="5" t="s">
        <v>176</v>
      </c>
      <c r="C32" s="30" t="n">
        <v>1.5</v>
      </c>
      <c r="D32" s="5" t="s">
        <v>177</v>
      </c>
      <c r="E32" s="5" t="s">
        <v>141</v>
      </c>
      <c r="F32" s="20" t="s">
        <v>178</v>
      </c>
      <c r="G32" s="5" t="s">
        <v>143</v>
      </c>
      <c r="H32" s="21" t="n">
        <v>337</v>
      </c>
      <c r="I32" s="5" t="s">
        <v>98</v>
      </c>
      <c r="J32" s="20" t="s">
        <v>144</v>
      </c>
      <c r="K32" s="20" t="s">
        <v>80</v>
      </c>
      <c r="L32" s="22" t="s">
        <v>81</v>
      </c>
    </row>
    <row r="33" customFormat="false" ht="15" hidden="false" customHeight="false" outlineLevel="0" collapsed="false">
      <c r="A33" s="23" t="s">
        <v>179</v>
      </c>
      <c r="B33" s="24" t="s">
        <v>180</v>
      </c>
      <c r="C33" s="29" t="n">
        <v>-288</v>
      </c>
      <c r="D33" s="24" t="s">
        <v>74</v>
      </c>
      <c r="E33" s="24" t="s">
        <v>75</v>
      </c>
      <c r="F33" s="26" t="s">
        <v>181</v>
      </c>
      <c r="G33" s="24" t="s">
        <v>120</v>
      </c>
      <c r="H33" s="27" t="n">
        <v>25</v>
      </c>
      <c r="I33" s="24" t="s">
        <v>98</v>
      </c>
      <c r="J33" s="26" t="s">
        <v>121</v>
      </c>
      <c r="K33" s="26" t="s">
        <v>80</v>
      </c>
      <c r="L33" s="28" t="s">
        <v>81</v>
      </c>
    </row>
    <row r="34" customFormat="false" ht="15" hidden="false" customHeight="false" outlineLevel="0" collapsed="false">
      <c r="A34" s="18" t="s">
        <v>182</v>
      </c>
      <c r="B34" s="5" t="s">
        <v>130</v>
      </c>
      <c r="C34" s="19" t="n">
        <v>1178</v>
      </c>
      <c r="D34" s="5" t="s">
        <v>74</v>
      </c>
      <c r="E34" s="5" t="s">
        <v>91</v>
      </c>
      <c r="F34" s="20" t="s">
        <v>183</v>
      </c>
      <c r="G34" s="5" t="s">
        <v>93</v>
      </c>
      <c r="H34" s="21" t="n">
        <v>1</v>
      </c>
      <c r="I34" s="5" t="s">
        <v>98</v>
      </c>
      <c r="J34" s="20" t="s">
        <v>94</v>
      </c>
      <c r="K34" s="20" t="s">
        <v>80</v>
      </c>
      <c r="L34" s="22" t="s">
        <v>81</v>
      </c>
    </row>
    <row r="35" customFormat="false" ht="15" hidden="false" customHeight="false" outlineLevel="0" collapsed="false">
      <c r="A35" s="23" t="s">
        <v>184</v>
      </c>
      <c r="B35" s="24" t="s">
        <v>185</v>
      </c>
      <c r="C35" s="25" t="n">
        <v>0.1</v>
      </c>
      <c r="D35" s="24" t="s">
        <v>101</v>
      </c>
      <c r="E35" s="24" t="s">
        <v>75</v>
      </c>
      <c r="F35" s="26" t="s">
        <v>186</v>
      </c>
      <c r="G35" s="24" t="s">
        <v>187</v>
      </c>
      <c r="H35" s="27" t="n">
        <v>14</v>
      </c>
      <c r="I35" s="24" t="s">
        <v>98</v>
      </c>
      <c r="J35" s="26" t="s">
        <v>188</v>
      </c>
      <c r="K35" s="26" t="s">
        <v>80</v>
      </c>
      <c r="L35" s="28" t="s">
        <v>81</v>
      </c>
    </row>
    <row r="36" customFormat="false" ht="15" hidden="false" customHeight="false" outlineLevel="0" collapsed="false">
      <c r="A36" s="18" t="s">
        <v>189</v>
      </c>
      <c r="B36" s="5" t="s">
        <v>190</v>
      </c>
      <c r="C36" s="30" t="n">
        <v>0.5</v>
      </c>
      <c r="D36" s="5" t="s">
        <v>101</v>
      </c>
      <c r="E36" s="5" t="s">
        <v>162</v>
      </c>
      <c r="F36" s="20" t="s">
        <v>86</v>
      </c>
      <c r="G36" s="5" t="s">
        <v>187</v>
      </c>
      <c r="H36" s="21" t="n">
        <v>14</v>
      </c>
      <c r="I36" s="5" t="s">
        <v>98</v>
      </c>
      <c r="J36" s="20" t="s">
        <v>188</v>
      </c>
      <c r="K36" s="20" t="s">
        <v>80</v>
      </c>
      <c r="L36" s="22" t="s">
        <v>81</v>
      </c>
    </row>
    <row r="37" customFormat="false" ht="15" hidden="false" customHeight="false" outlineLevel="0" collapsed="false">
      <c r="A37" s="23" t="s">
        <v>191</v>
      </c>
      <c r="B37" s="24" t="s">
        <v>192</v>
      </c>
      <c r="C37" s="29" t="n">
        <v>8</v>
      </c>
      <c r="D37" s="24" t="s">
        <v>101</v>
      </c>
      <c r="E37" s="24" t="s">
        <v>85</v>
      </c>
      <c r="F37" s="26" t="s">
        <v>128</v>
      </c>
      <c r="G37" s="24" t="s">
        <v>187</v>
      </c>
      <c r="H37" s="27" t="n">
        <v>4</v>
      </c>
      <c r="I37" s="24" t="s">
        <v>88</v>
      </c>
      <c r="J37" s="26" t="s">
        <v>188</v>
      </c>
      <c r="K37" s="26" t="s">
        <v>80</v>
      </c>
      <c r="L37" s="28" t="s">
        <v>81</v>
      </c>
    </row>
    <row r="38" customFormat="false" ht="15" hidden="false" customHeight="false" outlineLevel="0" collapsed="false">
      <c r="A38" s="18" t="s">
        <v>193</v>
      </c>
      <c r="B38" s="5" t="s">
        <v>194</v>
      </c>
      <c r="C38" s="19" t="n">
        <v>9196</v>
      </c>
      <c r="D38" s="5" t="s">
        <v>195</v>
      </c>
      <c r="E38" s="5" t="s">
        <v>196</v>
      </c>
      <c r="F38" s="20" t="s">
        <v>197</v>
      </c>
      <c r="G38" s="5" t="s">
        <v>143</v>
      </c>
      <c r="H38" s="21" t="n">
        <v>226</v>
      </c>
      <c r="I38" s="5" t="s">
        <v>198</v>
      </c>
      <c r="J38" s="20" t="s">
        <v>144</v>
      </c>
      <c r="K38" s="20" t="s">
        <v>80</v>
      </c>
      <c r="L38" s="22" t="s">
        <v>81</v>
      </c>
    </row>
    <row r="39" customFormat="false" ht="15" hidden="false" customHeight="false" outlineLevel="0" collapsed="false">
      <c r="A39" s="23" t="s">
        <v>199</v>
      </c>
      <c r="B39" s="24" t="s">
        <v>194</v>
      </c>
      <c r="C39" s="29" t="n">
        <v>9181</v>
      </c>
      <c r="D39" s="24" t="s">
        <v>195</v>
      </c>
      <c r="E39" s="24" t="s">
        <v>141</v>
      </c>
      <c r="F39" s="26" t="s">
        <v>200</v>
      </c>
      <c r="G39" s="24" t="s">
        <v>143</v>
      </c>
      <c r="H39" s="27" t="n">
        <v>226</v>
      </c>
      <c r="I39" s="24" t="s">
        <v>198</v>
      </c>
      <c r="J39" s="26" t="s">
        <v>144</v>
      </c>
      <c r="K39" s="26" t="s">
        <v>80</v>
      </c>
      <c r="L39" s="28" t="s">
        <v>81</v>
      </c>
    </row>
    <row r="40" customFormat="false" ht="15" hidden="false" customHeight="false" outlineLevel="0" collapsed="false">
      <c r="A40" s="18" t="s">
        <v>201</v>
      </c>
      <c r="B40" s="5" t="s">
        <v>202</v>
      </c>
      <c r="C40" s="19" t="n">
        <v>9</v>
      </c>
      <c r="D40" s="5" t="s">
        <v>203</v>
      </c>
      <c r="E40" s="5" t="s">
        <v>127</v>
      </c>
      <c r="F40" s="20" t="s">
        <v>204</v>
      </c>
      <c r="G40" s="5" t="s">
        <v>143</v>
      </c>
      <c r="H40" s="21" t="n">
        <v>226</v>
      </c>
      <c r="I40" s="5" t="s">
        <v>198</v>
      </c>
      <c r="J40" s="20" t="s">
        <v>144</v>
      </c>
      <c r="K40" s="20" t="s">
        <v>80</v>
      </c>
      <c r="L40" s="22" t="s">
        <v>81</v>
      </c>
    </row>
    <row r="41" customFormat="false" ht="15" hidden="false" customHeight="false" outlineLevel="0" collapsed="false">
      <c r="A41" s="23" t="s">
        <v>205</v>
      </c>
      <c r="B41" s="24" t="s">
        <v>206</v>
      </c>
      <c r="C41" s="29" t="n">
        <v>10</v>
      </c>
      <c r="D41" s="24" t="s">
        <v>203</v>
      </c>
      <c r="E41" s="24" t="s">
        <v>127</v>
      </c>
      <c r="F41" s="26" t="s">
        <v>207</v>
      </c>
      <c r="G41" s="24" t="s">
        <v>87</v>
      </c>
      <c r="H41" s="27" t="n">
        <v>9</v>
      </c>
      <c r="I41" s="24" t="s">
        <v>198</v>
      </c>
      <c r="J41" s="26" t="s">
        <v>89</v>
      </c>
      <c r="K41" s="26" t="s">
        <v>80</v>
      </c>
      <c r="L41" s="28" t="s">
        <v>81</v>
      </c>
    </row>
    <row r="42" customFormat="false" ht="15" hidden="false" customHeight="false" outlineLevel="0" collapsed="false">
      <c r="A42" s="18" t="s">
        <v>208</v>
      </c>
      <c r="B42" s="5" t="s">
        <v>209</v>
      </c>
      <c r="C42" s="19" t="n">
        <v>1392</v>
      </c>
      <c r="D42" s="5" t="s">
        <v>74</v>
      </c>
      <c r="E42" s="5" t="s">
        <v>131</v>
      </c>
      <c r="F42" s="20" t="s">
        <v>210</v>
      </c>
      <c r="G42" s="5" t="s">
        <v>93</v>
      </c>
      <c r="H42" s="21" t="n">
        <v>9</v>
      </c>
      <c r="I42" s="5" t="s">
        <v>198</v>
      </c>
      <c r="J42" s="20" t="s">
        <v>94</v>
      </c>
      <c r="K42" s="20" t="s">
        <v>80</v>
      </c>
      <c r="L42" s="22" t="s">
        <v>81</v>
      </c>
    </row>
    <row r="43" customFormat="false" ht="15" hidden="false" customHeight="false" outlineLevel="0" collapsed="false">
      <c r="A43" s="23" t="s">
        <v>211</v>
      </c>
      <c r="B43" s="24" t="s">
        <v>209</v>
      </c>
      <c r="C43" s="29" t="n">
        <v>1475</v>
      </c>
      <c r="D43" s="24" t="s">
        <v>74</v>
      </c>
      <c r="E43" s="24" t="s">
        <v>91</v>
      </c>
      <c r="F43" s="26" t="s">
        <v>212</v>
      </c>
      <c r="G43" s="24" t="s">
        <v>93</v>
      </c>
      <c r="H43" s="27" t="n">
        <v>9</v>
      </c>
      <c r="I43" s="24" t="s">
        <v>198</v>
      </c>
      <c r="J43" s="26" t="s">
        <v>94</v>
      </c>
      <c r="K43" s="26" t="s">
        <v>80</v>
      </c>
      <c r="L43" s="28" t="s">
        <v>81</v>
      </c>
    </row>
    <row r="44" customFormat="false" ht="15" hidden="false" customHeight="false" outlineLevel="0" collapsed="false">
      <c r="A44" s="18" t="s">
        <v>213</v>
      </c>
      <c r="B44" s="5" t="s">
        <v>214</v>
      </c>
      <c r="C44" s="19" t="n">
        <v>1189</v>
      </c>
      <c r="D44" s="5" t="s">
        <v>74</v>
      </c>
      <c r="E44" s="5" t="s">
        <v>75</v>
      </c>
      <c r="F44" s="20" t="s">
        <v>215</v>
      </c>
      <c r="G44" s="5" t="s">
        <v>216</v>
      </c>
      <c r="H44" s="21" t="n">
        <v>7</v>
      </c>
      <c r="I44" s="5" t="s">
        <v>198</v>
      </c>
      <c r="J44" s="20" t="s">
        <v>217</v>
      </c>
      <c r="K44" s="20" t="s">
        <v>80</v>
      </c>
      <c r="L44" s="22" t="s">
        <v>81</v>
      </c>
    </row>
    <row r="45" customFormat="false" ht="15" hidden="false" customHeight="false" outlineLevel="0" collapsed="false">
      <c r="A45" s="23" t="s">
        <v>218</v>
      </c>
      <c r="B45" s="24" t="s">
        <v>219</v>
      </c>
      <c r="C45" s="29" t="n">
        <v>2989</v>
      </c>
      <c r="D45" s="24" t="s">
        <v>220</v>
      </c>
      <c r="E45" s="24" t="s">
        <v>221</v>
      </c>
      <c r="F45" s="26" t="s">
        <v>222</v>
      </c>
      <c r="G45" s="24" t="s">
        <v>77</v>
      </c>
      <c r="H45" s="27" t="n">
        <v>46</v>
      </c>
      <c r="I45" s="24" t="s">
        <v>198</v>
      </c>
      <c r="J45" s="26" t="s">
        <v>79</v>
      </c>
      <c r="K45" s="26" t="s">
        <v>80</v>
      </c>
      <c r="L45" s="28" t="s">
        <v>81</v>
      </c>
    </row>
    <row r="46" customFormat="false" ht="15" hidden="false" customHeight="false" outlineLevel="0" collapsed="false">
      <c r="A46" s="18" t="s">
        <v>223</v>
      </c>
      <c r="B46" s="5" t="s">
        <v>219</v>
      </c>
      <c r="C46" s="19" t="n">
        <v>2542</v>
      </c>
      <c r="D46" s="5" t="s">
        <v>74</v>
      </c>
      <c r="E46" s="5" t="s">
        <v>221</v>
      </c>
      <c r="F46" s="20" t="s">
        <v>224</v>
      </c>
      <c r="G46" s="5" t="s">
        <v>77</v>
      </c>
      <c r="H46" s="21" t="n">
        <v>46</v>
      </c>
      <c r="I46" s="5" t="s">
        <v>198</v>
      </c>
      <c r="J46" s="20" t="s">
        <v>79</v>
      </c>
      <c r="K46" s="20" t="s">
        <v>80</v>
      </c>
      <c r="L46" s="22" t="s">
        <v>81</v>
      </c>
    </row>
    <row r="47" customFormat="false" ht="15" hidden="false" customHeight="false" outlineLevel="0" collapsed="false">
      <c r="A47" s="23" t="s">
        <v>225</v>
      </c>
      <c r="B47" s="24" t="s">
        <v>226</v>
      </c>
      <c r="C47" s="29" t="n">
        <v>1106</v>
      </c>
      <c r="D47" s="24" t="s">
        <v>74</v>
      </c>
      <c r="E47" s="24" t="s">
        <v>111</v>
      </c>
      <c r="F47" s="26" t="s">
        <v>227</v>
      </c>
      <c r="G47" s="24" t="s">
        <v>143</v>
      </c>
      <c r="H47" s="27" t="n">
        <v>432</v>
      </c>
      <c r="I47" s="24" t="s">
        <v>228</v>
      </c>
      <c r="J47" s="26" t="s">
        <v>144</v>
      </c>
      <c r="K47" s="26" t="s">
        <v>80</v>
      </c>
      <c r="L47" s="28" t="s">
        <v>81</v>
      </c>
    </row>
    <row r="48" customFormat="false" ht="15" hidden="false" customHeight="false" outlineLevel="0" collapsed="false">
      <c r="A48" s="18" t="s">
        <v>229</v>
      </c>
      <c r="B48" s="5" t="s">
        <v>230</v>
      </c>
      <c r="C48" s="19" t="n">
        <v>53</v>
      </c>
      <c r="D48" s="5" t="s">
        <v>74</v>
      </c>
      <c r="E48" s="5" t="s">
        <v>111</v>
      </c>
      <c r="F48" s="20" t="s">
        <v>231</v>
      </c>
      <c r="G48" s="5" t="s">
        <v>143</v>
      </c>
      <c r="H48" s="21" t="n">
        <v>432</v>
      </c>
      <c r="I48" s="5" t="s">
        <v>228</v>
      </c>
      <c r="J48" s="20" t="s">
        <v>144</v>
      </c>
      <c r="K48" s="20" t="s">
        <v>80</v>
      </c>
      <c r="L48" s="22" t="s">
        <v>81</v>
      </c>
    </row>
    <row r="49" customFormat="false" ht="15" hidden="false" customHeight="false" outlineLevel="0" collapsed="false">
      <c r="A49" s="23" t="s">
        <v>232</v>
      </c>
      <c r="B49" s="24" t="s">
        <v>233</v>
      </c>
      <c r="C49" s="29" t="n">
        <v>1290</v>
      </c>
      <c r="D49" s="24" t="s">
        <v>74</v>
      </c>
      <c r="E49" s="24" t="s">
        <v>118</v>
      </c>
      <c r="F49" s="26" t="s">
        <v>234</v>
      </c>
      <c r="G49" s="24" t="s">
        <v>120</v>
      </c>
      <c r="H49" s="27" t="n">
        <v>65</v>
      </c>
      <c r="I49" s="24" t="s">
        <v>228</v>
      </c>
      <c r="J49" s="26" t="s">
        <v>121</v>
      </c>
      <c r="K49" s="26" t="s">
        <v>80</v>
      </c>
      <c r="L49" s="28" t="s">
        <v>81</v>
      </c>
    </row>
    <row r="50" customFormat="false" ht="15" hidden="false" customHeight="false" outlineLevel="0" collapsed="false">
      <c r="A50" s="18" t="s">
        <v>235</v>
      </c>
      <c r="B50" s="5" t="s">
        <v>236</v>
      </c>
      <c r="C50" s="19" t="n">
        <v>461</v>
      </c>
      <c r="D50" s="5" t="s">
        <v>74</v>
      </c>
      <c r="E50" s="5" t="s">
        <v>118</v>
      </c>
      <c r="F50" s="20" t="s">
        <v>237</v>
      </c>
      <c r="G50" s="5" t="s">
        <v>120</v>
      </c>
      <c r="H50" s="21" t="n">
        <v>65</v>
      </c>
      <c r="I50" s="5" t="s">
        <v>228</v>
      </c>
      <c r="J50" s="20" t="s">
        <v>121</v>
      </c>
      <c r="K50" s="20" t="s">
        <v>80</v>
      </c>
      <c r="L50" s="22" t="s">
        <v>81</v>
      </c>
    </row>
    <row r="51" customFormat="false" ht="15" hidden="false" customHeight="false" outlineLevel="0" collapsed="false">
      <c r="A51" s="23" t="s">
        <v>238</v>
      </c>
      <c r="B51" s="24" t="s">
        <v>239</v>
      </c>
      <c r="C51" s="29" t="n">
        <v>3</v>
      </c>
      <c r="D51" s="24" t="s">
        <v>240</v>
      </c>
      <c r="E51" s="24" t="s">
        <v>241</v>
      </c>
      <c r="F51" s="26" t="s">
        <v>242</v>
      </c>
      <c r="G51" s="24" t="s">
        <v>243</v>
      </c>
      <c r="H51" s="27" t="n">
        <v>3</v>
      </c>
      <c r="I51" s="24" t="s">
        <v>244</v>
      </c>
      <c r="J51" s="26" t="s">
        <v>245</v>
      </c>
      <c r="K51" s="26" t="s">
        <v>80</v>
      </c>
      <c r="L51" s="28" t="s">
        <v>81</v>
      </c>
    </row>
    <row r="52" customFormat="false" ht="15" hidden="false" customHeight="false" outlineLevel="0" collapsed="false">
      <c r="A52" s="18" t="s">
        <v>246</v>
      </c>
      <c r="B52" s="5" t="s">
        <v>247</v>
      </c>
      <c r="C52" s="30" t="n">
        <v>2.6</v>
      </c>
      <c r="D52" s="5" t="s">
        <v>101</v>
      </c>
      <c r="E52" s="5" t="s">
        <v>241</v>
      </c>
      <c r="F52" s="20" t="s">
        <v>248</v>
      </c>
      <c r="G52" s="5" t="s">
        <v>243</v>
      </c>
      <c r="H52" s="21" t="n">
        <v>3</v>
      </c>
      <c r="I52" s="5" t="s">
        <v>244</v>
      </c>
      <c r="J52" s="20" t="s">
        <v>245</v>
      </c>
      <c r="K52" s="20" t="s">
        <v>80</v>
      </c>
      <c r="L52" s="22" t="s">
        <v>81</v>
      </c>
    </row>
    <row r="53" customFormat="false" ht="15" hidden="false" customHeight="false" outlineLevel="0" collapsed="false">
      <c r="A53" s="23" t="s">
        <v>249</v>
      </c>
      <c r="B53" s="24" t="s">
        <v>250</v>
      </c>
      <c r="C53" s="25" t="n">
        <v>9.8</v>
      </c>
      <c r="D53" s="24" t="s">
        <v>104</v>
      </c>
      <c r="E53" s="24" t="s">
        <v>251</v>
      </c>
      <c r="F53" s="26" t="s">
        <v>252</v>
      </c>
      <c r="G53" s="24" t="s">
        <v>243</v>
      </c>
      <c r="H53" s="27" t="n">
        <v>3</v>
      </c>
      <c r="I53" s="24" t="s">
        <v>244</v>
      </c>
      <c r="J53" s="26" t="s">
        <v>245</v>
      </c>
      <c r="K53" s="26" t="s">
        <v>80</v>
      </c>
      <c r="L53" s="28" t="s">
        <v>81</v>
      </c>
    </row>
    <row r="54" customFormat="false" ht="15" hidden="false" customHeight="false" outlineLevel="0" collapsed="false">
      <c r="A54" s="18" t="s">
        <v>253</v>
      </c>
      <c r="B54" s="5" t="s">
        <v>254</v>
      </c>
      <c r="C54" s="19" t="n">
        <v>120</v>
      </c>
      <c r="D54" s="5" t="s">
        <v>220</v>
      </c>
      <c r="E54" s="5" t="s">
        <v>255</v>
      </c>
      <c r="F54" s="20" t="s">
        <v>256</v>
      </c>
      <c r="G54" s="5" t="s">
        <v>243</v>
      </c>
      <c r="H54" s="21" t="n">
        <v>13</v>
      </c>
      <c r="I54" s="5" t="s">
        <v>244</v>
      </c>
      <c r="J54" s="20" t="s">
        <v>245</v>
      </c>
      <c r="K54" s="20" t="s">
        <v>80</v>
      </c>
      <c r="L54" s="22" t="s">
        <v>81</v>
      </c>
    </row>
    <row r="55" customFormat="false" ht="15" hidden="false" customHeight="false" outlineLevel="0" collapsed="false">
      <c r="A55" s="23" t="s">
        <v>257</v>
      </c>
      <c r="B55" s="24" t="s">
        <v>258</v>
      </c>
      <c r="C55" s="29" t="n">
        <v>90</v>
      </c>
      <c r="D55" s="24" t="s">
        <v>220</v>
      </c>
      <c r="E55" s="24" t="s">
        <v>259</v>
      </c>
      <c r="F55" s="26" t="s">
        <v>260</v>
      </c>
      <c r="G55" s="24" t="s">
        <v>243</v>
      </c>
      <c r="H55" s="27" t="n">
        <v>13</v>
      </c>
      <c r="I55" s="24" t="s">
        <v>244</v>
      </c>
      <c r="J55" s="26" t="s">
        <v>245</v>
      </c>
      <c r="K55" s="26" t="s">
        <v>80</v>
      </c>
      <c r="L55" s="28" t="s">
        <v>81</v>
      </c>
    </row>
    <row r="56" customFormat="false" ht="15" hidden="false" customHeight="false" outlineLevel="0" collapsed="false">
      <c r="A56" s="18" t="s">
        <v>261</v>
      </c>
      <c r="B56" s="5" t="s">
        <v>262</v>
      </c>
      <c r="C56" s="19" t="n">
        <v>200</v>
      </c>
      <c r="D56" s="5" t="s">
        <v>220</v>
      </c>
      <c r="E56" s="5" t="s">
        <v>263</v>
      </c>
      <c r="F56" s="20" t="s">
        <v>264</v>
      </c>
      <c r="G56" s="5" t="s">
        <v>243</v>
      </c>
      <c r="H56" s="21" t="n">
        <v>6</v>
      </c>
      <c r="I56" s="5" t="s">
        <v>78</v>
      </c>
      <c r="J56" s="20" t="s">
        <v>245</v>
      </c>
      <c r="K56" s="20" t="s">
        <v>80</v>
      </c>
      <c r="L56" s="22" t="s">
        <v>81</v>
      </c>
    </row>
    <row r="57" customFormat="false" ht="15" hidden="false" customHeight="false" outlineLevel="0" collapsed="false">
      <c r="A57" s="23" t="s">
        <v>265</v>
      </c>
      <c r="B57" s="24" t="s">
        <v>266</v>
      </c>
      <c r="C57" s="29" t="n">
        <v>1030</v>
      </c>
      <c r="D57" s="24" t="s">
        <v>220</v>
      </c>
      <c r="E57" s="24" t="s">
        <v>263</v>
      </c>
      <c r="F57" s="26" t="s">
        <v>267</v>
      </c>
      <c r="G57" s="24" t="s">
        <v>243</v>
      </c>
      <c r="H57" s="27" t="n">
        <v>6</v>
      </c>
      <c r="I57" s="24" t="s">
        <v>198</v>
      </c>
      <c r="J57" s="26" t="s">
        <v>245</v>
      </c>
      <c r="K57" s="26" t="s">
        <v>80</v>
      </c>
      <c r="L57" s="28" t="s">
        <v>81</v>
      </c>
    </row>
    <row r="58" customFormat="false" ht="15" hidden="false" customHeight="false" outlineLevel="0" collapsed="false">
      <c r="A58" s="18" t="s">
        <v>268</v>
      </c>
      <c r="B58" s="5" t="s">
        <v>269</v>
      </c>
      <c r="C58" s="19" t="n">
        <v>60</v>
      </c>
      <c r="D58" s="5" t="s">
        <v>270</v>
      </c>
      <c r="E58" s="5" t="s">
        <v>263</v>
      </c>
      <c r="F58" s="20" t="s">
        <v>271</v>
      </c>
      <c r="G58" s="5" t="s">
        <v>243</v>
      </c>
      <c r="H58" s="21" t="n">
        <v>6</v>
      </c>
      <c r="I58" s="5" t="s">
        <v>98</v>
      </c>
      <c r="J58" s="20" t="s">
        <v>245</v>
      </c>
      <c r="K58" s="20" t="s">
        <v>80</v>
      </c>
      <c r="L58" s="22" t="s">
        <v>81</v>
      </c>
    </row>
    <row r="59" customFormat="false" ht="15" hidden="false" customHeight="false" outlineLevel="0" collapsed="false">
      <c r="A59" s="23" t="s">
        <v>272</v>
      </c>
      <c r="B59" s="24" t="s">
        <v>266</v>
      </c>
      <c r="C59" s="29" t="n">
        <v>980</v>
      </c>
      <c r="D59" s="24" t="s">
        <v>220</v>
      </c>
      <c r="E59" s="24" t="s">
        <v>273</v>
      </c>
      <c r="F59" s="26" t="s">
        <v>274</v>
      </c>
      <c r="G59" s="24" t="s">
        <v>243</v>
      </c>
      <c r="H59" s="27" t="n">
        <v>7</v>
      </c>
      <c r="I59" s="24" t="s">
        <v>198</v>
      </c>
      <c r="J59" s="26" t="s">
        <v>245</v>
      </c>
      <c r="K59" s="26" t="s">
        <v>80</v>
      </c>
      <c r="L59" s="28" t="s">
        <v>81</v>
      </c>
    </row>
    <row r="60" customFormat="false" ht="15" hidden="false" customHeight="false" outlineLevel="0" collapsed="false">
      <c r="A60" s="18" t="s">
        <v>275</v>
      </c>
      <c r="B60" s="5" t="s">
        <v>276</v>
      </c>
      <c r="C60" s="19" t="n">
        <v>3</v>
      </c>
      <c r="D60" s="5" t="s">
        <v>104</v>
      </c>
      <c r="E60" s="5" t="s">
        <v>162</v>
      </c>
      <c r="F60" s="20" t="s">
        <v>105</v>
      </c>
      <c r="G60" s="5" t="s">
        <v>243</v>
      </c>
      <c r="H60" s="21" t="n">
        <v>16</v>
      </c>
      <c r="I60" s="5" t="s">
        <v>78</v>
      </c>
      <c r="J60" s="20" t="s">
        <v>245</v>
      </c>
      <c r="K60" s="20" t="s">
        <v>80</v>
      </c>
      <c r="L60" s="22" t="s">
        <v>81</v>
      </c>
    </row>
    <row r="61" customFormat="false" ht="15" hidden="false" customHeight="false" outlineLevel="0" collapsed="false">
      <c r="A61" s="23" t="s">
        <v>277</v>
      </c>
      <c r="B61" s="24" t="s">
        <v>278</v>
      </c>
      <c r="C61" s="29" t="n">
        <v>3</v>
      </c>
      <c r="D61" s="24" t="s">
        <v>104</v>
      </c>
      <c r="E61" s="24" t="s">
        <v>127</v>
      </c>
      <c r="F61" s="26" t="s">
        <v>105</v>
      </c>
      <c r="G61" s="24" t="s">
        <v>243</v>
      </c>
      <c r="H61" s="27" t="n">
        <v>16</v>
      </c>
      <c r="I61" s="24" t="s">
        <v>78</v>
      </c>
      <c r="J61" s="26" t="s">
        <v>245</v>
      </c>
      <c r="K61" s="26" t="s">
        <v>80</v>
      </c>
      <c r="L61" s="28" t="s">
        <v>81</v>
      </c>
    </row>
    <row r="62" customFormat="false" ht="15" hidden="false" customHeight="false" outlineLevel="0" collapsed="false">
      <c r="A62" s="18" t="s">
        <v>279</v>
      </c>
      <c r="B62" s="5" t="s">
        <v>280</v>
      </c>
      <c r="C62" s="19" t="n">
        <v>3</v>
      </c>
      <c r="D62" s="5" t="s">
        <v>104</v>
      </c>
      <c r="E62" s="5" t="s">
        <v>281</v>
      </c>
      <c r="F62" s="20" t="s">
        <v>105</v>
      </c>
      <c r="G62" s="5" t="s">
        <v>216</v>
      </c>
      <c r="H62" s="21" t="n">
        <v>3</v>
      </c>
      <c r="I62" s="5" t="s">
        <v>78</v>
      </c>
      <c r="J62" s="20" t="s">
        <v>217</v>
      </c>
      <c r="K62" s="20" t="s">
        <v>80</v>
      </c>
      <c r="L62" s="22" t="s">
        <v>81</v>
      </c>
    </row>
    <row r="63" customFormat="false" ht="15" hidden="false" customHeight="false" outlineLevel="0" collapsed="false">
      <c r="A63" s="23" t="s">
        <v>282</v>
      </c>
      <c r="B63" s="24" t="s">
        <v>283</v>
      </c>
      <c r="C63" s="25" t="n">
        <v>4.3</v>
      </c>
      <c r="D63" s="24" t="s">
        <v>101</v>
      </c>
      <c r="E63" s="24" t="s">
        <v>196</v>
      </c>
      <c r="F63" s="26" t="s">
        <v>284</v>
      </c>
      <c r="G63" s="24" t="s">
        <v>243</v>
      </c>
      <c r="H63" s="27" t="n">
        <v>4</v>
      </c>
      <c r="I63" s="24" t="s">
        <v>198</v>
      </c>
      <c r="J63" s="26" t="s">
        <v>245</v>
      </c>
      <c r="K63" s="26" t="s">
        <v>80</v>
      </c>
      <c r="L63" s="28" t="s">
        <v>81</v>
      </c>
    </row>
    <row r="64" customFormat="false" ht="15" hidden="false" customHeight="false" outlineLevel="0" collapsed="false">
      <c r="A64" s="18" t="s">
        <v>285</v>
      </c>
      <c r="B64" s="5" t="s">
        <v>286</v>
      </c>
      <c r="C64" s="30" t="n">
        <v>5.2</v>
      </c>
      <c r="D64" s="5" t="s">
        <v>101</v>
      </c>
      <c r="E64" s="5" t="s">
        <v>273</v>
      </c>
      <c r="F64" s="20" t="s">
        <v>287</v>
      </c>
      <c r="G64" s="5" t="s">
        <v>243</v>
      </c>
      <c r="H64" s="21" t="n">
        <v>9</v>
      </c>
      <c r="I64" s="5" t="s">
        <v>198</v>
      </c>
      <c r="J64" s="20" t="s">
        <v>245</v>
      </c>
      <c r="K64" s="20" t="s">
        <v>80</v>
      </c>
      <c r="L64" s="22" t="s">
        <v>81</v>
      </c>
    </row>
    <row r="65" customFormat="false" ht="15" hidden="false" customHeight="false" outlineLevel="0" collapsed="false">
      <c r="A65" s="23" t="s">
        <v>288</v>
      </c>
      <c r="B65" s="24" t="s">
        <v>289</v>
      </c>
      <c r="C65" s="25" t="n">
        <v>0.9</v>
      </c>
      <c r="D65" s="24" t="s">
        <v>101</v>
      </c>
      <c r="E65" s="24" t="s">
        <v>273</v>
      </c>
      <c r="F65" s="26" t="s">
        <v>290</v>
      </c>
      <c r="G65" s="24" t="s">
        <v>243</v>
      </c>
      <c r="H65" s="27" t="n">
        <v>9</v>
      </c>
      <c r="I65" s="24" t="s">
        <v>198</v>
      </c>
      <c r="J65" s="26" t="s">
        <v>245</v>
      </c>
      <c r="K65" s="26" t="s">
        <v>80</v>
      </c>
      <c r="L65" s="28" t="s">
        <v>81</v>
      </c>
    </row>
    <row r="66" customFormat="false" ht="15" hidden="false" customHeight="false" outlineLevel="0" collapsed="false">
      <c r="A66" s="18" t="s">
        <v>291</v>
      </c>
      <c r="B66" s="5" t="s">
        <v>292</v>
      </c>
      <c r="C66" s="19" t="n">
        <v>17</v>
      </c>
      <c r="D66" s="5" t="s">
        <v>270</v>
      </c>
      <c r="E66" s="5" t="s">
        <v>273</v>
      </c>
      <c r="F66" s="20" t="s">
        <v>293</v>
      </c>
      <c r="G66" s="5" t="s">
        <v>243</v>
      </c>
      <c r="H66" s="21" t="n">
        <v>9</v>
      </c>
      <c r="I66" s="5" t="s">
        <v>198</v>
      </c>
      <c r="J66" s="20" t="s">
        <v>245</v>
      </c>
      <c r="K66" s="20" t="s">
        <v>80</v>
      </c>
      <c r="L66" s="22" t="s">
        <v>81</v>
      </c>
    </row>
    <row r="67" customFormat="false" ht="15" hidden="false" customHeight="false" outlineLevel="0" collapsed="false">
      <c r="A67" s="23" t="s">
        <v>294</v>
      </c>
      <c r="B67" s="24" t="s">
        <v>295</v>
      </c>
      <c r="C67" s="29" t="n">
        <v>10</v>
      </c>
      <c r="D67" s="24" t="s">
        <v>296</v>
      </c>
      <c r="E67" s="24" t="s">
        <v>85</v>
      </c>
      <c r="F67" s="26" t="s">
        <v>207</v>
      </c>
      <c r="G67" s="24" t="s">
        <v>243</v>
      </c>
      <c r="H67" s="27" t="n">
        <v>9</v>
      </c>
      <c r="I67" s="24" t="s">
        <v>198</v>
      </c>
      <c r="J67" s="26" t="s">
        <v>245</v>
      </c>
      <c r="K67" s="26" t="s">
        <v>80</v>
      </c>
      <c r="L67" s="28" t="s">
        <v>81</v>
      </c>
    </row>
    <row r="68" customFormat="false" ht="15" hidden="false" customHeight="false" outlineLevel="0" collapsed="false">
      <c r="A68" s="18" t="s">
        <v>297</v>
      </c>
      <c r="B68" s="5" t="s">
        <v>298</v>
      </c>
      <c r="C68" s="19" t="n">
        <v>430</v>
      </c>
      <c r="D68" s="5" t="s">
        <v>195</v>
      </c>
      <c r="E68" s="5" t="s">
        <v>299</v>
      </c>
      <c r="F68" s="20" t="s">
        <v>300</v>
      </c>
      <c r="G68" s="5" t="s">
        <v>243</v>
      </c>
      <c r="H68" s="21" t="n">
        <v>9</v>
      </c>
      <c r="I68" s="5" t="s">
        <v>198</v>
      </c>
      <c r="J68" s="20" t="s">
        <v>245</v>
      </c>
      <c r="K68" s="20" t="s">
        <v>80</v>
      </c>
      <c r="L68" s="22" t="s">
        <v>81</v>
      </c>
    </row>
    <row r="69" customFormat="false" ht="15" hidden="false" customHeight="false" outlineLevel="0" collapsed="false">
      <c r="A69" s="23" t="s">
        <v>301</v>
      </c>
      <c r="B69" s="24" t="s">
        <v>302</v>
      </c>
      <c r="C69" s="29" t="n">
        <v>-2301</v>
      </c>
      <c r="D69" s="24" t="s">
        <v>74</v>
      </c>
      <c r="E69" s="24" t="s">
        <v>91</v>
      </c>
      <c r="F69" s="26" t="s">
        <v>303</v>
      </c>
      <c r="G69" s="24" t="s">
        <v>93</v>
      </c>
      <c r="H69" s="27" t="n">
        <v>14</v>
      </c>
      <c r="I69" s="24" t="s">
        <v>98</v>
      </c>
      <c r="J69" s="26" t="s">
        <v>94</v>
      </c>
      <c r="K69" s="26" t="s">
        <v>80</v>
      </c>
      <c r="L69" s="28" t="s">
        <v>81</v>
      </c>
    </row>
    <row r="70" customFormat="false" ht="15" hidden="false" customHeight="false" outlineLevel="0" collapsed="false">
      <c r="A70" s="18" t="s">
        <v>304</v>
      </c>
      <c r="B70" s="5" t="s">
        <v>305</v>
      </c>
      <c r="C70" s="19" t="n">
        <v>-1023</v>
      </c>
      <c r="D70" s="5" t="s">
        <v>74</v>
      </c>
      <c r="E70" s="5" t="s">
        <v>91</v>
      </c>
      <c r="F70" s="20" t="s">
        <v>306</v>
      </c>
      <c r="G70" s="5" t="s">
        <v>93</v>
      </c>
      <c r="H70" s="21" t="n">
        <v>15</v>
      </c>
      <c r="I70" s="5" t="s">
        <v>98</v>
      </c>
      <c r="J70" s="20" t="s">
        <v>94</v>
      </c>
      <c r="K70" s="20" t="s">
        <v>80</v>
      </c>
      <c r="L70" s="22" t="s">
        <v>81</v>
      </c>
    </row>
    <row r="71" customFormat="false" ht="15" hidden="false" customHeight="false" outlineLevel="0" collapsed="false">
      <c r="A71" s="23" t="s">
        <v>307</v>
      </c>
      <c r="B71" s="24" t="s">
        <v>308</v>
      </c>
      <c r="C71" s="29" t="n">
        <v>497</v>
      </c>
      <c r="D71" s="24" t="s">
        <v>74</v>
      </c>
      <c r="E71" s="24" t="s">
        <v>91</v>
      </c>
      <c r="F71" s="26" t="s">
        <v>309</v>
      </c>
      <c r="G71" s="24" t="s">
        <v>93</v>
      </c>
      <c r="H71" s="27" t="n">
        <v>15</v>
      </c>
      <c r="I71" s="24" t="s">
        <v>78</v>
      </c>
      <c r="J71" s="26" t="s">
        <v>94</v>
      </c>
      <c r="K71" s="26" t="s">
        <v>80</v>
      </c>
      <c r="L71" s="28" t="s">
        <v>81</v>
      </c>
    </row>
    <row r="72" customFormat="false" ht="15" hidden="false" customHeight="false" outlineLevel="0" collapsed="false">
      <c r="A72" s="18" t="s">
        <v>310</v>
      </c>
      <c r="B72" s="5" t="s">
        <v>311</v>
      </c>
      <c r="C72" s="19" t="n">
        <v>318</v>
      </c>
      <c r="D72" s="5" t="s">
        <v>74</v>
      </c>
      <c r="E72" s="5" t="s">
        <v>91</v>
      </c>
      <c r="F72" s="20" t="s">
        <v>312</v>
      </c>
      <c r="G72" s="5" t="s">
        <v>93</v>
      </c>
      <c r="H72" s="21" t="n">
        <v>15</v>
      </c>
      <c r="I72" s="5" t="s">
        <v>98</v>
      </c>
      <c r="J72" s="20" t="s">
        <v>94</v>
      </c>
      <c r="K72" s="20" t="s">
        <v>80</v>
      </c>
      <c r="L72" s="22" t="s">
        <v>81</v>
      </c>
    </row>
    <row r="73" customFormat="false" ht="15" hidden="false" customHeight="false" outlineLevel="0" collapsed="false">
      <c r="A73" s="23" t="s">
        <v>313</v>
      </c>
      <c r="B73" s="24" t="s">
        <v>314</v>
      </c>
      <c r="C73" s="29" t="n">
        <v>-402</v>
      </c>
      <c r="D73" s="24" t="s">
        <v>74</v>
      </c>
      <c r="E73" s="24" t="s">
        <v>91</v>
      </c>
      <c r="F73" s="26" t="s">
        <v>315</v>
      </c>
      <c r="G73" s="24" t="s">
        <v>93</v>
      </c>
      <c r="H73" s="27" t="n">
        <v>15</v>
      </c>
      <c r="I73" s="24" t="s">
        <v>98</v>
      </c>
      <c r="J73" s="26" t="s">
        <v>94</v>
      </c>
      <c r="K73" s="26" t="s">
        <v>80</v>
      </c>
      <c r="L73" s="28" t="s">
        <v>81</v>
      </c>
    </row>
    <row r="74" customFormat="false" ht="15" hidden="false" customHeight="false" outlineLevel="0" collapsed="false">
      <c r="A74" s="18" t="s">
        <v>316</v>
      </c>
      <c r="B74" s="5" t="s">
        <v>317</v>
      </c>
      <c r="C74" s="19" t="n">
        <v>293</v>
      </c>
      <c r="D74" s="5" t="s">
        <v>74</v>
      </c>
      <c r="E74" s="5" t="s">
        <v>91</v>
      </c>
      <c r="F74" s="20" t="s">
        <v>318</v>
      </c>
      <c r="G74" s="5" t="s">
        <v>93</v>
      </c>
      <c r="H74" s="21" t="n">
        <v>15</v>
      </c>
      <c r="I74" s="5" t="s">
        <v>98</v>
      </c>
      <c r="J74" s="20" t="s">
        <v>94</v>
      </c>
      <c r="K74" s="20" t="s">
        <v>80</v>
      </c>
      <c r="L74" s="22" t="s">
        <v>81</v>
      </c>
    </row>
    <row r="75" customFormat="false" ht="15" hidden="false" customHeight="false" outlineLevel="0" collapsed="false">
      <c r="A75" s="23" t="s">
        <v>319</v>
      </c>
      <c r="B75" s="24" t="s">
        <v>180</v>
      </c>
      <c r="C75" s="29" t="n">
        <v>-451</v>
      </c>
      <c r="D75" s="24" t="s">
        <v>74</v>
      </c>
      <c r="E75" s="24" t="s">
        <v>153</v>
      </c>
      <c r="F75" s="26" t="s">
        <v>320</v>
      </c>
      <c r="G75" s="24" t="s">
        <v>120</v>
      </c>
      <c r="H75" s="27" t="n">
        <v>25</v>
      </c>
      <c r="I75" s="24" t="s">
        <v>98</v>
      </c>
      <c r="J75" s="26" t="s">
        <v>121</v>
      </c>
      <c r="K75" s="26" t="s">
        <v>80</v>
      </c>
      <c r="L75" s="28" t="s">
        <v>81</v>
      </c>
    </row>
    <row r="76" customFormat="false" ht="15" hidden="false" customHeight="false" outlineLevel="0" collapsed="false">
      <c r="A76" s="18" t="s">
        <v>321</v>
      </c>
      <c r="B76" s="5" t="s">
        <v>110</v>
      </c>
      <c r="C76" s="19" t="n">
        <v>20764</v>
      </c>
      <c r="D76" s="5" t="s">
        <v>74</v>
      </c>
      <c r="E76" s="5" t="s">
        <v>322</v>
      </c>
      <c r="F76" s="20" t="s">
        <v>323</v>
      </c>
      <c r="G76" s="5" t="s">
        <v>120</v>
      </c>
      <c r="H76" s="21" t="n">
        <v>26</v>
      </c>
      <c r="I76" s="5" t="s">
        <v>78</v>
      </c>
      <c r="J76" s="20" t="s">
        <v>121</v>
      </c>
      <c r="K76" s="20" t="s">
        <v>80</v>
      </c>
      <c r="L76" s="22" t="s">
        <v>81</v>
      </c>
    </row>
    <row r="77" customFormat="false" ht="15" hidden="false" customHeight="false" outlineLevel="0" collapsed="false">
      <c r="A77" s="23" t="s">
        <v>324</v>
      </c>
      <c r="B77" s="24" t="s">
        <v>325</v>
      </c>
      <c r="C77" s="29" t="n">
        <v>-1394</v>
      </c>
      <c r="D77" s="24" t="s">
        <v>74</v>
      </c>
      <c r="E77" s="24" t="s">
        <v>75</v>
      </c>
      <c r="F77" s="26" t="s">
        <v>326</v>
      </c>
      <c r="G77" s="24" t="s">
        <v>120</v>
      </c>
      <c r="H77" s="27" t="n">
        <v>26</v>
      </c>
      <c r="I77" s="24" t="s">
        <v>98</v>
      </c>
      <c r="J77" s="26" t="s">
        <v>121</v>
      </c>
      <c r="K77" s="26" t="s">
        <v>80</v>
      </c>
      <c r="L77" s="28" t="s">
        <v>81</v>
      </c>
    </row>
    <row r="78" customFormat="false" ht="15" hidden="false" customHeight="false" outlineLevel="0" collapsed="false">
      <c r="A78" s="18" t="s">
        <v>327</v>
      </c>
      <c r="B78" s="5" t="s">
        <v>328</v>
      </c>
      <c r="C78" s="19" t="n">
        <v>-1267</v>
      </c>
      <c r="D78" s="5" t="s">
        <v>74</v>
      </c>
      <c r="E78" s="5" t="s">
        <v>153</v>
      </c>
      <c r="F78" s="20" t="s">
        <v>329</v>
      </c>
      <c r="G78" s="5" t="s">
        <v>120</v>
      </c>
      <c r="H78" s="21" t="n">
        <v>26</v>
      </c>
      <c r="I78" s="5" t="s">
        <v>98</v>
      </c>
      <c r="J78" s="20" t="s">
        <v>121</v>
      </c>
      <c r="K78" s="20" t="s">
        <v>80</v>
      </c>
      <c r="L78" s="22" t="s">
        <v>81</v>
      </c>
    </row>
    <row r="79" customFormat="false" ht="15" hidden="false" customHeight="false" outlineLevel="0" collapsed="false">
      <c r="A79" s="23" t="s">
        <v>330</v>
      </c>
      <c r="B79" s="24" t="s">
        <v>331</v>
      </c>
      <c r="C79" s="29" t="n">
        <v>1099</v>
      </c>
      <c r="D79" s="24" t="s">
        <v>74</v>
      </c>
      <c r="E79" s="24" t="s">
        <v>162</v>
      </c>
      <c r="F79" s="26" t="s">
        <v>332</v>
      </c>
      <c r="G79" s="24" t="s">
        <v>120</v>
      </c>
      <c r="H79" s="27" t="n">
        <v>25</v>
      </c>
      <c r="I79" s="24" t="s">
        <v>98</v>
      </c>
      <c r="J79" s="26" t="s">
        <v>121</v>
      </c>
      <c r="K79" s="26" t="s">
        <v>80</v>
      </c>
      <c r="L79" s="28" t="s">
        <v>81</v>
      </c>
    </row>
    <row r="80" customFormat="false" ht="15" hidden="false" customHeight="false" outlineLevel="0" collapsed="false">
      <c r="A80" s="18" t="s">
        <v>333</v>
      </c>
      <c r="B80" s="5" t="s">
        <v>334</v>
      </c>
      <c r="C80" s="19" t="n">
        <v>-2869</v>
      </c>
      <c r="D80" s="5" t="s">
        <v>74</v>
      </c>
      <c r="E80" s="5" t="s">
        <v>75</v>
      </c>
      <c r="F80" s="20" t="s">
        <v>335</v>
      </c>
      <c r="G80" s="5" t="s">
        <v>120</v>
      </c>
      <c r="H80" s="21" t="n">
        <v>25</v>
      </c>
      <c r="I80" s="5" t="s">
        <v>98</v>
      </c>
      <c r="J80" s="20" t="s">
        <v>121</v>
      </c>
      <c r="K80" s="20" t="s">
        <v>80</v>
      </c>
      <c r="L80" s="22" t="s">
        <v>81</v>
      </c>
    </row>
    <row r="81" customFormat="false" ht="15" hidden="false" customHeight="false" outlineLevel="0" collapsed="false">
      <c r="A81" s="23" t="s">
        <v>336</v>
      </c>
      <c r="B81" s="24" t="s">
        <v>337</v>
      </c>
      <c r="C81" s="29" t="n">
        <v>-2778</v>
      </c>
      <c r="D81" s="24" t="s">
        <v>74</v>
      </c>
      <c r="E81" s="24" t="s">
        <v>75</v>
      </c>
      <c r="F81" s="26" t="s">
        <v>338</v>
      </c>
      <c r="G81" s="24" t="s">
        <v>120</v>
      </c>
      <c r="H81" s="27" t="n">
        <v>25</v>
      </c>
      <c r="I81" s="24" t="s">
        <v>244</v>
      </c>
      <c r="J81" s="26" t="s">
        <v>121</v>
      </c>
      <c r="K81" s="26" t="s">
        <v>80</v>
      </c>
      <c r="L81" s="28" t="s">
        <v>81</v>
      </c>
    </row>
    <row r="82" customFormat="false" ht="15" hidden="false" customHeight="false" outlineLevel="0" collapsed="false">
      <c r="A82" s="18" t="s">
        <v>339</v>
      </c>
      <c r="B82" s="5" t="s">
        <v>340</v>
      </c>
      <c r="C82" s="19" t="n">
        <v>-137</v>
      </c>
      <c r="D82" s="5" t="s">
        <v>74</v>
      </c>
      <c r="E82" s="5" t="s">
        <v>75</v>
      </c>
      <c r="F82" s="20" t="s">
        <v>341</v>
      </c>
      <c r="G82" s="5" t="s">
        <v>120</v>
      </c>
      <c r="H82" s="21" t="n">
        <v>25</v>
      </c>
      <c r="I82" s="5" t="s">
        <v>244</v>
      </c>
      <c r="J82" s="20" t="s">
        <v>121</v>
      </c>
      <c r="K82" s="20" t="s">
        <v>80</v>
      </c>
      <c r="L82" s="22" t="s">
        <v>81</v>
      </c>
    </row>
    <row r="83" customFormat="false" ht="15" hidden="false" customHeight="false" outlineLevel="0" collapsed="false">
      <c r="A83" s="23" t="s">
        <v>342</v>
      </c>
      <c r="B83" s="24" t="s">
        <v>343</v>
      </c>
      <c r="C83" s="29" t="n">
        <v>-260</v>
      </c>
      <c r="D83" s="24" t="s">
        <v>74</v>
      </c>
      <c r="E83" s="24" t="s">
        <v>75</v>
      </c>
      <c r="F83" s="26" t="s">
        <v>344</v>
      </c>
      <c r="G83" s="24" t="s">
        <v>120</v>
      </c>
      <c r="H83" s="27" t="n">
        <v>25</v>
      </c>
      <c r="I83" s="24" t="s">
        <v>78</v>
      </c>
      <c r="J83" s="26" t="s">
        <v>121</v>
      </c>
      <c r="K83" s="26" t="s">
        <v>80</v>
      </c>
      <c r="L83" s="28" t="s">
        <v>81</v>
      </c>
    </row>
    <row r="84" customFormat="false" ht="15" hidden="false" customHeight="false" outlineLevel="0" collapsed="false">
      <c r="A84" s="18" t="s">
        <v>345</v>
      </c>
      <c r="B84" s="5" t="s">
        <v>346</v>
      </c>
      <c r="C84" s="19" t="n">
        <v>-70</v>
      </c>
      <c r="D84" s="5" t="s">
        <v>74</v>
      </c>
      <c r="E84" s="5" t="s">
        <v>75</v>
      </c>
      <c r="F84" s="20" t="s">
        <v>347</v>
      </c>
      <c r="G84" s="5" t="s">
        <v>120</v>
      </c>
      <c r="H84" s="21" t="n">
        <v>26</v>
      </c>
      <c r="I84" s="5" t="s">
        <v>98</v>
      </c>
      <c r="J84" s="20" t="s">
        <v>121</v>
      </c>
      <c r="K84" s="20" t="s">
        <v>80</v>
      </c>
      <c r="L84" s="22" t="s">
        <v>81</v>
      </c>
    </row>
    <row r="85" customFormat="false" ht="15" hidden="false" customHeight="false" outlineLevel="0" collapsed="false">
      <c r="A85" s="23" t="s">
        <v>348</v>
      </c>
      <c r="B85" s="24" t="s">
        <v>349</v>
      </c>
      <c r="C85" s="29" t="n">
        <v>10</v>
      </c>
      <c r="D85" s="24" t="s">
        <v>74</v>
      </c>
      <c r="E85" s="24" t="s">
        <v>75</v>
      </c>
      <c r="F85" s="26" t="s">
        <v>207</v>
      </c>
      <c r="G85" s="24" t="s">
        <v>120</v>
      </c>
      <c r="H85" s="27" t="n">
        <v>26</v>
      </c>
      <c r="I85" s="24" t="s">
        <v>98</v>
      </c>
      <c r="J85" s="26" t="s">
        <v>121</v>
      </c>
      <c r="K85" s="26" t="s">
        <v>80</v>
      </c>
      <c r="L85" s="28" t="s">
        <v>81</v>
      </c>
    </row>
    <row r="86" customFormat="false" ht="15" hidden="false" customHeight="false" outlineLevel="0" collapsed="false">
      <c r="A86" s="18" t="s">
        <v>350</v>
      </c>
      <c r="B86" s="5" t="s">
        <v>351</v>
      </c>
      <c r="C86" s="19" t="n">
        <v>2</v>
      </c>
      <c r="D86" s="5" t="s">
        <v>74</v>
      </c>
      <c r="E86" s="5" t="s">
        <v>75</v>
      </c>
      <c r="F86" s="20" t="s">
        <v>171</v>
      </c>
      <c r="G86" s="5" t="s">
        <v>120</v>
      </c>
      <c r="H86" s="21" t="n">
        <v>26</v>
      </c>
      <c r="I86" s="5" t="s">
        <v>98</v>
      </c>
      <c r="J86" s="20" t="s">
        <v>121</v>
      </c>
      <c r="K86" s="20" t="s">
        <v>80</v>
      </c>
      <c r="L86" s="22" t="s">
        <v>81</v>
      </c>
    </row>
    <row r="87" customFormat="false" ht="15" hidden="false" customHeight="false" outlineLevel="0" collapsed="false">
      <c r="A87" s="23" t="s">
        <v>352</v>
      </c>
      <c r="B87" s="24" t="s">
        <v>353</v>
      </c>
      <c r="C87" s="29" t="n">
        <v>-21</v>
      </c>
      <c r="D87" s="24" t="s">
        <v>74</v>
      </c>
      <c r="E87" s="24" t="s">
        <v>75</v>
      </c>
      <c r="F87" s="26" t="s">
        <v>354</v>
      </c>
      <c r="G87" s="24" t="s">
        <v>120</v>
      </c>
      <c r="H87" s="27" t="n">
        <v>26</v>
      </c>
      <c r="I87" s="24" t="s">
        <v>78</v>
      </c>
      <c r="J87" s="26" t="s">
        <v>121</v>
      </c>
      <c r="K87" s="26" t="s">
        <v>80</v>
      </c>
      <c r="L87" s="28" t="s">
        <v>81</v>
      </c>
    </row>
    <row r="88" customFormat="false" ht="15" hidden="false" customHeight="false" outlineLevel="0" collapsed="false">
      <c r="A88" s="18" t="s">
        <v>355</v>
      </c>
      <c r="B88" s="5" t="s">
        <v>356</v>
      </c>
      <c r="C88" s="19" t="n">
        <v>-1238</v>
      </c>
      <c r="D88" s="5" t="s">
        <v>74</v>
      </c>
      <c r="E88" s="5" t="s">
        <v>75</v>
      </c>
      <c r="F88" s="20" t="s">
        <v>357</v>
      </c>
      <c r="G88" s="5" t="s">
        <v>120</v>
      </c>
      <c r="H88" s="21" t="n">
        <v>26</v>
      </c>
      <c r="I88" s="5" t="s">
        <v>98</v>
      </c>
      <c r="J88" s="20" t="s">
        <v>121</v>
      </c>
      <c r="K88" s="20" t="s">
        <v>80</v>
      </c>
      <c r="L88" s="22" t="s">
        <v>81</v>
      </c>
    </row>
    <row r="89" customFormat="false" ht="15" hidden="false" customHeight="false" outlineLevel="0" collapsed="false">
      <c r="A89" s="23" t="s">
        <v>358</v>
      </c>
      <c r="B89" s="24" t="s">
        <v>356</v>
      </c>
      <c r="C89" s="29" t="n">
        <v>-1171</v>
      </c>
      <c r="D89" s="24" t="s">
        <v>74</v>
      </c>
      <c r="E89" s="24" t="s">
        <v>153</v>
      </c>
      <c r="F89" s="26" t="s">
        <v>359</v>
      </c>
      <c r="G89" s="24" t="s">
        <v>120</v>
      </c>
      <c r="H89" s="27" t="n">
        <v>26</v>
      </c>
      <c r="I89" s="24" t="s">
        <v>98</v>
      </c>
      <c r="J89" s="26" t="s">
        <v>121</v>
      </c>
      <c r="K89" s="26" t="s">
        <v>80</v>
      </c>
      <c r="L89" s="28" t="s">
        <v>81</v>
      </c>
    </row>
    <row r="90" customFormat="false" ht="15" hidden="false" customHeight="false" outlineLevel="0" collapsed="false">
      <c r="A90" s="18" t="s">
        <v>360</v>
      </c>
      <c r="B90" s="5" t="s">
        <v>361</v>
      </c>
      <c r="C90" s="19" t="n">
        <v>-1630</v>
      </c>
      <c r="D90" s="5" t="s">
        <v>74</v>
      </c>
      <c r="E90" s="5" t="s">
        <v>75</v>
      </c>
      <c r="F90" s="20" t="s">
        <v>362</v>
      </c>
      <c r="G90" s="5" t="s">
        <v>120</v>
      </c>
      <c r="H90" s="21" t="n">
        <v>26</v>
      </c>
      <c r="I90" s="5" t="s">
        <v>98</v>
      </c>
      <c r="J90" s="20" t="s">
        <v>121</v>
      </c>
      <c r="K90" s="20" t="s">
        <v>80</v>
      </c>
      <c r="L90" s="22" t="s">
        <v>81</v>
      </c>
    </row>
    <row r="91" customFormat="false" ht="15" hidden="false" customHeight="false" outlineLevel="0" collapsed="false">
      <c r="A91" s="23" t="s">
        <v>363</v>
      </c>
      <c r="B91" s="24" t="s">
        <v>364</v>
      </c>
      <c r="C91" s="29" t="n">
        <v>731697339</v>
      </c>
      <c r="D91" s="24" t="s">
        <v>365</v>
      </c>
      <c r="E91" s="24" t="s">
        <v>75</v>
      </c>
      <c r="F91" s="26" t="s">
        <v>366</v>
      </c>
      <c r="G91" s="24" t="s">
        <v>120</v>
      </c>
      <c r="H91" s="27" t="n">
        <v>64</v>
      </c>
      <c r="I91" s="24" t="s">
        <v>98</v>
      </c>
      <c r="J91" s="26" t="s">
        <v>121</v>
      </c>
      <c r="K91" s="26" t="s">
        <v>80</v>
      </c>
      <c r="L91" s="28" t="s">
        <v>81</v>
      </c>
    </row>
    <row r="92" customFormat="false" ht="15" hidden="false" customHeight="false" outlineLevel="0" collapsed="false">
      <c r="A92" s="18" t="s">
        <v>367</v>
      </c>
      <c r="B92" s="5" t="s">
        <v>368</v>
      </c>
      <c r="C92" s="19" t="n">
        <v>5</v>
      </c>
      <c r="D92" s="5" t="s">
        <v>270</v>
      </c>
      <c r="E92" s="5" t="s">
        <v>162</v>
      </c>
      <c r="F92" s="20" t="s">
        <v>369</v>
      </c>
      <c r="G92" s="5" t="s">
        <v>216</v>
      </c>
      <c r="H92" s="21" t="n">
        <v>3</v>
      </c>
      <c r="I92" s="5" t="s">
        <v>98</v>
      </c>
      <c r="J92" s="20" t="s">
        <v>217</v>
      </c>
      <c r="K92" s="20" t="s">
        <v>80</v>
      </c>
      <c r="L92" s="22" t="s">
        <v>81</v>
      </c>
    </row>
    <row r="93" customFormat="false" ht="15" hidden="false" customHeight="false" outlineLevel="0" collapsed="false">
      <c r="A93" s="23" t="s">
        <v>370</v>
      </c>
      <c r="B93" s="24" t="s">
        <v>371</v>
      </c>
      <c r="C93" s="29" t="n">
        <v>6</v>
      </c>
      <c r="D93" s="24" t="s">
        <v>270</v>
      </c>
      <c r="E93" s="24" t="s">
        <v>162</v>
      </c>
      <c r="F93" s="26" t="s">
        <v>372</v>
      </c>
      <c r="G93" s="24" t="s">
        <v>216</v>
      </c>
      <c r="H93" s="27" t="n">
        <v>3</v>
      </c>
      <c r="I93" s="24" t="s">
        <v>98</v>
      </c>
      <c r="J93" s="26" t="s">
        <v>217</v>
      </c>
      <c r="K93" s="26" t="s">
        <v>80</v>
      </c>
      <c r="L93" s="28" t="s">
        <v>81</v>
      </c>
    </row>
    <row r="94" customFormat="false" ht="15" hidden="false" customHeight="false" outlineLevel="0" collapsed="false">
      <c r="A94" s="18" t="s">
        <v>373</v>
      </c>
      <c r="B94" s="5" t="s">
        <v>374</v>
      </c>
      <c r="C94" s="19" t="n">
        <v>8</v>
      </c>
      <c r="D94" s="5" t="s">
        <v>270</v>
      </c>
      <c r="E94" s="5" t="s">
        <v>162</v>
      </c>
      <c r="F94" s="20" t="s">
        <v>128</v>
      </c>
      <c r="G94" s="5" t="s">
        <v>216</v>
      </c>
      <c r="H94" s="21" t="n">
        <v>3</v>
      </c>
      <c r="I94" s="5" t="s">
        <v>98</v>
      </c>
      <c r="J94" s="20" t="s">
        <v>217</v>
      </c>
      <c r="K94" s="20" t="s">
        <v>80</v>
      </c>
      <c r="L94" s="22" t="s">
        <v>81</v>
      </c>
    </row>
    <row r="95" customFormat="false" ht="15" hidden="false" customHeight="false" outlineLevel="0" collapsed="false">
      <c r="A95" s="23" t="s">
        <v>375</v>
      </c>
      <c r="B95" s="24" t="s">
        <v>376</v>
      </c>
      <c r="C95" s="25" t="n">
        <v>1.9</v>
      </c>
      <c r="D95" s="24" t="s">
        <v>84</v>
      </c>
      <c r="E95" s="24" t="s">
        <v>85</v>
      </c>
      <c r="F95" s="26" t="s">
        <v>377</v>
      </c>
      <c r="G95" s="24" t="s">
        <v>87</v>
      </c>
      <c r="H95" s="27" t="n">
        <v>63</v>
      </c>
      <c r="I95" s="24" t="s">
        <v>88</v>
      </c>
      <c r="J95" s="26" t="s">
        <v>89</v>
      </c>
      <c r="K95" s="26" t="s">
        <v>80</v>
      </c>
      <c r="L95" s="28" t="s">
        <v>81</v>
      </c>
    </row>
    <row r="96" customFormat="false" ht="15" hidden="false" customHeight="false" outlineLevel="0" collapsed="false">
      <c r="A96" s="18" t="s">
        <v>378</v>
      </c>
      <c r="B96" s="5" t="s">
        <v>379</v>
      </c>
      <c r="C96" s="30" t="n">
        <v>1.5</v>
      </c>
      <c r="D96" s="5" t="s">
        <v>84</v>
      </c>
      <c r="E96" s="5" t="s">
        <v>85</v>
      </c>
      <c r="F96" s="20" t="s">
        <v>380</v>
      </c>
      <c r="G96" s="5" t="s">
        <v>87</v>
      </c>
      <c r="H96" s="21" t="n">
        <v>63</v>
      </c>
      <c r="I96" s="5" t="s">
        <v>88</v>
      </c>
      <c r="J96" s="20" t="s">
        <v>89</v>
      </c>
      <c r="K96" s="20" t="s">
        <v>80</v>
      </c>
      <c r="L96" s="22" t="s">
        <v>81</v>
      </c>
    </row>
    <row r="97" customFormat="false" ht="15" hidden="false" customHeight="false" outlineLevel="0" collapsed="false">
      <c r="A97" s="23" t="s">
        <v>381</v>
      </c>
      <c r="B97" s="24" t="s">
        <v>382</v>
      </c>
      <c r="C97" s="25" t="n">
        <v>0.3</v>
      </c>
      <c r="D97" s="24" t="s">
        <v>84</v>
      </c>
      <c r="E97" s="24" t="s">
        <v>85</v>
      </c>
      <c r="F97" s="26" t="s">
        <v>383</v>
      </c>
      <c r="G97" s="24" t="s">
        <v>87</v>
      </c>
      <c r="H97" s="27" t="n">
        <v>63</v>
      </c>
      <c r="I97" s="24" t="s">
        <v>88</v>
      </c>
      <c r="J97" s="26" t="s">
        <v>89</v>
      </c>
      <c r="K97" s="26" t="s">
        <v>80</v>
      </c>
      <c r="L97" s="28" t="s">
        <v>81</v>
      </c>
    </row>
    <row r="98" customFormat="false" ht="15" hidden="false" customHeight="false" outlineLevel="0" collapsed="false">
      <c r="A98" s="18" t="s">
        <v>384</v>
      </c>
      <c r="B98" s="5" t="s">
        <v>385</v>
      </c>
      <c r="C98" s="30" t="n">
        <v>-0.2</v>
      </c>
      <c r="D98" s="5" t="s">
        <v>270</v>
      </c>
      <c r="E98" s="5" t="s">
        <v>75</v>
      </c>
      <c r="F98" s="20" t="s">
        <v>386</v>
      </c>
      <c r="G98" s="5" t="s">
        <v>216</v>
      </c>
      <c r="H98" s="21" t="n">
        <v>7</v>
      </c>
      <c r="I98" s="5" t="s">
        <v>198</v>
      </c>
      <c r="J98" s="20" t="s">
        <v>217</v>
      </c>
      <c r="K98" s="20" t="s">
        <v>80</v>
      </c>
      <c r="L98" s="22" t="s">
        <v>81</v>
      </c>
    </row>
    <row r="99" customFormat="false" ht="15" hidden="false" customHeight="false" outlineLevel="0" collapsed="false">
      <c r="A99" s="23" t="s">
        <v>387</v>
      </c>
      <c r="B99" s="24" t="s">
        <v>209</v>
      </c>
      <c r="C99" s="29" t="n">
        <v>653</v>
      </c>
      <c r="D99" s="24" t="s">
        <v>74</v>
      </c>
      <c r="E99" s="24" t="s">
        <v>153</v>
      </c>
      <c r="F99" s="26" t="s">
        <v>388</v>
      </c>
      <c r="G99" s="24" t="s">
        <v>216</v>
      </c>
      <c r="H99" s="27" t="n">
        <v>7</v>
      </c>
      <c r="I99" s="24" t="s">
        <v>198</v>
      </c>
      <c r="J99" s="26" t="s">
        <v>217</v>
      </c>
      <c r="K99" s="26" t="s">
        <v>80</v>
      </c>
      <c r="L99" s="28" t="s">
        <v>81</v>
      </c>
    </row>
    <row r="100" customFormat="false" ht="15" hidden="false" customHeight="false" outlineLevel="0" collapsed="false">
      <c r="A100" s="18" t="s">
        <v>389</v>
      </c>
      <c r="B100" s="5" t="s">
        <v>209</v>
      </c>
      <c r="C100" s="19" t="n">
        <v>676</v>
      </c>
      <c r="D100" s="5" t="s">
        <v>74</v>
      </c>
      <c r="E100" s="5" t="s">
        <v>75</v>
      </c>
      <c r="F100" s="20" t="s">
        <v>390</v>
      </c>
      <c r="G100" s="5" t="s">
        <v>216</v>
      </c>
      <c r="H100" s="21" t="n">
        <v>7</v>
      </c>
      <c r="I100" s="5" t="s">
        <v>198</v>
      </c>
      <c r="J100" s="20" t="s">
        <v>217</v>
      </c>
      <c r="K100" s="20" t="s">
        <v>80</v>
      </c>
      <c r="L100" s="22" t="s">
        <v>81</v>
      </c>
    </row>
    <row r="101" customFormat="false" ht="15" hidden="false" customHeight="false" outlineLevel="0" collapsed="false">
      <c r="A101" s="23" t="s">
        <v>391</v>
      </c>
      <c r="B101" s="24" t="s">
        <v>392</v>
      </c>
      <c r="C101" s="29" t="n">
        <v>894</v>
      </c>
      <c r="D101" s="24" t="s">
        <v>74</v>
      </c>
      <c r="E101" s="24" t="s">
        <v>153</v>
      </c>
      <c r="F101" s="26" t="s">
        <v>393</v>
      </c>
      <c r="G101" s="24" t="s">
        <v>216</v>
      </c>
      <c r="H101" s="27" t="n">
        <v>7</v>
      </c>
      <c r="I101" s="24" t="s">
        <v>198</v>
      </c>
      <c r="J101" s="26" t="s">
        <v>217</v>
      </c>
      <c r="K101" s="26" t="s">
        <v>80</v>
      </c>
      <c r="L101" s="28" t="s">
        <v>81</v>
      </c>
    </row>
    <row r="102" customFormat="false" ht="15" hidden="false" customHeight="false" outlineLevel="0" collapsed="false">
      <c r="A102" s="18" t="s">
        <v>394</v>
      </c>
      <c r="B102" s="5" t="s">
        <v>392</v>
      </c>
      <c r="C102" s="19" t="n">
        <v>991</v>
      </c>
      <c r="D102" s="5" t="s">
        <v>74</v>
      </c>
      <c r="E102" s="5" t="s">
        <v>75</v>
      </c>
      <c r="F102" s="20" t="s">
        <v>395</v>
      </c>
      <c r="G102" s="5" t="s">
        <v>216</v>
      </c>
      <c r="H102" s="21" t="n">
        <v>7</v>
      </c>
      <c r="I102" s="5" t="s">
        <v>198</v>
      </c>
      <c r="J102" s="20" t="s">
        <v>217</v>
      </c>
      <c r="K102" s="20" t="s">
        <v>80</v>
      </c>
      <c r="L102" s="22" t="s">
        <v>81</v>
      </c>
    </row>
    <row r="103" customFormat="false" ht="15" hidden="false" customHeight="false" outlineLevel="0" collapsed="false">
      <c r="A103" s="23" t="s">
        <v>396</v>
      </c>
      <c r="B103" s="24" t="s">
        <v>397</v>
      </c>
      <c r="C103" s="29" t="n">
        <v>2066</v>
      </c>
      <c r="D103" s="24" t="s">
        <v>74</v>
      </c>
      <c r="E103" s="24" t="s">
        <v>118</v>
      </c>
      <c r="F103" s="26" t="s">
        <v>398</v>
      </c>
      <c r="G103" s="24" t="s">
        <v>120</v>
      </c>
      <c r="H103" s="27" t="n">
        <v>53</v>
      </c>
      <c r="I103" s="24" t="s">
        <v>228</v>
      </c>
      <c r="J103" s="26" t="s">
        <v>121</v>
      </c>
      <c r="K103" s="26" t="s">
        <v>80</v>
      </c>
      <c r="L103" s="28" t="s">
        <v>81</v>
      </c>
    </row>
    <row r="104" customFormat="false" ht="15" hidden="false" customHeight="false" outlineLevel="0" collapsed="false">
      <c r="A104" s="18" t="s">
        <v>399</v>
      </c>
      <c r="B104" s="5" t="s">
        <v>400</v>
      </c>
      <c r="C104" s="19" t="n">
        <v>1220</v>
      </c>
      <c r="D104" s="5" t="s">
        <v>74</v>
      </c>
      <c r="E104" s="5" t="s">
        <v>164</v>
      </c>
      <c r="F104" s="20" t="s">
        <v>401</v>
      </c>
      <c r="G104" s="5" t="s">
        <v>143</v>
      </c>
      <c r="H104" s="21" t="n">
        <v>432</v>
      </c>
      <c r="I104" s="5" t="s">
        <v>228</v>
      </c>
      <c r="J104" s="20" t="s">
        <v>144</v>
      </c>
      <c r="K104" s="20" t="s">
        <v>80</v>
      </c>
      <c r="L104" s="22" t="s">
        <v>81</v>
      </c>
    </row>
    <row r="105" customFormat="false" ht="15" hidden="false" customHeight="false" outlineLevel="0" collapsed="false">
      <c r="A105" s="23" t="s">
        <v>402</v>
      </c>
      <c r="B105" s="24" t="s">
        <v>400</v>
      </c>
      <c r="C105" s="29" t="n">
        <v>1214</v>
      </c>
      <c r="D105" s="24" t="s">
        <v>74</v>
      </c>
      <c r="E105" s="24" t="s">
        <v>111</v>
      </c>
      <c r="F105" s="26" t="s">
        <v>403</v>
      </c>
      <c r="G105" s="24" t="s">
        <v>143</v>
      </c>
      <c r="H105" s="27" t="n">
        <v>432</v>
      </c>
      <c r="I105" s="24" t="s">
        <v>228</v>
      </c>
      <c r="J105" s="26" t="s">
        <v>144</v>
      </c>
      <c r="K105" s="26" t="s">
        <v>80</v>
      </c>
      <c r="L105" s="28" t="s">
        <v>81</v>
      </c>
    </row>
    <row r="106" customFormat="false" ht="15" hidden="false" customHeight="false" outlineLevel="0" collapsed="false">
      <c r="A106" s="18" t="s">
        <v>404</v>
      </c>
      <c r="B106" s="5" t="s">
        <v>405</v>
      </c>
      <c r="C106" s="19" t="n">
        <v>418</v>
      </c>
      <c r="D106" s="5" t="s">
        <v>74</v>
      </c>
      <c r="E106" s="5" t="s">
        <v>111</v>
      </c>
      <c r="F106" s="20" t="s">
        <v>406</v>
      </c>
      <c r="G106" s="5" t="s">
        <v>143</v>
      </c>
      <c r="H106" s="21" t="n">
        <v>432</v>
      </c>
      <c r="I106" s="5" t="s">
        <v>228</v>
      </c>
      <c r="J106" s="20" t="s">
        <v>144</v>
      </c>
      <c r="K106" s="20" t="s">
        <v>80</v>
      </c>
      <c r="L106" s="22" t="s">
        <v>81</v>
      </c>
    </row>
    <row r="107" customFormat="false" ht="15" hidden="false" customHeight="false" outlineLevel="0" collapsed="false">
      <c r="A107" s="23" t="s">
        <v>407</v>
      </c>
      <c r="B107" s="24" t="s">
        <v>405</v>
      </c>
      <c r="C107" s="29" t="n">
        <v>472</v>
      </c>
      <c r="D107" s="24" t="s">
        <v>74</v>
      </c>
      <c r="E107" s="24" t="s">
        <v>118</v>
      </c>
      <c r="F107" s="26" t="s">
        <v>408</v>
      </c>
      <c r="G107" s="24" t="s">
        <v>120</v>
      </c>
      <c r="H107" s="27" t="n">
        <v>65</v>
      </c>
      <c r="I107" s="24" t="s">
        <v>228</v>
      </c>
      <c r="J107" s="26" t="s">
        <v>121</v>
      </c>
      <c r="K107" s="26" t="s">
        <v>80</v>
      </c>
      <c r="L107" s="28" t="s">
        <v>81</v>
      </c>
    </row>
    <row r="108" customFormat="false" ht="15" hidden="false" customHeight="false" outlineLevel="0" collapsed="false">
      <c r="A108" s="18" t="s">
        <v>409</v>
      </c>
      <c r="B108" s="5" t="s">
        <v>410</v>
      </c>
      <c r="C108" s="19" t="n">
        <v>454</v>
      </c>
      <c r="D108" s="5" t="s">
        <v>74</v>
      </c>
      <c r="E108" s="5" t="s">
        <v>111</v>
      </c>
      <c r="F108" s="20" t="s">
        <v>411</v>
      </c>
      <c r="G108" s="5" t="s">
        <v>143</v>
      </c>
      <c r="H108" s="21" t="n">
        <v>432</v>
      </c>
      <c r="I108" s="5" t="s">
        <v>228</v>
      </c>
      <c r="J108" s="20" t="s">
        <v>144</v>
      </c>
      <c r="K108" s="20" t="s">
        <v>80</v>
      </c>
      <c r="L108" s="22" t="s">
        <v>81</v>
      </c>
    </row>
    <row r="109" customFormat="false" ht="15" hidden="false" customHeight="false" outlineLevel="0" collapsed="false">
      <c r="A109" s="23" t="s">
        <v>412</v>
      </c>
      <c r="B109" s="24" t="s">
        <v>413</v>
      </c>
      <c r="C109" s="29" t="n">
        <v>315</v>
      </c>
      <c r="D109" s="24" t="s">
        <v>74</v>
      </c>
      <c r="E109" s="24" t="s">
        <v>111</v>
      </c>
      <c r="F109" s="26" t="s">
        <v>414</v>
      </c>
      <c r="G109" s="24" t="s">
        <v>143</v>
      </c>
      <c r="H109" s="27" t="n">
        <v>432</v>
      </c>
      <c r="I109" s="24" t="s">
        <v>228</v>
      </c>
      <c r="J109" s="26" t="s">
        <v>144</v>
      </c>
      <c r="K109" s="26" t="s">
        <v>80</v>
      </c>
      <c r="L109" s="28" t="s">
        <v>81</v>
      </c>
    </row>
    <row r="110" customFormat="false" ht="15" hidden="false" customHeight="false" outlineLevel="0" collapsed="false">
      <c r="A110" s="18" t="s">
        <v>415</v>
      </c>
      <c r="B110" s="5" t="s">
        <v>413</v>
      </c>
      <c r="C110" s="19" t="n">
        <v>328</v>
      </c>
      <c r="D110" s="5" t="s">
        <v>74</v>
      </c>
      <c r="E110" s="5" t="s">
        <v>118</v>
      </c>
      <c r="F110" s="20" t="s">
        <v>416</v>
      </c>
      <c r="G110" s="5" t="s">
        <v>120</v>
      </c>
      <c r="H110" s="21" t="n">
        <v>65</v>
      </c>
      <c r="I110" s="5" t="s">
        <v>228</v>
      </c>
      <c r="J110" s="20" t="s">
        <v>121</v>
      </c>
      <c r="K110" s="20" t="s">
        <v>80</v>
      </c>
      <c r="L110" s="22" t="s">
        <v>81</v>
      </c>
    </row>
    <row r="111" customFormat="false" ht="15" hidden="false" customHeight="false" outlineLevel="0" collapsed="false">
      <c r="A111" s="23" t="s">
        <v>417</v>
      </c>
      <c r="B111" s="24" t="s">
        <v>418</v>
      </c>
      <c r="C111" s="29" t="n">
        <v>55</v>
      </c>
      <c r="D111" s="24" t="s">
        <v>74</v>
      </c>
      <c r="E111" s="24" t="s">
        <v>111</v>
      </c>
      <c r="F111" s="26" t="s">
        <v>419</v>
      </c>
      <c r="G111" s="24" t="s">
        <v>143</v>
      </c>
      <c r="H111" s="27" t="n">
        <v>432</v>
      </c>
      <c r="I111" s="24" t="s">
        <v>228</v>
      </c>
      <c r="J111" s="26" t="s">
        <v>144</v>
      </c>
      <c r="K111" s="26" t="s">
        <v>80</v>
      </c>
      <c r="L111" s="28" t="s">
        <v>81</v>
      </c>
    </row>
    <row r="112" customFormat="false" ht="15" hidden="false" customHeight="false" outlineLevel="0" collapsed="false">
      <c r="A112" s="18" t="s">
        <v>420</v>
      </c>
      <c r="B112" s="5" t="s">
        <v>421</v>
      </c>
      <c r="C112" s="19" t="n">
        <v>72</v>
      </c>
      <c r="D112" s="5" t="s">
        <v>74</v>
      </c>
      <c r="E112" s="5" t="s">
        <v>91</v>
      </c>
      <c r="F112" s="20" t="s">
        <v>422</v>
      </c>
      <c r="G112" s="5" t="s">
        <v>143</v>
      </c>
      <c r="H112" s="21" t="n">
        <v>432</v>
      </c>
      <c r="I112" s="5" t="s">
        <v>228</v>
      </c>
      <c r="J112" s="20" t="s">
        <v>144</v>
      </c>
      <c r="K112" s="20" t="s">
        <v>80</v>
      </c>
      <c r="L112" s="22" t="s">
        <v>81</v>
      </c>
    </row>
    <row r="113" customFormat="false" ht="15" hidden="false" customHeight="false" outlineLevel="0" collapsed="false">
      <c r="A113" s="23" t="s">
        <v>423</v>
      </c>
      <c r="B113" s="24" t="s">
        <v>424</v>
      </c>
      <c r="C113" s="29" t="n">
        <v>45</v>
      </c>
      <c r="D113" s="24" t="s">
        <v>74</v>
      </c>
      <c r="E113" s="24" t="s">
        <v>111</v>
      </c>
      <c r="F113" s="26" t="s">
        <v>425</v>
      </c>
      <c r="G113" s="24" t="s">
        <v>77</v>
      </c>
      <c r="H113" s="27" t="n">
        <v>46</v>
      </c>
      <c r="I113" s="24" t="s">
        <v>228</v>
      </c>
      <c r="J113" s="26" t="s">
        <v>79</v>
      </c>
      <c r="K113" s="26" t="s">
        <v>80</v>
      </c>
      <c r="L113" s="28" t="s">
        <v>81</v>
      </c>
    </row>
    <row r="114" customFormat="false" ht="15" hidden="false" customHeight="false" outlineLevel="0" collapsed="false">
      <c r="A114" s="18" t="s">
        <v>426</v>
      </c>
      <c r="B114" s="5" t="s">
        <v>424</v>
      </c>
      <c r="C114" s="19" t="n">
        <v>75</v>
      </c>
      <c r="D114" s="5" t="s">
        <v>74</v>
      </c>
      <c r="E114" s="5" t="s">
        <v>118</v>
      </c>
      <c r="F114" s="20" t="s">
        <v>427</v>
      </c>
      <c r="G114" s="5" t="s">
        <v>77</v>
      </c>
      <c r="H114" s="21" t="n">
        <v>46</v>
      </c>
      <c r="I114" s="5" t="s">
        <v>228</v>
      </c>
      <c r="J114" s="20" t="s">
        <v>79</v>
      </c>
      <c r="K114" s="20" t="s">
        <v>80</v>
      </c>
      <c r="L114" s="22" t="s">
        <v>81</v>
      </c>
    </row>
    <row r="115" customFormat="false" ht="15" hidden="false" customHeight="false" outlineLevel="0" collapsed="false">
      <c r="A115" s="23" t="s">
        <v>428</v>
      </c>
      <c r="B115" s="24" t="s">
        <v>429</v>
      </c>
      <c r="C115" s="29" t="n">
        <v>82</v>
      </c>
      <c r="D115" s="24" t="s">
        <v>430</v>
      </c>
      <c r="E115" s="24" t="s">
        <v>241</v>
      </c>
      <c r="F115" s="26" t="s">
        <v>431</v>
      </c>
      <c r="G115" s="24" t="s">
        <v>243</v>
      </c>
      <c r="H115" s="27" t="n">
        <v>4</v>
      </c>
      <c r="I115" s="24" t="s">
        <v>228</v>
      </c>
      <c r="J115" s="26" t="s">
        <v>245</v>
      </c>
      <c r="K115" s="26" t="s">
        <v>80</v>
      </c>
      <c r="L115" s="28" t="s">
        <v>81</v>
      </c>
    </row>
    <row r="116" customFormat="false" ht="15" hidden="false" customHeight="false" outlineLevel="0" collapsed="false">
      <c r="A116" s="18" t="s">
        <v>432</v>
      </c>
      <c r="B116" s="5" t="s">
        <v>433</v>
      </c>
      <c r="C116" s="19" t="n">
        <v>700</v>
      </c>
      <c r="D116" s="5" t="s">
        <v>434</v>
      </c>
      <c r="E116" s="5" t="s">
        <v>241</v>
      </c>
      <c r="F116" s="20" t="s">
        <v>435</v>
      </c>
      <c r="G116" s="5" t="s">
        <v>243</v>
      </c>
      <c r="H116" s="21" t="n">
        <v>4</v>
      </c>
      <c r="I116" s="5" t="s">
        <v>228</v>
      </c>
      <c r="J116" s="20" t="s">
        <v>245</v>
      </c>
      <c r="K116" s="20" t="s">
        <v>80</v>
      </c>
      <c r="L116" s="22" t="s">
        <v>81</v>
      </c>
    </row>
    <row r="117" customFormat="false" ht="15" hidden="false" customHeight="false" outlineLevel="0" collapsed="false">
      <c r="A117" s="23" t="s">
        <v>436</v>
      </c>
      <c r="B117" s="24" t="s">
        <v>437</v>
      </c>
      <c r="C117" s="29" t="n">
        <v>4</v>
      </c>
      <c r="D117" s="24" t="s">
        <v>101</v>
      </c>
      <c r="E117" s="24" t="s">
        <v>85</v>
      </c>
      <c r="F117" s="26" t="s">
        <v>438</v>
      </c>
      <c r="G117" s="24" t="s">
        <v>87</v>
      </c>
      <c r="H117" s="27" t="n">
        <v>44</v>
      </c>
      <c r="I117" s="24" t="s">
        <v>88</v>
      </c>
      <c r="J117" s="26" t="s">
        <v>89</v>
      </c>
      <c r="K117" s="26" t="s">
        <v>80</v>
      </c>
      <c r="L117" s="28" t="s">
        <v>81</v>
      </c>
    </row>
    <row r="118" customFormat="false" ht="15" hidden="false" customHeight="false" outlineLevel="0" collapsed="false">
      <c r="A118" s="18" t="s">
        <v>439</v>
      </c>
      <c r="B118" s="5" t="s">
        <v>440</v>
      </c>
      <c r="C118" s="19" t="n">
        <v>2</v>
      </c>
      <c r="D118" s="5" t="s">
        <v>101</v>
      </c>
      <c r="E118" s="5" t="s">
        <v>85</v>
      </c>
      <c r="F118" s="20" t="s">
        <v>171</v>
      </c>
      <c r="G118" s="5" t="s">
        <v>87</v>
      </c>
      <c r="H118" s="21" t="n">
        <v>44</v>
      </c>
      <c r="I118" s="5" t="s">
        <v>88</v>
      </c>
      <c r="J118" s="20" t="s">
        <v>89</v>
      </c>
      <c r="K118" s="20" t="s">
        <v>80</v>
      </c>
      <c r="L118" s="22" t="s">
        <v>81</v>
      </c>
    </row>
    <row r="119" customFormat="false" ht="15" hidden="false" customHeight="false" outlineLevel="0" collapsed="false">
      <c r="A119" s="23" t="s">
        <v>441</v>
      </c>
      <c r="B119" s="24" t="s">
        <v>442</v>
      </c>
      <c r="C119" s="29" t="n">
        <v>4</v>
      </c>
      <c r="D119" s="24" t="s">
        <v>101</v>
      </c>
      <c r="E119" s="24" t="s">
        <v>443</v>
      </c>
      <c r="F119" s="26" t="s">
        <v>438</v>
      </c>
      <c r="G119" s="24" t="s">
        <v>243</v>
      </c>
      <c r="H119" s="27" t="n">
        <v>17</v>
      </c>
      <c r="I119" s="24" t="s">
        <v>88</v>
      </c>
      <c r="J119" s="26" t="s">
        <v>245</v>
      </c>
      <c r="K119" s="26" t="s">
        <v>80</v>
      </c>
      <c r="L119" s="28" t="s">
        <v>81</v>
      </c>
    </row>
    <row r="120" customFormat="false" ht="15" hidden="false" customHeight="false" outlineLevel="0" collapsed="false">
      <c r="A120" s="18" t="s">
        <v>444</v>
      </c>
      <c r="B120" s="5" t="s">
        <v>445</v>
      </c>
      <c r="C120" s="19" t="n">
        <v>2</v>
      </c>
      <c r="D120" s="5" t="s">
        <v>101</v>
      </c>
      <c r="E120" s="5" t="s">
        <v>170</v>
      </c>
      <c r="F120" s="20" t="s">
        <v>171</v>
      </c>
      <c r="G120" s="5" t="s">
        <v>243</v>
      </c>
      <c r="H120" s="21" t="n">
        <v>17</v>
      </c>
      <c r="I120" s="5" t="s">
        <v>88</v>
      </c>
      <c r="J120" s="20" t="s">
        <v>245</v>
      </c>
      <c r="K120" s="20" t="s">
        <v>80</v>
      </c>
      <c r="L120" s="22" t="s">
        <v>81</v>
      </c>
    </row>
    <row r="121" customFormat="false" ht="15" hidden="false" customHeight="false" outlineLevel="0" collapsed="false">
      <c r="A121" s="23" t="s">
        <v>446</v>
      </c>
      <c r="B121" s="24" t="s">
        <v>447</v>
      </c>
      <c r="C121" s="25" t="n">
        <v>8.5</v>
      </c>
      <c r="D121" s="24" t="s">
        <v>101</v>
      </c>
      <c r="E121" s="24" t="s">
        <v>448</v>
      </c>
      <c r="F121" s="26" t="s">
        <v>449</v>
      </c>
      <c r="G121" s="24" t="s">
        <v>243</v>
      </c>
      <c r="H121" s="27" t="n">
        <v>17</v>
      </c>
      <c r="I121" s="24" t="s">
        <v>88</v>
      </c>
      <c r="J121" s="26" t="s">
        <v>245</v>
      </c>
      <c r="K121" s="26" t="s">
        <v>80</v>
      </c>
      <c r="L121" s="28" t="s">
        <v>81</v>
      </c>
    </row>
    <row r="122" customFormat="false" ht="15" hidden="false" customHeight="false" outlineLevel="0" collapsed="false">
      <c r="A122" s="18" t="s">
        <v>450</v>
      </c>
      <c r="B122" s="5" t="s">
        <v>451</v>
      </c>
      <c r="C122" s="19" t="n">
        <v>90</v>
      </c>
      <c r="D122" s="5" t="s">
        <v>270</v>
      </c>
      <c r="E122" s="5" t="s">
        <v>443</v>
      </c>
      <c r="F122" s="20" t="s">
        <v>260</v>
      </c>
      <c r="G122" s="5" t="s">
        <v>243</v>
      </c>
      <c r="H122" s="21" t="n">
        <v>17</v>
      </c>
      <c r="I122" s="5" t="s">
        <v>88</v>
      </c>
      <c r="J122" s="20" t="s">
        <v>245</v>
      </c>
      <c r="K122" s="20" t="s">
        <v>80</v>
      </c>
      <c r="L122" s="22" t="s">
        <v>81</v>
      </c>
    </row>
    <row r="123" customFormat="false" ht="15" hidden="false" customHeight="false" outlineLevel="0" collapsed="false">
      <c r="A123" s="23" t="s">
        <v>452</v>
      </c>
      <c r="B123" s="24" t="s">
        <v>453</v>
      </c>
      <c r="C123" s="29" t="n">
        <v>80</v>
      </c>
      <c r="D123" s="24" t="s">
        <v>270</v>
      </c>
      <c r="E123" s="24" t="s">
        <v>443</v>
      </c>
      <c r="F123" s="26" t="s">
        <v>454</v>
      </c>
      <c r="G123" s="24" t="s">
        <v>243</v>
      </c>
      <c r="H123" s="27" t="n">
        <v>17</v>
      </c>
      <c r="I123" s="24" t="s">
        <v>88</v>
      </c>
      <c r="J123" s="26" t="s">
        <v>245</v>
      </c>
      <c r="K123" s="26" t="s">
        <v>80</v>
      </c>
      <c r="L123" s="28" t="s">
        <v>81</v>
      </c>
    </row>
    <row r="124" customFormat="false" ht="15" hidden="false" customHeight="false" outlineLevel="0" collapsed="false">
      <c r="A124" s="18" t="s">
        <v>455</v>
      </c>
      <c r="B124" s="5" t="s">
        <v>456</v>
      </c>
      <c r="C124" s="30" t="n">
        <v>-0.4</v>
      </c>
      <c r="D124" s="5" t="s">
        <v>101</v>
      </c>
      <c r="E124" s="5" t="s">
        <v>131</v>
      </c>
      <c r="F124" s="20" t="s">
        <v>457</v>
      </c>
      <c r="G124" s="5" t="s">
        <v>243</v>
      </c>
      <c r="H124" s="21" t="n">
        <v>17</v>
      </c>
      <c r="I124" s="5" t="s">
        <v>88</v>
      </c>
      <c r="J124" s="20" t="s">
        <v>245</v>
      </c>
      <c r="K124" s="20" t="s">
        <v>80</v>
      </c>
      <c r="L124" s="22" t="s">
        <v>81</v>
      </c>
    </row>
    <row r="125" customFormat="false" ht="15" hidden="false" customHeight="false" outlineLevel="0" collapsed="false">
      <c r="A125" s="23" t="s">
        <v>458</v>
      </c>
      <c r="B125" s="24" t="s">
        <v>459</v>
      </c>
      <c r="C125" s="25" t="n">
        <v>2.3</v>
      </c>
      <c r="D125" s="24" t="s">
        <v>101</v>
      </c>
      <c r="E125" s="24" t="s">
        <v>460</v>
      </c>
      <c r="F125" s="26" t="s">
        <v>461</v>
      </c>
      <c r="G125" s="24" t="s">
        <v>243</v>
      </c>
      <c r="H125" s="27" t="n">
        <v>17</v>
      </c>
      <c r="I125" s="24" t="s">
        <v>88</v>
      </c>
      <c r="J125" s="26" t="s">
        <v>245</v>
      </c>
      <c r="K125" s="26" t="s">
        <v>80</v>
      </c>
      <c r="L125" s="28" t="s">
        <v>81</v>
      </c>
    </row>
    <row r="126" customFormat="false" ht="15" hidden="false" customHeight="false" outlineLevel="0" collapsed="false">
      <c r="A126" s="18" t="s">
        <v>462</v>
      </c>
      <c r="B126" s="5" t="s">
        <v>463</v>
      </c>
      <c r="C126" s="19" t="n">
        <v>397</v>
      </c>
      <c r="D126" s="5" t="s">
        <v>74</v>
      </c>
      <c r="E126" s="5" t="s">
        <v>131</v>
      </c>
      <c r="F126" s="20" t="s">
        <v>464</v>
      </c>
      <c r="G126" s="5" t="s">
        <v>465</v>
      </c>
      <c r="H126" s="21" t="n">
        <v>9</v>
      </c>
      <c r="I126" s="5" t="s">
        <v>88</v>
      </c>
      <c r="J126" s="20" t="s">
        <v>466</v>
      </c>
      <c r="K126" s="20" t="s">
        <v>80</v>
      </c>
      <c r="L126" s="22" t="s">
        <v>81</v>
      </c>
    </row>
    <row r="127" customFormat="false" ht="15" hidden="false" customHeight="false" outlineLevel="0" collapsed="false">
      <c r="A127" s="23" t="s">
        <v>467</v>
      </c>
      <c r="B127" s="24" t="s">
        <v>468</v>
      </c>
      <c r="C127" s="29" t="n">
        <v>-895</v>
      </c>
      <c r="D127" s="24" t="s">
        <v>74</v>
      </c>
      <c r="E127" s="24" t="s">
        <v>131</v>
      </c>
      <c r="F127" s="26" t="s">
        <v>469</v>
      </c>
      <c r="G127" s="24" t="s">
        <v>465</v>
      </c>
      <c r="H127" s="27" t="n">
        <v>9</v>
      </c>
      <c r="I127" s="24" t="s">
        <v>98</v>
      </c>
      <c r="J127" s="26" t="s">
        <v>466</v>
      </c>
      <c r="K127" s="26" t="s">
        <v>80</v>
      </c>
      <c r="L127" s="28" t="s">
        <v>81</v>
      </c>
    </row>
    <row r="128" customFormat="false" ht="15" hidden="false" customHeight="false" outlineLevel="0" collapsed="false">
      <c r="A128" s="18" t="s">
        <v>470</v>
      </c>
      <c r="B128" s="5" t="s">
        <v>471</v>
      </c>
      <c r="C128" s="19" t="n">
        <v>-203</v>
      </c>
      <c r="D128" s="5" t="s">
        <v>74</v>
      </c>
      <c r="E128" s="5" t="s">
        <v>131</v>
      </c>
      <c r="F128" s="20" t="s">
        <v>472</v>
      </c>
      <c r="G128" s="5" t="s">
        <v>465</v>
      </c>
      <c r="H128" s="21" t="n">
        <v>9</v>
      </c>
      <c r="I128" s="5" t="s">
        <v>78</v>
      </c>
      <c r="J128" s="20" t="s">
        <v>466</v>
      </c>
      <c r="K128" s="20" t="s">
        <v>80</v>
      </c>
      <c r="L128" s="22" t="s">
        <v>81</v>
      </c>
    </row>
    <row r="129" customFormat="false" ht="15" hidden="false" customHeight="false" outlineLevel="0" collapsed="false">
      <c r="A129" s="23" t="s">
        <v>473</v>
      </c>
      <c r="B129" s="24" t="s">
        <v>474</v>
      </c>
      <c r="C129" s="29" t="n">
        <v>336</v>
      </c>
      <c r="D129" s="24" t="s">
        <v>74</v>
      </c>
      <c r="E129" s="24" t="s">
        <v>131</v>
      </c>
      <c r="F129" s="26" t="s">
        <v>475</v>
      </c>
      <c r="G129" s="24" t="s">
        <v>465</v>
      </c>
      <c r="H129" s="27" t="n">
        <v>9</v>
      </c>
      <c r="I129" s="24" t="s">
        <v>98</v>
      </c>
      <c r="J129" s="26" t="s">
        <v>466</v>
      </c>
      <c r="K129" s="26" t="s">
        <v>80</v>
      </c>
      <c r="L129" s="28" t="s">
        <v>81</v>
      </c>
    </row>
    <row r="130" customFormat="false" ht="15" hidden="false" customHeight="false" outlineLevel="0" collapsed="false">
      <c r="A130" s="18" t="s">
        <v>476</v>
      </c>
      <c r="B130" s="5" t="s">
        <v>477</v>
      </c>
      <c r="C130" s="19" t="n">
        <v>-157</v>
      </c>
      <c r="D130" s="5" t="s">
        <v>74</v>
      </c>
      <c r="E130" s="5" t="s">
        <v>131</v>
      </c>
      <c r="F130" s="20" t="s">
        <v>478</v>
      </c>
      <c r="G130" s="5" t="s">
        <v>465</v>
      </c>
      <c r="H130" s="21" t="n">
        <v>9</v>
      </c>
      <c r="I130" s="5" t="s">
        <v>78</v>
      </c>
      <c r="J130" s="20" t="s">
        <v>466</v>
      </c>
      <c r="K130" s="20" t="s">
        <v>80</v>
      </c>
      <c r="L130" s="22" t="s">
        <v>81</v>
      </c>
    </row>
    <row r="131" customFormat="false" ht="15" hidden="false" customHeight="false" outlineLevel="0" collapsed="false">
      <c r="A131" s="23" t="s">
        <v>479</v>
      </c>
      <c r="B131" s="24" t="s">
        <v>96</v>
      </c>
      <c r="C131" s="29" t="n">
        <v>3836</v>
      </c>
      <c r="D131" s="24" t="s">
        <v>74</v>
      </c>
      <c r="E131" s="24" t="s">
        <v>131</v>
      </c>
      <c r="F131" s="26" t="s">
        <v>480</v>
      </c>
      <c r="G131" s="24" t="s">
        <v>465</v>
      </c>
      <c r="H131" s="27" t="n">
        <v>9</v>
      </c>
      <c r="I131" s="24" t="s">
        <v>98</v>
      </c>
      <c r="J131" s="26" t="s">
        <v>466</v>
      </c>
      <c r="K131" s="26" t="s">
        <v>80</v>
      </c>
      <c r="L131" s="28" t="s">
        <v>81</v>
      </c>
    </row>
    <row r="132" customFormat="false" ht="15" hidden="false" customHeight="false" outlineLevel="0" collapsed="false">
      <c r="A132" s="18" t="s">
        <v>481</v>
      </c>
      <c r="B132" s="5" t="s">
        <v>482</v>
      </c>
      <c r="C132" s="30" t="n">
        <v>6.5</v>
      </c>
      <c r="D132" s="5" t="s">
        <v>483</v>
      </c>
      <c r="E132" s="5" t="s">
        <v>111</v>
      </c>
      <c r="F132" s="20" t="s">
        <v>484</v>
      </c>
      <c r="G132" s="5" t="s">
        <v>143</v>
      </c>
      <c r="H132" s="21" t="n">
        <v>351</v>
      </c>
      <c r="I132" s="5" t="s">
        <v>78</v>
      </c>
      <c r="J132" s="20" t="s">
        <v>144</v>
      </c>
      <c r="K132" s="20" t="s">
        <v>80</v>
      </c>
      <c r="L132" s="22" t="s">
        <v>81</v>
      </c>
    </row>
    <row r="133" customFormat="false" ht="15" hidden="false" customHeight="false" outlineLevel="0" collapsed="false">
      <c r="A133" s="23" t="s">
        <v>485</v>
      </c>
      <c r="B133" s="24" t="s">
        <v>482</v>
      </c>
      <c r="C133" s="25" t="n">
        <v>7.1</v>
      </c>
      <c r="D133" s="24" t="s">
        <v>483</v>
      </c>
      <c r="E133" s="24" t="s">
        <v>164</v>
      </c>
      <c r="F133" s="26" t="s">
        <v>486</v>
      </c>
      <c r="G133" s="24" t="s">
        <v>143</v>
      </c>
      <c r="H133" s="27" t="n">
        <v>351</v>
      </c>
      <c r="I133" s="24" t="s">
        <v>78</v>
      </c>
      <c r="J133" s="26" t="s">
        <v>144</v>
      </c>
      <c r="K133" s="26" t="s">
        <v>80</v>
      </c>
      <c r="L133" s="28" t="s">
        <v>81</v>
      </c>
    </row>
    <row r="134" customFormat="false" ht="15" hidden="false" customHeight="false" outlineLevel="0" collapsed="false">
      <c r="A134" s="18" t="s">
        <v>487</v>
      </c>
      <c r="B134" s="5" t="s">
        <v>488</v>
      </c>
      <c r="C134" s="19" t="n">
        <v>85</v>
      </c>
      <c r="D134" s="5" t="s">
        <v>270</v>
      </c>
      <c r="E134" s="5" t="s">
        <v>111</v>
      </c>
      <c r="F134" s="20" t="s">
        <v>489</v>
      </c>
      <c r="G134" s="5" t="s">
        <v>143</v>
      </c>
      <c r="H134" s="21" t="n">
        <v>351</v>
      </c>
      <c r="I134" s="5" t="s">
        <v>78</v>
      </c>
      <c r="J134" s="20" t="s">
        <v>144</v>
      </c>
      <c r="K134" s="20" t="s">
        <v>80</v>
      </c>
      <c r="L134" s="22" t="s">
        <v>81</v>
      </c>
    </row>
    <row r="135" customFormat="false" ht="15" hidden="false" customHeight="false" outlineLevel="0" collapsed="false">
      <c r="A135" s="23" t="s">
        <v>490</v>
      </c>
      <c r="B135" s="24" t="s">
        <v>491</v>
      </c>
      <c r="C135" s="25" t="n">
        <v>20.3</v>
      </c>
      <c r="D135" s="24" t="s">
        <v>270</v>
      </c>
      <c r="E135" s="24" t="s">
        <v>91</v>
      </c>
      <c r="F135" s="26" t="s">
        <v>492</v>
      </c>
      <c r="G135" s="24" t="s">
        <v>493</v>
      </c>
      <c r="H135" s="27" t="n">
        <v>7</v>
      </c>
      <c r="I135" s="24" t="s">
        <v>78</v>
      </c>
      <c r="J135" s="26" t="s">
        <v>494</v>
      </c>
      <c r="K135" s="26" t="s">
        <v>495</v>
      </c>
      <c r="L135" s="28" t="s">
        <v>81</v>
      </c>
    </row>
    <row r="136" customFormat="false" ht="15" hidden="false" customHeight="false" outlineLevel="0" collapsed="false">
      <c r="A136" s="18" t="s">
        <v>496</v>
      </c>
      <c r="B136" s="5" t="s">
        <v>497</v>
      </c>
      <c r="C136" s="19" t="n">
        <v>18</v>
      </c>
      <c r="D136" s="5" t="s">
        <v>270</v>
      </c>
      <c r="E136" s="5" t="s">
        <v>498</v>
      </c>
      <c r="F136" s="20" t="s">
        <v>499</v>
      </c>
      <c r="G136" s="5" t="s">
        <v>493</v>
      </c>
      <c r="H136" s="21" t="n">
        <v>7</v>
      </c>
      <c r="I136" s="5" t="s">
        <v>78</v>
      </c>
      <c r="J136" s="20" t="s">
        <v>494</v>
      </c>
      <c r="K136" s="20" t="s">
        <v>495</v>
      </c>
      <c r="L136" s="22" t="s">
        <v>81</v>
      </c>
    </row>
    <row r="137" customFormat="false" ht="15" hidden="false" customHeight="false" outlineLevel="0" collapsed="false">
      <c r="A137" s="23" t="s">
        <v>500</v>
      </c>
      <c r="B137" s="24" t="s">
        <v>501</v>
      </c>
      <c r="C137" s="29" t="n">
        <v>19</v>
      </c>
      <c r="D137" s="24" t="s">
        <v>270</v>
      </c>
      <c r="E137" s="24" t="s">
        <v>498</v>
      </c>
      <c r="F137" s="26" t="s">
        <v>502</v>
      </c>
      <c r="G137" s="24" t="s">
        <v>493</v>
      </c>
      <c r="H137" s="27" t="n">
        <v>7</v>
      </c>
      <c r="I137" s="24" t="s">
        <v>78</v>
      </c>
      <c r="J137" s="26" t="s">
        <v>494</v>
      </c>
      <c r="K137" s="26" t="s">
        <v>495</v>
      </c>
      <c r="L137" s="28" t="s">
        <v>81</v>
      </c>
    </row>
    <row r="138" customFormat="false" ht="15" hidden="false" customHeight="false" outlineLevel="0" collapsed="false">
      <c r="A138" s="18" t="s">
        <v>503</v>
      </c>
      <c r="B138" s="5" t="s">
        <v>504</v>
      </c>
      <c r="C138" s="30" t="n">
        <v>25.4</v>
      </c>
      <c r="D138" s="5" t="s">
        <v>101</v>
      </c>
      <c r="E138" s="5" t="s">
        <v>91</v>
      </c>
      <c r="F138" s="20" t="s">
        <v>505</v>
      </c>
      <c r="G138" s="5" t="s">
        <v>493</v>
      </c>
      <c r="H138" s="21" t="n">
        <v>7</v>
      </c>
      <c r="I138" s="5" t="s">
        <v>78</v>
      </c>
      <c r="J138" s="20" t="s">
        <v>494</v>
      </c>
      <c r="K138" s="20" t="s">
        <v>495</v>
      </c>
      <c r="L138" s="22" t="s">
        <v>81</v>
      </c>
    </row>
    <row r="139" customFormat="false" ht="15" hidden="false" customHeight="false" outlineLevel="0" collapsed="false">
      <c r="A139" s="23" t="s">
        <v>506</v>
      </c>
      <c r="B139" s="24" t="s">
        <v>507</v>
      </c>
      <c r="C139" s="29" t="n">
        <v>29</v>
      </c>
      <c r="D139" s="24" t="s">
        <v>101</v>
      </c>
      <c r="E139" s="24" t="s">
        <v>498</v>
      </c>
      <c r="F139" s="26" t="s">
        <v>508</v>
      </c>
      <c r="G139" s="24" t="s">
        <v>493</v>
      </c>
      <c r="H139" s="27" t="n">
        <v>7</v>
      </c>
      <c r="I139" s="24" t="s">
        <v>78</v>
      </c>
      <c r="J139" s="26" t="s">
        <v>494</v>
      </c>
      <c r="K139" s="26" t="s">
        <v>495</v>
      </c>
      <c r="L139" s="28" t="s">
        <v>81</v>
      </c>
    </row>
    <row r="140" customFormat="false" ht="15" hidden="false" customHeight="false" outlineLevel="0" collapsed="false">
      <c r="A140" s="18" t="s">
        <v>509</v>
      </c>
      <c r="B140" s="5" t="s">
        <v>510</v>
      </c>
      <c r="C140" s="31" t="s">
        <v>511</v>
      </c>
      <c r="D140" s="5" t="s">
        <v>270</v>
      </c>
      <c r="E140" s="5" t="s">
        <v>512</v>
      </c>
      <c r="F140" s="20" t="s">
        <v>511</v>
      </c>
      <c r="G140" s="5" t="s">
        <v>493</v>
      </c>
      <c r="H140" s="21" t="n">
        <v>2</v>
      </c>
      <c r="I140" s="5" t="s">
        <v>78</v>
      </c>
      <c r="J140" s="20" t="s">
        <v>494</v>
      </c>
      <c r="K140" s="20" t="s">
        <v>495</v>
      </c>
      <c r="L140" s="22" t="s">
        <v>81</v>
      </c>
    </row>
    <row r="141" customFormat="false" ht="15" hidden="false" customHeight="false" outlineLevel="0" collapsed="false">
      <c r="A141" s="23" t="s">
        <v>513</v>
      </c>
      <c r="B141" s="24" t="s">
        <v>514</v>
      </c>
      <c r="C141" s="32" t="s">
        <v>515</v>
      </c>
      <c r="D141" s="24" t="s">
        <v>270</v>
      </c>
      <c r="E141" s="24" t="s">
        <v>512</v>
      </c>
      <c r="F141" s="26" t="s">
        <v>515</v>
      </c>
      <c r="G141" s="24" t="s">
        <v>493</v>
      </c>
      <c r="H141" s="27" t="n">
        <v>2</v>
      </c>
      <c r="I141" s="24" t="s">
        <v>78</v>
      </c>
      <c r="J141" s="26" t="s">
        <v>494</v>
      </c>
      <c r="K141" s="26" t="s">
        <v>495</v>
      </c>
      <c r="L141" s="28" t="s">
        <v>81</v>
      </c>
    </row>
    <row r="142" customFormat="false" ht="15" hidden="false" customHeight="false" outlineLevel="0" collapsed="false">
      <c r="A142" s="18" t="s">
        <v>516</v>
      </c>
      <c r="B142" s="5" t="s">
        <v>491</v>
      </c>
      <c r="C142" s="30" t="n">
        <v>19.6</v>
      </c>
      <c r="D142" s="5" t="s">
        <v>270</v>
      </c>
      <c r="E142" s="5" t="s">
        <v>517</v>
      </c>
      <c r="F142" s="20" t="s">
        <v>518</v>
      </c>
      <c r="G142" s="5" t="s">
        <v>493</v>
      </c>
      <c r="H142" s="21" t="n">
        <v>11</v>
      </c>
      <c r="I142" s="5" t="s">
        <v>78</v>
      </c>
      <c r="J142" s="20" t="s">
        <v>494</v>
      </c>
      <c r="K142" s="20" t="s">
        <v>495</v>
      </c>
      <c r="L142" s="22" t="s">
        <v>81</v>
      </c>
    </row>
    <row r="143" customFormat="false" ht="15" hidden="false" customHeight="false" outlineLevel="0" collapsed="false">
      <c r="A143" s="23" t="s">
        <v>519</v>
      </c>
      <c r="B143" s="24" t="s">
        <v>491</v>
      </c>
      <c r="C143" s="25" t="n">
        <v>21.3</v>
      </c>
      <c r="D143" s="24" t="s">
        <v>270</v>
      </c>
      <c r="E143" s="24" t="s">
        <v>131</v>
      </c>
      <c r="F143" s="26" t="s">
        <v>520</v>
      </c>
      <c r="G143" s="24" t="s">
        <v>493</v>
      </c>
      <c r="H143" s="27" t="n">
        <v>11</v>
      </c>
      <c r="I143" s="24" t="s">
        <v>78</v>
      </c>
      <c r="J143" s="26" t="s">
        <v>494</v>
      </c>
      <c r="K143" s="26" t="s">
        <v>495</v>
      </c>
      <c r="L143" s="28" t="s">
        <v>81</v>
      </c>
    </row>
    <row r="144" customFormat="false" ht="15" hidden="false" customHeight="false" outlineLevel="0" collapsed="false">
      <c r="A144" s="18" t="s">
        <v>521</v>
      </c>
      <c r="B144" s="5" t="s">
        <v>522</v>
      </c>
      <c r="C144" s="19" t="n">
        <v>15</v>
      </c>
      <c r="D144" s="5" t="s">
        <v>270</v>
      </c>
      <c r="E144" s="5" t="s">
        <v>91</v>
      </c>
      <c r="F144" s="20" t="s">
        <v>523</v>
      </c>
      <c r="G144" s="5" t="s">
        <v>493</v>
      </c>
      <c r="H144" s="21" t="n">
        <v>10</v>
      </c>
      <c r="I144" s="5" t="s">
        <v>78</v>
      </c>
      <c r="J144" s="20" t="s">
        <v>494</v>
      </c>
      <c r="K144" s="20" t="s">
        <v>495</v>
      </c>
      <c r="L144" s="22" t="s">
        <v>81</v>
      </c>
    </row>
    <row r="145" customFormat="false" ht="15" hidden="false" customHeight="false" outlineLevel="0" collapsed="false">
      <c r="A145" s="23" t="s">
        <v>524</v>
      </c>
      <c r="B145" s="24" t="s">
        <v>525</v>
      </c>
      <c r="C145" s="25" t="n">
        <v>5.1</v>
      </c>
      <c r="D145" s="24" t="s">
        <v>104</v>
      </c>
      <c r="E145" s="24" t="s">
        <v>91</v>
      </c>
      <c r="F145" s="26" t="s">
        <v>526</v>
      </c>
      <c r="G145" s="24" t="s">
        <v>493</v>
      </c>
      <c r="H145" s="27" t="n">
        <v>10</v>
      </c>
      <c r="I145" s="24" t="s">
        <v>78</v>
      </c>
      <c r="J145" s="26" t="s">
        <v>494</v>
      </c>
      <c r="K145" s="26" t="s">
        <v>495</v>
      </c>
      <c r="L145" s="28" t="s">
        <v>81</v>
      </c>
    </row>
    <row r="146" customFormat="false" ht="15" hidden="false" customHeight="false" outlineLevel="0" collapsed="false">
      <c r="A146" s="18" t="s">
        <v>527</v>
      </c>
      <c r="B146" s="5" t="s">
        <v>528</v>
      </c>
      <c r="C146" s="30" t="n">
        <v>2.8</v>
      </c>
      <c r="D146" s="5" t="s">
        <v>104</v>
      </c>
      <c r="E146" s="5" t="s">
        <v>91</v>
      </c>
      <c r="F146" s="20" t="s">
        <v>529</v>
      </c>
      <c r="G146" s="5" t="s">
        <v>493</v>
      </c>
      <c r="H146" s="21" t="n">
        <v>6</v>
      </c>
      <c r="I146" s="5" t="s">
        <v>78</v>
      </c>
      <c r="J146" s="20" t="s">
        <v>494</v>
      </c>
      <c r="K146" s="20" t="s">
        <v>495</v>
      </c>
      <c r="L146" s="22" t="s">
        <v>81</v>
      </c>
    </row>
    <row r="147" customFormat="false" ht="15" hidden="false" customHeight="false" outlineLevel="0" collapsed="false">
      <c r="A147" s="23" t="s">
        <v>530</v>
      </c>
      <c r="B147" s="24" t="s">
        <v>531</v>
      </c>
      <c r="C147" s="29" t="n">
        <v>2</v>
      </c>
      <c r="D147" s="24" t="s">
        <v>101</v>
      </c>
      <c r="E147" s="24" t="s">
        <v>170</v>
      </c>
      <c r="F147" s="26" t="s">
        <v>171</v>
      </c>
      <c r="G147" s="24" t="s">
        <v>493</v>
      </c>
      <c r="H147" s="27" t="n">
        <v>6</v>
      </c>
      <c r="I147" s="24" t="s">
        <v>98</v>
      </c>
      <c r="J147" s="26" t="s">
        <v>494</v>
      </c>
      <c r="K147" s="26" t="s">
        <v>495</v>
      </c>
      <c r="L147" s="28" t="s">
        <v>81</v>
      </c>
    </row>
    <row r="148" customFormat="false" ht="15" hidden="false" customHeight="false" outlineLevel="0" collapsed="false">
      <c r="A148" s="18" t="s">
        <v>532</v>
      </c>
      <c r="B148" s="5" t="s">
        <v>533</v>
      </c>
      <c r="C148" s="30" t="n">
        <v>4.2</v>
      </c>
      <c r="D148" s="5" t="s">
        <v>101</v>
      </c>
      <c r="E148" s="5" t="s">
        <v>91</v>
      </c>
      <c r="F148" s="20" t="s">
        <v>534</v>
      </c>
      <c r="G148" s="5" t="s">
        <v>493</v>
      </c>
      <c r="H148" s="21" t="n">
        <v>5</v>
      </c>
      <c r="I148" s="5" t="s">
        <v>198</v>
      </c>
      <c r="J148" s="20" t="s">
        <v>494</v>
      </c>
      <c r="K148" s="20" t="s">
        <v>495</v>
      </c>
      <c r="L148" s="22" t="s">
        <v>81</v>
      </c>
    </row>
    <row r="149" customFormat="false" ht="15" hidden="false" customHeight="false" outlineLevel="0" collapsed="false">
      <c r="A149" s="23" t="s">
        <v>535</v>
      </c>
      <c r="B149" s="24" t="s">
        <v>536</v>
      </c>
      <c r="C149" s="25" t="n">
        <v>9.5</v>
      </c>
      <c r="D149" s="24" t="s">
        <v>270</v>
      </c>
      <c r="E149" s="24" t="s">
        <v>91</v>
      </c>
      <c r="F149" s="26" t="s">
        <v>537</v>
      </c>
      <c r="G149" s="24" t="s">
        <v>493</v>
      </c>
      <c r="H149" s="27" t="n">
        <v>5</v>
      </c>
      <c r="I149" s="24" t="s">
        <v>198</v>
      </c>
      <c r="J149" s="26" t="s">
        <v>494</v>
      </c>
      <c r="K149" s="26" t="s">
        <v>495</v>
      </c>
      <c r="L149" s="28" t="s">
        <v>81</v>
      </c>
    </row>
    <row r="150" customFormat="false" ht="15" hidden="false" customHeight="false" outlineLevel="0" collapsed="false">
      <c r="A150" s="18" t="s">
        <v>538</v>
      </c>
      <c r="B150" s="5" t="s">
        <v>539</v>
      </c>
      <c r="C150" s="30" t="n">
        <v>5.1</v>
      </c>
      <c r="D150" s="5" t="s">
        <v>101</v>
      </c>
      <c r="E150" s="5" t="s">
        <v>141</v>
      </c>
      <c r="F150" s="20" t="s">
        <v>526</v>
      </c>
      <c r="G150" s="5" t="s">
        <v>493</v>
      </c>
      <c r="H150" s="21" t="n">
        <v>5</v>
      </c>
      <c r="I150" s="5" t="s">
        <v>198</v>
      </c>
      <c r="J150" s="20" t="s">
        <v>494</v>
      </c>
      <c r="K150" s="20" t="s">
        <v>495</v>
      </c>
      <c r="L150" s="22" t="s">
        <v>81</v>
      </c>
    </row>
    <row r="151" customFormat="false" ht="15" hidden="false" customHeight="false" outlineLevel="0" collapsed="false">
      <c r="A151" s="23" t="s">
        <v>540</v>
      </c>
      <c r="B151" s="24" t="s">
        <v>541</v>
      </c>
      <c r="C151" s="29" t="n">
        <v>18</v>
      </c>
      <c r="D151" s="24" t="s">
        <v>270</v>
      </c>
      <c r="E151" s="24" t="s">
        <v>170</v>
      </c>
      <c r="F151" s="26" t="s">
        <v>499</v>
      </c>
      <c r="G151" s="24" t="s">
        <v>542</v>
      </c>
      <c r="H151" s="27" t="n">
        <v>3</v>
      </c>
      <c r="I151" s="24" t="s">
        <v>78</v>
      </c>
      <c r="J151" s="26" t="s">
        <v>543</v>
      </c>
      <c r="K151" s="26" t="s">
        <v>495</v>
      </c>
      <c r="L151" s="28" t="s">
        <v>81</v>
      </c>
    </row>
    <row r="152" customFormat="false" ht="15" hidden="false" customHeight="false" outlineLevel="0" collapsed="false">
      <c r="A152" s="18" t="s">
        <v>544</v>
      </c>
      <c r="B152" s="5" t="s">
        <v>545</v>
      </c>
      <c r="C152" s="19" t="n">
        <v>20</v>
      </c>
      <c r="D152" s="5" t="s">
        <v>270</v>
      </c>
      <c r="E152" s="5" t="s">
        <v>170</v>
      </c>
      <c r="F152" s="20" t="s">
        <v>546</v>
      </c>
      <c r="G152" s="5" t="s">
        <v>542</v>
      </c>
      <c r="H152" s="21" t="n">
        <v>3</v>
      </c>
      <c r="I152" s="5" t="s">
        <v>78</v>
      </c>
      <c r="J152" s="20" t="s">
        <v>543</v>
      </c>
      <c r="K152" s="20" t="s">
        <v>495</v>
      </c>
      <c r="L152" s="22" t="s">
        <v>81</v>
      </c>
    </row>
    <row r="153" customFormat="false" ht="15" hidden="false" customHeight="false" outlineLevel="0" collapsed="false">
      <c r="A153" s="23" t="s">
        <v>547</v>
      </c>
      <c r="B153" s="24" t="s">
        <v>548</v>
      </c>
      <c r="C153" s="29" t="n">
        <v>22</v>
      </c>
      <c r="D153" s="24" t="s">
        <v>270</v>
      </c>
      <c r="E153" s="24" t="s">
        <v>170</v>
      </c>
      <c r="F153" s="26" t="s">
        <v>549</v>
      </c>
      <c r="G153" s="24" t="s">
        <v>542</v>
      </c>
      <c r="H153" s="27" t="n">
        <v>3</v>
      </c>
      <c r="I153" s="24" t="s">
        <v>78</v>
      </c>
      <c r="J153" s="26" t="s">
        <v>543</v>
      </c>
      <c r="K153" s="26" t="s">
        <v>495</v>
      </c>
      <c r="L153" s="28" t="s">
        <v>81</v>
      </c>
    </row>
    <row r="154" customFormat="false" ht="15" hidden="false" customHeight="false" outlineLevel="0" collapsed="false">
      <c r="A154" s="18" t="s">
        <v>550</v>
      </c>
      <c r="B154" s="5" t="s">
        <v>551</v>
      </c>
      <c r="C154" s="19" t="n">
        <v>4</v>
      </c>
      <c r="D154" s="5" t="s">
        <v>270</v>
      </c>
      <c r="E154" s="5" t="s">
        <v>170</v>
      </c>
      <c r="F154" s="20" t="s">
        <v>438</v>
      </c>
      <c r="G154" s="5" t="s">
        <v>542</v>
      </c>
      <c r="H154" s="21" t="n">
        <v>3</v>
      </c>
      <c r="I154" s="5" t="s">
        <v>98</v>
      </c>
      <c r="J154" s="20" t="s">
        <v>543</v>
      </c>
      <c r="K154" s="20" t="s">
        <v>495</v>
      </c>
      <c r="L154" s="22" t="s">
        <v>81</v>
      </c>
    </row>
    <row r="155" customFormat="false" ht="15" hidden="false" customHeight="false" outlineLevel="0" collapsed="false">
      <c r="A155" s="23" t="s">
        <v>552</v>
      </c>
      <c r="B155" s="24" t="s">
        <v>553</v>
      </c>
      <c r="C155" s="29" t="n">
        <v>5</v>
      </c>
      <c r="D155" s="24" t="s">
        <v>270</v>
      </c>
      <c r="E155" s="24" t="s">
        <v>170</v>
      </c>
      <c r="F155" s="26" t="s">
        <v>369</v>
      </c>
      <c r="G155" s="24" t="s">
        <v>542</v>
      </c>
      <c r="H155" s="27" t="n">
        <v>3</v>
      </c>
      <c r="I155" s="24" t="s">
        <v>98</v>
      </c>
      <c r="J155" s="26" t="s">
        <v>543</v>
      </c>
      <c r="K155" s="26" t="s">
        <v>495</v>
      </c>
      <c r="L155" s="28" t="s">
        <v>81</v>
      </c>
    </row>
    <row r="156" customFormat="false" ht="15" hidden="false" customHeight="false" outlineLevel="0" collapsed="false">
      <c r="A156" s="18" t="s">
        <v>554</v>
      </c>
      <c r="B156" s="5" t="s">
        <v>555</v>
      </c>
      <c r="C156" s="19" t="n">
        <v>4954</v>
      </c>
      <c r="D156" s="5" t="s">
        <v>74</v>
      </c>
      <c r="E156" s="5" t="s">
        <v>91</v>
      </c>
      <c r="F156" s="20" t="s">
        <v>556</v>
      </c>
      <c r="G156" s="5" t="s">
        <v>557</v>
      </c>
      <c r="H156" s="21" t="n">
        <v>23</v>
      </c>
      <c r="I156" s="5" t="s">
        <v>198</v>
      </c>
      <c r="J156" s="20" t="s">
        <v>558</v>
      </c>
      <c r="K156" s="20" t="s">
        <v>80</v>
      </c>
      <c r="L156" s="22" t="s">
        <v>81</v>
      </c>
    </row>
    <row r="157" customFormat="false" ht="15" hidden="false" customHeight="false" outlineLevel="0" collapsed="false">
      <c r="A157" s="23" t="s">
        <v>559</v>
      </c>
      <c r="B157" s="24" t="s">
        <v>560</v>
      </c>
      <c r="C157" s="25" t="n">
        <v>3.6</v>
      </c>
      <c r="D157" s="24" t="s">
        <v>270</v>
      </c>
      <c r="E157" s="24" t="s">
        <v>91</v>
      </c>
      <c r="F157" s="26" t="s">
        <v>561</v>
      </c>
      <c r="G157" s="24" t="s">
        <v>557</v>
      </c>
      <c r="H157" s="27" t="n">
        <v>23</v>
      </c>
      <c r="I157" s="24" t="s">
        <v>198</v>
      </c>
      <c r="J157" s="26" t="s">
        <v>558</v>
      </c>
      <c r="K157" s="26" t="s">
        <v>80</v>
      </c>
      <c r="L157" s="28" t="s">
        <v>81</v>
      </c>
    </row>
    <row r="158" customFormat="false" ht="15" hidden="false" customHeight="false" outlineLevel="0" collapsed="false">
      <c r="A158" s="18" t="s">
        <v>562</v>
      </c>
      <c r="B158" s="5" t="s">
        <v>563</v>
      </c>
      <c r="C158" s="19" t="n">
        <v>669</v>
      </c>
      <c r="D158" s="5" t="s">
        <v>74</v>
      </c>
      <c r="E158" s="5" t="s">
        <v>91</v>
      </c>
      <c r="F158" s="20" t="s">
        <v>564</v>
      </c>
      <c r="G158" s="5" t="s">
        <v>557</v>
      </c>
      <c r="H158" s="21" t="n">
        <v>23</v>
      </c>
      <c r="I158" s="5" t="s">
        <v>198</v>
      </c>
      <c r="J158" s="20" t="s">
        <v>558</v>
      </c>
      <c r="K158" s="20" t="s">
        <v>80</v>
      </c>
      <c r="L158" s="22" t="s">
        <v>81</v>
      </c>
    </row>
    <row r="159" customFormat="false" ht="15" hidden="false" customHeight="false" outlineLevel="0" collapsed="false">
      <c r="A159" s="23" t="s">
        <v>565</v>
      </c>
      <c r="B159" s="24" t="s">
        <v>566</v>
      </c>
      <c r="C159" s="25" t="n">
        <v>14.1</v>
      </c>
      <c r="D159" s="24" t="s">
        <v>270</v>
      </c>
      <c r="E159" s="24" t="s">
        <v>91</v>
      </c>
      <c r="F159" s="26" t="s">
        <v>567</v>
      </c>
      <c r="G159" s="24" t="s">
        <v>557</v>
      </c>
      <c r="H159" s="27" t="n">
        <v>23</v>
      </c>
      <c r="I159" s="24" t="s">
        <v>198</v>
      </c>
      <c r="J159" s="26" t="s">
        <v>558</v>
      </c>
      <c r="K159" s="26" t="s">
        <v>80</v>
      </c>
      <c r="L159" s="28" t="s">
        <v>81</v>
      </c>
    </row>
    <row r="160" customFormat="false" ht="15" hidden="false" customHeight="false" outlineLevel="0" collapsed="false">
      <c r="A160" s="18" t="s">
        <v>568</v>
      </c>
      <c r="B160" s="5" t="s">
        <v>569</v>
      </c>
      <c r="C160" s="19" t="n">
        <v>11316</v>
      </c>
      <c r="D160" s="5" t="s">
        <v>74</v>
      </c>
      <c r="E160" s="5" t="s">
        <v>91</v>
      </c>
      <c r="F160" s="20" t="s">
        <v>570</v>
      </c>
      <c r="G160" s="5" t="s">
        <v>557</v>
      </c>
      <c r="H160" s="21" t="n">
        <v>23</v>
      </c>
      <c r="I160" s="5" t="s">
        <v>198</v>
      </c>
      <c r="J160" s="20" t="s">
        <v>558</v>
      </c>
      <c r="K160" s="20" t="s">
        <v>80</v>
      </c>
      <c r="L160" s="22" t="s">
        <v>81</v>
      </c>
    </row>
    <row r="161" customFormat="false" ht="15" hidden="false" customHeight="false" outlineLevel="0" collapsed="false">
      <c r="A161" s="23" t="s">
        <v>571</v>
      </c>
      <c r="B161" s="24" t="s">
        <v>572</v>
      </c>
      <c r="C161" s="25" t="n">
        <v>4.1</v>
      </c>
      <c r="D161" s="24" t="s">
        <v>270</v>
      </c>
      <c r="E161" s="24" t="s">
        <v>91</v>
      </c>
      <c r="F161" s="26" t="s">
        <v>573</v>
      </c>
      <c r="G161" s="24" t="s">
        <v>557</v>
      </c>
      <c r="H161" s="27" t="n">
        <v>23</v>
      </c>
      <c r="I161" s="24" t="s">
        <v>198</v>
      </c>
      <c r="J161" s="26" t="s">
        <v>558</v>
      </c>
      <c r="K161" s="26" t="s">
        <v>80</v>
      </c>
      <c r="L161" s="28" t="s">
        <v>81</v>
      </c>
    </row>
    <row r="162" customFormat="false" ht="15" hidden="false" customHeight="false" outlineLevel="0" collapsed="false">
      <c r="A162" s="18" t="s">
        <v>574</v>
      </c>
      <c r="B162" s="5" t="s">
        <v>392</v>
      </c>
      <c r="C162" s="19" t="n">
        <v>2009</v>
      </c>
      <c r="D162" s="5" t="s">
        <v>74</v>
      </c>
      <c r="E162" s="5" t="s">
        <v>91</v>
      </c>
      <c r="F162" s="20" t="s">
        <v>575</v>
      </c>
      <c r="G162" s="5" t="s">
        <v>557</v>
      </c>
      <c r="H162" s="21" t="n">
        <v>23</v>
      </c>
      <c r="I162" s="5" t="s">
        <v>198</v>
      </c>
      <c r="J162" s="20" t="s">
        <v>558</v>
      </c>
      <c r="K162" s="20" t="s">
        <v>80</v>
      </c>
      <c r="L162" s="22" t="s">
        <v>81</v>
      </c>
    </row>
    <row r="163" customFormat="false" ht="15" hidden="false" customHeight="false" outlineLevel="0" collapsed="false">
      <c r="A163" s="23" t="s">
        <v>576</v>
      </c>
      <c r="B163" s="24" t="s">
        <v>577</v>
      </c>
      <c r="C163" s="25" t="n">
        <v>9.3</v>
      </c>
      <c r="D163" s="24" t="s">
        <v>270</v>
      </c>
      <c r="E163" s="24" t="s">
        <v>91</v>
      </c>
      <c r="F163" s="26" t="s">
        <v>578</v>
      </c>
      <c r="G163" s="24" t="s">
        <v>557</v>
      </c>
      <c r="H163" s="27" t="n">
        <v>23</v>
      </c>
      <c r="I163" s="24" t="s">
        <v>198</v>
      </c>
      <c r="J163" s="26" t="s">
        <v>558</v>
      </c>
      <c r="K163" s="26" t="s">
        <v>80</v>
      </c>
      <c r="L163" s="28" t="s">
        <v>81</v>
      </c>
    </row>
    <row r="164" customFormat="false" ht="15" hidden="false" customHeight="false" outlineLevel="0" collapsed="false">
      <c r="A164" s="18" t="s">
        <v>579</v>
      </c>
      <c r="B164" s="5" t="s">
        <v>580</v>
      </c>
      <c r="C164" s="19" t="n">
        <v>19206</v>
      </c>
      <c r="D164" s="5" t="s">
        <v>74</v>
      </c>
      <c r="E164" s="5" t="s">
        <v>91</v>
      </c>
      <c r="F164" s="20" t="s">
        <v>581</v>
      </c>
      <c r="G164" s="5" t="s">
        <v>557</v>
      </c>
      <c r="H164" s="21" t="n">
        <v>23</v>
      </c>
      <c r="I164" s="5" t="s">
        <v>198</v>
      </c>
      <c r="J164" s="20" t="s">
        <v>558</v>
      </c>
      <c r="K164" s="20" t="s">
        <v>80</v>
      </c>
      <c r="L164" s="22" t="s">
        <v>81</v>
      </c>
    </row>
    <row r="165" customFormat="false" ht="15" hidden="false" customHeight="false" outlineLevel="0" collapsed="false">
      <c r="A165" s="23" t="s">
        <v>582</v>
      </c>
      <c r="B165" s="24" t="s">
        <v>583</v>
      </c>
      <c r="C165" s="29" t="n">
        <v>2758</v>
      </c>
      <c r="D165" s="24" t="s">
        <v>74</v>
      </c>
      <c r="E165" s="24" t="s">
        <v>91</v>
      </c>
      <c r="F165" s="26" t="s">
        <v>584</v>
      </c>
      <c r="G165" s="24" t="s">
        <v>557</v>
      </c>
      <c r="H165" s="27" t="n">
        <v>23</v>
      </c>
      <c r="I165" s="24" t="s">
        <v>198</v>
      </c>
      <c r="J165" s="26" t="s">
        <v>558</v>
      </c>
      <c r="K165" s="26" t="s">
        <v>80</v>
      </c>
      <c r="L165" s="28" t="s">
        <v>81</v>
      </c>
    </row>
    <row r="166" customFormat="false" ht="15" hidden="false" customHeight="false" outlineLevel="0" collapsed="false">
      <c r="A166" s="18" t="s">
        <v>585</v>
      </c>
      <c r="B166" s="5" t="s">
        <v>586</v>
      </c>
      <c r="C166" s="30" t="n">
        <v>1.8</v>
      </c>
      <c r="D166" s="5" t="s">
        <v>270</v>
      </c>
      <c r="E166" s="5" t="s">
        <v>91</v>
      </c>
      <c r="F166" s="20" t="s">
        <v>587</v>
      </c>
      <c r="G166" s="5" t="s">
        <v>557</v>
      </c>
      <c r="H166" s="21" t="n">
        <v>23</v>
      </c>
      <c r="I166" s="5" t="s">
        <v>198</v>
      </c>
      <c r="J166" s="20" t="s">
        <v>558</v>
      </c>
      <c r="K166" s="20" t="s">
        <v>80</v>
      </c>
      <c r="L166" s="22" t="s">
        <v>81</v>
      </c>
    </row>
    <row r="167" customFormat="false" ht="15" hidden="false" customHeight="false" outlineLevel="0" collapsed="false">
      <c r="A167" s="23" t="s">
        <v>588</v>
      </c>
      <c r="B167" s="24" t="s">
        <v>589</v>
      </c>
      <c r="C167" s="29" t="n">
        <v>8914</v>
      </c>
      <c r="D167" s="24" t="s">
        <v>74</v>
      </c>
      <c r="E167" s="24" t="s">
        <v>91</v>
      </c>
      <c r="F167" s="26" t="s">
        <v>590</v>
      </c>
      <c r="G167" s="24" t="s">
        <v>591</v>
      </c>
      <c r="H167" s="27" t="n">
        <v>12</v>
      </c>
      <c r="I167" s="24" t="s">
        <v>198</v>
      </c>
      <c r="J167" s="26" t="s">
        <v>592</v>
      </c>
      <c r="K167" s="26" t="s">
        <v>80</v>
      </c>
      <c r="L167" s="28" t="s">
        <v>81</v>
      </c>
    </row>
    <row r="168" customFormat="false" ht="15" hidden="false" customHeight="false" outlineLevel="0" collapsed="false">
      <c r="A168" s="18" t="s">
        <v>593</v>
      </c>
      <c r="B168" s="5" t="s">
        <v>589</v>
      </c>
      <c r="C168" s="19" t="n">
        <v>9145</v>
      </c>
      <c r="D168" s="5" t="s">
        <v>74</v>
      </c>
      <c r="E168" s="5" t="s">
        <v>131</v>
      </c>
      <c r="F168" s="20" t="s">
        <v>594</v>
      </c>
      <c r="G168" s="5" t="s">
        <v>591</v>
      </c>
      <c r="H168" s="21" t="n">
        <v>12</v>
      </c>
      <c r="I168" s="5" t="s">
        <v>198</v>
      </c>
      <c r="J168" s="20" t="s">
        <v>592</v>
      </c>
      <c r="K168" s="20" t="s">
        <v>80</v>
      </c>
      <c r="L168" s="22" t="s">
        <v>81</v>
      </c>
    </row>
    <row r="169" customFormat="false" ht="15" hidden="false" customHeight="false" outlineLevel="0" collapsed="false">
      <c r="A169" s="23" t="s">
        <v>595</v>
      </c>
      <c r="B169" s="24" t="s">
        <v>580</v>
      </c>
      <c r="C169" s="29" t="n">
        <v>18619</v>
      </c>
      <c r="D169" s="24" t="s">
        <v>74</v>
      </c>
      <c r="E169" s="24" t="s">
        <v>131</v>
      </c>
      <c r="F169" s="26" t="s">
        <v>596</v>
      </c>
      <c r="G169" s="24" t="s">
        <v>591</v>
      </c>
      <c r="H169" s="27" t="n">
        <v>12</v>
      </c>
      <c r="I169" s="24" t="s">
        <v>198</v>
      </c>
      <c r="J169" s="26" t="s">
        <v>592</v>
      </c>
      <c r="K169" s="26" t="s">
        <v>80</v>
      </c>
      <c r="L169" s="28" t="s">
        <v>81</v>
      </c>
    </row>
    <row r="170" customFormat="false" ht="15" hidden="false" customHeight="false" outlineLevel="0" collapsed="false">
      <c r="A170" s="18" t="s">
        <v>597</v>
      </c>
      <c r="B170" s="5" t="s">
        <v>569</v>
      </c>
      <c r="C170" s="19" t="n">
        <v>11945</v>
      </c>
      <c r="D170" s="5" t="s">
        <v>74</v>
      </c>
      <c r="E170" s="5" t="s">
        <v>131</v>
      </c>
      <c r="F170" s="20" t="s">
        <v>598</v>
      </c>
      <c r="G170" s="5" t="s">
        <v>591</v>
      </c>
      <c r="H170" s="21" t="n">
        <v>12</v>
      </c>
      <c r="I170" s="5" t="s">
        <v>198</v>
      </c>
      <c r="J170" s="20" t="s">
        <v>592</v>
      </c>
      <c r="K170" s="20" t="s">
        <v>80</v>
      </c>
      <c r="L170" s="22" t="s">
        <v>81</v>
      </c>
    </row>
    <row r="171" customFormat="false" ht="15" hidden="false" customHeight="false" outlineLevel="0" collapsed="false">
      <c r="A171" s="23" t="s">
        <v>599</v>
      </c>
      <c r="B171" s="24" t="s">
        <v>583</v>
      </c>
      <c r="C171" s="29" t="n">
        <v>2642</v>
      </c>
      <c r="D171" s="24" t="s">
        <v>74</v>
      </c>
      <c r="E171" s="24" t="s">
        <v>131</v>
      </c>
      <c r="F171" s="26" t="s">
        <v>600</v>
      </c>
      <c r="G171" s="24" t="s">
        <v>591</v>
      </c>
      <c r="H171" s="27" t="n">
        <v>13</v>
      </c>
      <c r="I171" s="24" t="s">
        <v>198</v>
      </c>
      <c r="J171" s="26" t="s">
        <v>592</v>
      </c>
      <c r="K171" s="26" t="s">
        <v>80</v>
      </c>
      <c r="L171" s="28" t="s">
        <v>81</v>
      </c>
    </row>
    <row r="172" customFormat="false" ht="15" hidden="false" customHeight="false" outlineLevel="0" collapsed="false">
      <c r="A172" s="18" t="s">
        <v>601</v>
      </c>
      <c r="B172" s="5" t="s">
        <v>392</v>
      </c>
      <c r="C172" s="19" t="n">
        <v>2025</v>
      </c>
      <c r="D172" s="5" t="s">
        <v>74</v>
      </c>
      <c r="E172" s="5" t="s">
        <v>131</v>
      </c>
      <c r="F172" s="20" t="s">
        <v>602</v>
      </c>
      <c r="G172" s="5" t="s">
        <v>591</v>
      </c>
      <c r="H172" s="21" t="n">
        <v>13</v>
      </c>
      <c r="I172" s="5" t="s">
        <v>198</v>
      </c>
      <c r="J172" s="20" t="s">
        <v>592</v>
      </c>
      <c r="K172" s="20" t="s">
        <v>80</v>
      </c>
      <c r="L172" s="22" t="s">
        <v>81</v>
      </c>
    </row>
    <row r="173" customFormat="false" ht="15" hidden="false" customHeight="false" outlineLevel="0" collapsed="false">
      <c r="A173" s="23" t="s">
        <v>603</v>
      </c>
      <c r="B173" s="24" t="s">
        <v>604</v>
      </c>
      <c r="C173" s="29" t="n">
        <v>13191</v>
      </c>
      <c r="D173" s="24" t="s">
        <v>74</v>
      </c>
      <c r="E173" s="24" t="s">
        <v>91</v>
      </c>
      <c r="F173" s="26" t="s">
        <v>605</v>
      </c>
      <c r="G173" s="24" t="s">
        <v>557</v>
      </c>
      <c r="H173" s="27" t="n">
        <v>7</v>
      </c>
      <c r="I173" s="24" t="s">
        <v>198</v>
      </c>
      <c r="J173" s="26" t="s">
        <v>558</v>
      </c>
      <c r="K173" s="26" t="s">
        <v>80</v>
      </c>
      <c r="L173" s="28" t="s">
        <v>81</v>
      </c>
    </row>
    <row r="174" customFormat="false" ht="15" hidden="false" customHeight="false" outlineLevel="0" collapsed="false">
      <c r="A174" s="18" t="s">
        <v>606</v>
      </c>
      <c r="B174" s="5" t="s">
        <v>607</v>
      </c>
      <c r="C174" s="30" t="n">
        <v>4.3</v>
      </c>
      <c r="D174" s="5" t="s">
        <v>270</v>
      </c>
      <c r="E174" s="5" t="s">
        <v>91</v>
      </c>
      <c r="F174" s="20" t="s">
        <v>608</v>
      </c>
      <c r="G174" s="5" t="s">
        <v>557</v>
      </c>
      <c r="H174" s="21" t="n">
        <v>7</v>
      </c>
      <c r="I174" s="5" t="s">
        <v>198</v>
      </c>
      <c r="J174" s="20" t="s">
        <v>558</v>
      </c>
      <c r="K174" s="20" t="s">
        <v>80</v>
      </c>
      <c r="L174" s="22" t="s">
        <v>81</v>
      </c>
    </row>
    <row r="175" customFormat="false" ht="15" hidden="false" customHeight="false" outlineLevel="0" collapsed="false">
      <c r="A175" s="23" t="s">
        <v>609</v>
      </c>
      <c r="B175" s="24" t="s">
        <v>610</v>
      </c>
      <c r="C175" s="25" t="n">
        <v>12.1</v>
      </c>
      <c r="D175" s="24" t="s">
        <v>270</v>
      </c>
      <c r="E175" s="24" t="s">
        <v>91</v>
      </c>
      <c r="F175" s="26" t="s">
        <v>611</v>
      </c>
      <c r="G175" s="24" t="s">
        <v>557</v>
      </c>
      <c r="H175" s="27" t="n">
        <v>7</v>
      </c>
      <c r="I175" s="24" t="s">
        <v>198</v>
      </c>
      <c r="J175" s="26" t="s">
        <v>558</v>
      </c>
      <c r="K175" s="26" t="s">
        <v>80</v>
      </c>
      <c r="L175" s="28" t="s">
        <v>81</v>
      </c>
    </row>
    <row r="176" customFormat="false" ht="15" hidden="false" customHeight="false" outlineLevel="0" collapsed="false">
      <c r="A176" s="18" t="s">
        <v>612</v>
      </c>
      <c r="B176" s="5" t="s">
        <v>613</v>
      </c>
      <c r="C176" s="19" t="n">
        <v>1668</v>
      </c>
      <c r="D176" s="5" t="s">
        <v>74</v>
      </c>
      <c r="E176" s="5" t="s">
        <v>91</v>
      </c>
      <c r="F176" s="20" t="s">
        <v>614</v>
      </c>
      <c r="G176" s="5" t="s">
        <v>557</v>
      </c>
      <c r="H176" s="21" t="n">
        <v>25</v>
      </c>
      <c r="I176" s="5" t="s">
        <v>198</v>
      </c>
      <c r="J176" s="20" t="s">
        <v>558</v>
      </c>
      <c r="K176" s="20" t="s">
        <v>80</v>
      </c>
      <c r="L176" s="22" t="s">
        <v>81</v>
      </c>
    </row>
    <row r="177" customFormat="false" ht="15" hidden="false" customHeight="false" outlineLevel="0" collapsed="false">
      <c r="A177" s="23" t="s">
        <v>615</v>
      </c>
      <c r="B177" s="24" t="s">
        <v>616</v>
      </c>
      <c r="C177" s="25" t="n">
        <v>12.6</v>
      </c>
      <c r="D177" s="24" t="s">
        <v>270</v>
      </c>
      <c r="E177" s="24" t="s">
        <v>91</v>
      </c>
      <c r="F177" s="26" t="s">
        <v>617</v>
      </c>
      <c r="G177" s="24" t="s">
        <v>557</v>
      </c>
      <c r="H177" s="27" t="n">
        <v>25</v>
      </c>
      <c r="I177" s="24" t="s">
        <v>198</v>
      </c>
      <c r="J177" s="26" t="s">
        <v>558</v>
      </c>
      <c r="K177" s="26" t="s">
        <v>80</v>
      </c>
      <c r="L177" s="28" t="s">
        <v>81</v>
      </c>
    </row>
    <row r="178" customFormat="false" ht="15" hidden="false" customHeight="false" outlineLevel="0" collapsed="false">
      <c r="A178" s="18" t="s">
        <v>618</v>
      </c>
      <c r="B178" s="5" t="s">
        <v>619</v>
      </c>
      <c r="C178" s="19" t="n">
        <v>4021</v>
      </c>
      <c r="D178" s="5" t="s">
        <v>74</v>
      </c>
      <c r="E178" s="5" t="s">
        <v>91</v>
      </c>
      <c r="F178" s="20" t="s">
        <v>620</v>
      </c>
      <c r="G178" s="5" t="s">
        <v>557</v>
      </c>
      <c r="H178" s="21" t="n">
        <v>25</v>
      </c>
      <c r="I178" s="5" t="s">
        <v>198</v>
      </c>
      <c r="J178" s="20" t="s">
        <v>558</v>
      </c>
      <c r="K178" s="20" t="s">
        <v>80</v>
      </c>
      <c r="L178" s="22" t="s">
        <v>81</v>
      </c>
    </row>
    <row r="179" customFormat="false" ht="15" hidden="false" customHeight="false" outlineLevel="0" collapsed="false">
      <c r="A179" s="23" t="s">
        <v>621</v>
      </c>
      <c r="B179" s="24" t="s">
        <v>622</v>
      </c>
      <c r="C179" s="29" t="n">
        <v>312</v>
      </c>
      <c r="D179" s="24" t="s">
        <v>74</v>
      </c>
      <c r="E179" s="24" t="s">
        <v>91</v>
      </c>
      <c r="F179" s="26" t="s">
        <v>623</v>
      </c>
      <c r="G179" s="24" t="s">
        <v>557</v>
      </c>
      <c r="H179" s="27" t="n">
        <v>25</v>
      </c>
      <c r="I179" s="24" t="s">
        <v>198</v>
      </c>
      <c r="J179" s="26" t="s">
        <v>558</v>
      </c>
      <c r="K179" s="26" t="s">
        <v>80</v>
      </c>
      <c r="L179" s="28" t="s">
        <v>81</v>
      </c>
    </row>
    <row r="180" customFormat="false" ht="15" hidden="false" customHeight="false" outlineLevel="0" collapsed="false">
      <c r="A180" s="18" t="s">
        <v>624</v>
      </c>
      <c r="B180" s="5" t="s">
        <v>619</v>
      </c>
      <c r="C180" s="19" t="n">
        <v>3471</v>
      </c>
      <c r="D180" s="5" t="s">
        <v>74</v>
      </c>
      <c r="E180" s="5" t="s">
        <v>131</v>
      </c>
      <c r="F180" s="20" t="s">
        <v>625</v>
      </c>
      <c r="G180" s="5" t="s">
        <v>557</v>
      </c>
      <c r="H180" s="21" t="n">
        <v>41</v>
      </c>
      <c r="I180" s="5" t="s">
        <v>198</v>
      </c>
      <c r="J180" s="20" t="s">
        <v>558</v>
      </c>
      <c r="K180" s="20" t="s">
        <v>80</v>
      </c>
      <c r="L180" s="22" t="s">
        <v>81</v>
      </c>
    </row>
    <row r="181" customFormat="false" ht="15" hidden="false" customHeight="false" outlineLevel="0" collapsed="false">
      <c r="A181" s="23" t="s">
        <v>626</v>
      </c>
      <c r="B181" s="24" t="s">
        <v>622</v>
      </c>
      <c r="C181" s="29" t="n">
        <v>246</v>
      </c>
      <c r="D181" s="24" t="s">
        <v>74</v>
      </c>
      <c r="E181" s="24" t="s">
        <v>131</v>
      </c>
      <c r="F181" s="26" t="s">
        <v>627</v>
      </c>
      <c r="G181" s="24" t="s">
        <v>557</v>
      </c>
      <c r="H181" s="27" t="n">
        <v>41</v>
      </c>
      <c r="I181" s="24" t="s">
        <v>198</v>
      </c>
      <c r="J181" s="26" t="s">
        <v>558</v>
      </c>
      <c r="K181" s="26" t="s">
        <v>80</v>
      </c>
      <c r="L181" s="28" t="s">
        <v>81</v>
      </c>
    </row>
    <row r="182" customFormat="false" ht="15" hidden="false" customHeight="false" outlineLevel="0" collapsed="false">
      <c r="A182" s="18" t="s">
        <v>628</v>
      </c>
      <c r="B182" s="5" t="s">
        <v>555</v>
      </c>
      <c r="C182" s="19" t="n">
        <v>2213</v>
      </c>
      <c r="D182" s="5" t="s">
        <v>74</v>
      </c>
      <c r="E182" s="5" t="s">
        <v>75</v>
      </c>
      <c r="F182" s="20" t="s">
        <v>629</v>
      </c>
      <c r="G182" s="5" t="s">
        <v>187</v>
      </c>
      <c r="H182" s="21" t="n">
        <v>19</v>
      </c>
      <c r="I182" s="5" t="s">
        <v>198</v>
      </c>
      <c r="J182" s="20" t="s">
        <v>188</v>
      </c>
      <c r="K182" s="20" t="s">
        <v>80</v>
      </c>
      <c r="L182" s="22" t="s">
        <v>81</v>
      </c>
    </row>
    <row r="183" customFormat="false" ht="15" hidden="false" customHeight="false" outlineLevel="0" collapsed="false">
      <c r="A183" s="23" t="s">
        <v>630</v>
      </c>
      <c r="B183" s="24" t="s">
        <v>560</v>
      </c>
      <c r="C183" s="25" t="n">
        <v>-4.8</v>
      </c>
      <c r="D183" s="24" t="s">
        <v>270</v>
      </c>
      <c r="E183" s="24" t="s">
        <v>75</v>
      </c>
      <c r="F183" s="26" t="s">
        <v>631</v>
      </c>
      <c r="G183" s="24" t="s">
        <v>187</v>
      </c>
      <c r="H183" s="27" t="n">
        <v>19</v>
      </c>
      <c r="I183" s="24" t="s">
        <v>198</v>
      </c>
      <c r="J183" s="26" t="s">
        <v>188</v>
      </c>
      <c r="K183" s="26" t="s">
        <v>80</v>
      </c>
      <c r="L183" s="28" t="s">
        <v>81</v>
      </c>
    </row>
    <row r="184" customFormat="false" ht="15" hidden="false" customHeight="false" outlineLevel="0" collapsed="false">
      <c r="A184" s="18" t="s">
        <v>632</v>
      </c>
      <c r="B184" s="5" t="s">
        <v>563</v>
      </c>
      <c r="C184" s="19" t="n">
        <v>294</v>
      </c>
      <c r="D184" s="5" t="s">
        <v>74</v>
      </c>
      <c r="E184" s="5" t="s">
        <v>75</v>
      </c>
      <c r="F184" s="20" t="s">
        <v>633</v>
      </c>
      <c r="G184" s="5" t="s">
        <v>187</v>
      </c>
      <c r="H184" s="21" t="n">
        <v>19</v>
      </c>
      <c r="I184" s="5" t="s">
        <v>198</v>
      </c>
      <c r="J184" s="20" t="s">
        <v>188</v>
      </c>
      <c r="K184" s="20" t="s">
        <v>80</v>
      </c>
      <c r="L184" s="22" t="s">
        <v>81</v>
      </c>
    </row>
    <row r="185" customFormat="false" ht="15" hidden="false" customHeight="false" outlineLevel="0" collapsed="false">
      <c r="A185" s="23" t="s">
        <v>634</v>
      </c>
      <c r="B185" s="24" t="s">
        <v>635</v>
      </c>
      <c r="C185" s="25" t="n">
        <v>13.45</v>
      </c>
      <c r="D185" s="24" t="s">
        <v>636</v>
      </c>
      <c r="E185" s="24" t="s">
        <v>637</v>
      </c>
      <c r="F185" s="26" t="s">
        <v>638</v>
      </c>
      <c r="G185" s="24" t="s">
        <v>143</v>
      </c>
      <c r="H185" s="27" t="n">
        <v>12</v>
      </c>
      <c r="I185" s="24" t="s">
        <v>198</v>
      </c>
      <c r="J185" s="26" t="s">
        <v>144</v>
      </c>
      <c r="K185" s="26" t="s">
        <v>80</v>
      </c>
      <c r="L185" s="28" t="s">
        <v>81</v>
      </c>
    </row>
    <row r="186" customFormat="false" ht="15" hidden="false" customHeight="false" outlineLevel="0" collapsed="false">
      <c r="A186" s="18" t="s">
        <v>639</v>
      </c>
      <c r="B186" s="5" t="s">
        <v>640</v>
      </c>
      <c r="C186" s="19" t="n">
        <v>13</v>
      </c>
      <c r="D186" s="5" t="s">
        <v>270</v>
      </c>
      <c r="E186" s="5" t="s">
        <v>196</v>
      </c>
      <c r="F186" s="20" t="s">
        <v>641</v>
      </c>
      <c r="G186" s="5" t="s">
        <v>143</v>
      </c>
      <c r="H186" s="21" t="n">
        <v>12</v>
      </c>
      <c r="I186" s="5" t="s">
        <v>198</v>
      </c>
      <c r="J186" s="20" t="s">
        <v>144</v>
      </c>
      <c r="K186" s="20" t="s">
        <v>80</v>
      </c>
      <c r="L186" s="22" t="s">
        <v>81</v>
      </c>
    </row>
    <row r="187" customFormat="false" ht="15" hidden="false" customHeight="false" outlineLevel="0" collapsed="false">
      <c r="A187" s="23" t="s">
        <v>642</v>
      </c>
      <c r="B187" s="24" t="s">
        <v>640</v>
      </c>
      <c r="C187" s="25" t="n">
        <v>23.6</v>
      </c>
      <c r="D187" s="24" t="s">
        <v>270</v>
      </c>
      <c r="E187" s="24" t="s">
        <v>141</v>
      </c>
      <c r="F187" s="26" t="s">
        <v>643</v>
      </c>
      <c r="G187" s="24" t="s">
        <v>143</v>
      </c>
      <c r="H187" s="27" t="n">
        <v>12</v>
      </c>
      <c r="I187" s="24" t="s">
        <v>198</v>
      </c>
      <c r="J187" s="26" t="s">
        <v>144</v>
      </c>
      <c r="K187" s="26" t="s">
        <v>80</v>
      </c>
      <c r="L187" s="28" t="s">
        <v>81</v>
      </c>
    </row>
    <row r="188" customFormat="false" ht="15" hidden="false" customHeight="false" outlineLevel="0" collapsed="false">
      <c r="A188" s="18" t="s">
        <v>644</v>
      </c>
      <c r="B188" s="5" t="s">
        <v>645</v>
      </c>
      <c r="C188" s="19" t="n">
        <v>30</v>
      </c>
      <c r="D188" s="5" t="s">
        <v>270</v>
      </c>
      <c r="E188" s="5" t="s">
        <v>127</v>
      </c>
      <c r="F188" s="20" t="s">
        <v>646</v>
      </c>
      <c r="G188" s="5" t="s">
        <v>143</v>
      </c>
      <c r="H188" s="21" t="n">
        <v>12</v>
      </c>
      <c r="I188" s="5" t="s">
        <v>198</v>
      </c>
      <c r="J188" s="20" t="s">
        <v>144</v>
      </c>
      <c r="K188" s="20" t="s">
        <v>80</v>
      </c>
      <c r="L188" s="22" t="s">
        <v>81</v>
      </c>
    </row>
    <row r="189" customFormat="false" ht="15" hidden="false" customHeight="false" outlineLevel="0" collapsed="false">
      <c r="A189" s="23" t="s">
        <v>647</v>
      </c>
      <c r="B189" s="24" t="s">
        <v>648</v>
      </c>
      <c r="C189" s="25" t="n">
        <v>1.45</v>
      </c>
      <c r="D189" s="24" t="s">
        <v>649</v>
      </c>
      <c r="E189" s="24" t="s">
        <v>196</v>
      </c>
      <c r="F189" s="26" t="s">
        <v>650</v>
      </c>
      <c r="G189" s="24" t="s">
        <v>143</v>
      </c>
      <c r="H189" s="27" t="n">
        <v>12</v>
      </c>
      <c r="I189" s="24" t="s">
        <v>198</v>
      </c>
      <c r="J189" s="26" t="s">
        <v>144</v>
      </c>
      <c r="K189" s="26" t="s">
        <v>80</v>
      </c>
      <c r="L189" s="28" t="s">
        <v>81</v>
      </c>
    </row>
    <row r="190" customFormat="false" ht="15" hidden="false" customHeight="false" outlineLevel="0" collapsed="false">
      <c r="A190" s="18" t="s">
        <v>651</v>
      </c>
      <c r="B190" s="5" t="s">
        <v>648</v>
      </c>
      <c r="C190" s="30" t="n">
        <v>1.574</v>
      </c>
      <c r="D190" s="5" t="s">
        <v>649</v>
      </c>
      <c r="E190" s="5" t="s">
        <v>141</v>
      </c>
      <c r="F190" s="20" t="s">
        <v>652</v>
      </c>
      <c r="G190" s="5" t="s">
        <v>143</v>
      </c>
      <c r="H190" s="21" t="n">
        <v>12</v>
      </c>
      <c r="I190" s="5" t="s">
        <v>198</v>
      </c>
      <c r="J190" s="20" t="s">
        <v>144</v>
      </c>
      <c r="K190" s="20" t="s">
        <v>80</v>
      </c>
      <c r="L190" s="22" t="s">
        <v>81</v>
      </c>
    </row>
    <row r="191" customFormat="false" ht="15" hidden="false" customHeight="false" outlineLevel="0" collapsed="false">
      <c r="A191" s="23" t="s">
        <v>653</v>
      </c>
      <c r="B191" s="24" t="s">
        <v>654</v>
      </c>
      <c r="C191" s="25" t="n">
        <v>1.5</v>
      </c>
      <c r="D191" s="24" t="s">
        <v>649</v>
      </c>
      <c r="E191" s="24" t="s">
        <v>127</v>
      </c>
      <c r="F191" s="26" t="s">
        <v>380</v>
      </c>
      <c r="G191" s="24" t="s">
        <v>143</v>
      </c>
      <c r="H191" s="27" t="n">
        <v>12</v>
      </c>
      <c r="I191" s="24" t="s">
        <v>198</v>
      </c>
      <c r="J191" s="26" t="s">
        <v>144</v>
      </c>
      <c r="K191" s="26" t="s">
        <v>80</v>
      </c>
      <c r="L191" s="28" t="s">
        <v>81</v>
      </c>
    </row>
    <row r="192" customFormat="false" ht="15" hidden="false" customHeight="false" outlineLevel="0" collapsed="false">
      <c r="A192" s="18" t="s">
        <v>655</v>
      </c>
      <c r="B192" s="5" t="s">
        <v>656</v>
      </c>
      <c r="C192" s="19" t="n">
        <v>18</v>
      </c>
      <c r="D192" s="5" t="s">
        <v>636</v>
      </c>
      <c r="E192" s="5" t="s">
        <v>127</v>
      </c>
      <c r="F192" s="20" t="s">
        <v>499</v>
      </c>
      <c r="G192" s="5" t="s">
        <v>143</v>
      </c>
      <c r="H192" s="21" t="n">
        <v>191</v>
      </c>
      <c r="I192" s="5" t="s">
        <v>198</v>
      </c>
      <c r="J192" s="20" t="s">
        <v>144</v>
      </c>
      <c r="K192" s="20" t="s">
        <v>80</v>
      </c>
      <c r="L192" s="22" t="s">
        <v>81</v>
      </c>
    </row>
    <row r="193" customFormat="false" ht="15" hidden="false" customHeight="false" outlineLevel="0" collapsed="false">
      <c r="A193" s="23" t="s">
        <v>657</v>
      </c>
      <c r="B193" s="24" t="s">
        <v>658</v>
      </c>
      <c r="C193" s="29" t="n">
        <v>398</v>
      </c>
      <c r="D193" s="24" t="s">
        <v>74</v>
      </c>
      <c r="E193" s="24" t="s">
        <v>131</v>
      </c>
      <c r="F193" s="26" t="s">
        <v>659</v>
      </c>
      <c r="G193" s="24" t="s">
        <v>660</v>
      </c>
      <c r="H193" s="27" t="n">
        <v>5</v>
      </c>
      <c r="I193" s="24" t="s">
        <v>98</v>
      </c>
      <c r="J193" s="26" t="s">
        <v>661</v>
      </c>
      <c r="K193" s="26" t="s">
        <v>80</v>
      </c>
      <c r="L193" s="28" t="s">
        <v>81</v>
      </c>
    </row>
    <row r="194" customFormat="false" ht="15" hidden="false" customHeight="false" outlineLevel="0" collapsed="false">
      <c r="A194" s="18" t="s">
        <v>662</v>
      </c>
      <c r="B194" s="5" t="s">
        <v>663</v>
      </c>
      <c r="C194" s="19" t="n">
        <v>435</v>
      </c>
      <c r="D194" s="5" t="s">
        <v>74</v>
      </c>
      <c r="E194" s="5" t="s">
        <v>131</v>
      </c>
      <c r="F194" s="20" t="s">
        <v>664</v>
      </c>
      <c r="G194" s="5" t="s">
        <v>660</v>
      </c>
      <c r="H194" s="21" t="n">
        <v>5</v>
      </c>
      <c r="I194" s="5" t="s">
        <v>98</v>
      </c>
      <c r="J194" s="20" t="s">
        <v>661</v>
      </c>
      <c r="K194" s="20" t="s">
        <v>80</v>
      </c>
      <c r="L194" s="22" t="s">
        <v>81</v>
      </c>
    </row>
    <row r="195" customFormat="false" ht="15" hidden="false" customHeight="false" outlineLevel="0" collapsed="false">
      <c r="A195" s="23" t="s">
        <v>665</v>
      </c>
      <c r="B195" s="24" t="s">
        <v>666</v>
      </c>
      <c r="C195" s="29" t="n">
        <v>530</v>
      </c>
      <c r="D195" s="24" t="s">
        <v>74</v>
      </c>
      <c r="E195" s="24" t="s">
        <v>667</v>
      </c>
      <c r="F195" s="26" t="s">
        <v>668</v>
      </c>
      <c r="G195" s="24" t="s">
        <v>669</v>
      </c>
      <c r="H195" s="27" t="n">
        <v>18</v>
      </c>
      <c r="I195" s="24" t="s">
        <v>98</v>
      </c>
      <c r="J195" s="26" t="s">
        <v>670</v>
      </c>
      <c r="K195" s="26" t="s">
        <v>80</v>
      </c>
      <c r="L195" s="28" t="s">
        <v>81</v>
      </c>
    </row>
    <row r="196" customFormat="false" ht="15" hidden="false" customHeight="false" outlineLevel="0" collapsed="false">
      <c r="A196" s="18" t="s">
        <v>671</v>
      </c>
      <c r="B196" s="5" t="s">
        <v>672</v>
      </c>
      <c r="C196" s="19" t="n">
        <v>534</v>
      </c>
      <c r="D196" s="5" t="s">
        <v>74</v>
      </c>
      <c r="E196" s="5" t="s">
        <v>91</v>
      </c>
      <c r="F196" s="20" t="s">
        <v>673</v>
      </c>
      <c r="G196" s="5" t="s">
        <v>591</v>
      </c>
      <c r="H196" s="21" t="n">
        <v>17</v>
      </c>
      <c r="I196" s="5" t="s">
        <v>98</v>
      </c>
      <c r="J196" s="20" t="s">
        <v>592</v>
      </c>
      <c r="K196" s="20" t="s">
        <v>80</v>
      </c>
      <c r="L196" s="22" t="s">
        <v>81</v>
      </c>
    </row>
    <row r="197" customFormat="false" ht="15" hidden="false" customHeight="false" outlineLevel="0" collapsed="false">
      <c r="A197" s="23" t="s">
        <v>674</v>
      </c>
      <c r="B197" s="24" t="s">
        <v>675</v>
      </c>
      <c r="C197" s="25" t="n">
        <v>973.9</v>
      </c>
      <c r="D197" s="24" t="s">
        <v>220</v>
      </c>
      <c r="E197" s="24" t="s">
        <v>91</v>
      </c>
      <c r="F197" s="26" t="s">
        <v>676</v>
      </c>
      <c r="G197" s="24" t="s">
        <v>677</v>
      </c>
      <c r="H197" s="27" t="n">
        <v>69</v>
      </c>
      <c r="I197" s="24" t="s">
        <v>244</v>
      </c>
      <c r="J197" s="26" t="s">
        <v>678</v>
      </c>
      <c r="K197" s="26" t="s">
        <v>495</v>
      </c>
      <c r="L197" s="28" t="s">
        <v>81</v>
      </c>
    </row>
    <row r="198" customFormat="false" ht="15" hidden="false" customHeight="false" outlineLevel="0" collapsed="false">
      <c r="A198" s="18" t="s">
        <v>679</v>
      </c>
      <c r="B198" s="5" t="s">
        <v>675</v>
      </c>
      <c r="C198" s="30" t="n">
        <v>940.3</v>
      </c>
      <c r="D198" s="5" t="s">
        <v>220</v>
      </c>
      <c r="E198" s="5" t="s">
        <v>131</v>
      </c>
      <c r="F198" s="20" t="s">
        <v>680</v>
      </c>
      <c r="G198" s="5" t="s">
        <v>677</v>
      </c>
      <c r="H198" s="21" t="n">
        <v>69</v>
      </c>
      <c r="I198" s="5" t="s">
        <v>244</v>
      </c>
      <c r="J198" s="20" t="s">
        <v>678</v>
      </c>
      <c r="K198" s="20" t="s">
        <v>495</v>
      </c>
      <c r="L198" s="22" t="s">
        <v>81</v>
      </c>
    </row>
    <row r="199" customFormat="false" ht="15" hidden="false" customHeight="false" outlineLevel="0" collapsed="false">
      <c r="A199" s="23" t="s">
        <v>681</v>
      </c>
      <c r="B199" s="24" t="s">
        <v>682</v>
      </c>
      <c r="C199" s="25" t="n">
        <v>91.7</v>
      </c>
      <c r="D199" s="24" t="s">
        <v>220</v>
      </c>
      <c r="E199" s="24" t="s">
        <v>91</v>
      </c>
      <c r="F199" s="26" t="s">
        <v>683</v>
      </c>
      <c r="G199" s="24" t="s">
        <v>677</v>
      </c>
      <c r="H199" s="27" t="n">
        <v>70</v>
      </c>
      <c r="I199" s="24" t="s">
        <v>244</v>
      </c>
      <c r="J199" s="26" t="s">
        <v>678</v>
      </c>
      <c r="K199" s="26" t="s">
        <v>495</v>
      </c>
      <c r="L199" s="28" t="s">
        <v>81</v>
      </c>
    </row>
    <row r="200" customFormat="false" ht="15" hidden="false" customHeight="false" outlineLevel="0" collapsed="false">
      <c r="A200" s="18" t="s">
        <v>684</v>
      </c>
      <c r="B200" s="5" t="s">
        <v>682</v>
      </c>
      <c r="C200" s="30" t="n">
        <v>92.6</v>
      </c>
      <c r="D200" s="5" t="s">
        <v>220</v>
      </c>
      <c r="E200" s="5" t="s">
        <v>131</v>
      </c>
      <c r="F200" s="20" t="s">
        <v>685</v>
      </c>
      <c r="G200" s="5" t="s">
        <v>677</v>
      </c>
      <c r="H200" s="21" t="n">
        <v>70</v>
      </c>
      <c r="I200" s="5" t="s">
        <v>244</v>
      </c>
      <c r="J200" s="20" t="s">
        <v>678</v>
      </c>
      <c r="K200" s="20" t="s">
        <v>495</v>
      </c>
      <c r="L200" s="22" t="s">
        <v>81</v>
      </c>
    </row>
    <row r="201" customFormat="false" ht="15" hidden="false" customHeight="false" outlineLevel="0" collapsed="false">
      <c r="A201" s="23" t="s">
        <v>686</v>
      </c>
      <c r="B201" s="24" t="s">
        <v>687</v>
      </c>
      <c r="C201" s="29" t="n">
        <v>39778</v>
      </c>
      <c r="D201" s="24" t="s">
        <v>688</v>
      </c>
      <c r="E201" s="24" t="s">
        <v>91</v>
      </c>
      <c r="F201" s="26" t="s">
        <v>689</v>
      </c>
      <c r="G201" s="24" t="s">
        <v>677</v>
      </c>
      <c r="H201" s="27" t="n">
        <v>284</v>
      </c>
      <c r="I201" s="24" t="s">
        <v>244</v>
      </c>
      <c r="J201" s="26" t="s">
        <v>678</v>
      </c>
      <c r="K201" s="26" t="s">
        <v>495</v>
      </c>
      <c r="L201" s="28" t="s">
        <v>81</v>
      </c>
    </row>
    <row r="202" customFormat="false" ht="15" hidden="false" customHeight="false" outlineLevel="0" collapsed="false">
      <c r="A202" s="18" t="s">
        <v>690</v>
      </c>
      <c r="B202" s="5" t="s">
        <v>691</v>
      </c>
      <c r="C202" s="19" t="n">
        <v>23644</v>
      </c>
      <c r="D202" s="5" t="s">
        <v>688</v>
      </c>
      <c r="E202" s="5" t="s">
        <v>91</v>
      </c>
      <c r="F202" s="20" t="s">
        <v>692</v>
      </c>
      <c r="G202" s="5" t="s">
        <v>677</v>
      </c>
      <c r="H202" s="21" t="n">
        <v>284</v>
      </c>
      <c r="I202" s="5" t="s">
        <v>244</v>
      </c>
      <c r="J202" s="20" t="s">
        <v>678</v>
      </c>
      <c r="K202" s="20" t="s">
        <v>495</v>
      </c>
      <c r="L202" s="22" t="s">
        <v>81</v>
      </c>
    </row>
    <row r="203" customFormat="false" ht="15" hidden="false" customHeight="false" outlineLevel="0" collapsed="false">
      <c r="A203" s="23" t="s">
        <v>693</v>
      </c>
      <c r="B203" s="24" t="s">
        <v>694</v>
      </c>
      <c r="C203" s="29" t="n">
        <v>1036916</v>
      </c>
      <c r="D203" s="24" t="s">
        <v>688</v>
      </c>
      <c r="E203" s="24" t="s">
        <v>111</v>
      </c>
      <c r="F203" s="26" t="s">
        <v>695</v>
      </c>
      <c r="G203" s="24" t="s">
        <v>677</v>
      </c>
      <c r="H203" s="27" t="n">
        <v>284</v>
      </c>
      <c r="I203" s="24" t="s">
        <v>244</v>
      </c>
      <c r="J203" s="26" t="s">
        <v>678</v>
      </c>
      <c r="K203" s="26" t="s">
        <v>495</v>
      </c>
      <c r="L203" s="28" t="s">
        <v>81</v>
      </c>
    </row>
    <row r="204" customFormat="false" ht="15" hidden="false" customHeight="false" outlineLevel="0" collapsed="false">
      <c r="A204" s="18" t="s">
        <v>696</v>
      </c>
      <c r="B204" s="5" t="s">
        <v>697</v>
      </c>
      <c r="C204" s="19" t="n">
        <v>3</v>
      </c>
      <c r="D204" s="5" t="s">
        <v>240</v>
      </c>
      <c r="E204" s="5" t="s">
        <v>241</v>
      </c>
      <c r="F204" s="20" t="s">
        <v>242</v>
      </c>
      <c r="G204" s="5" t="s">
        <v>677</v>
      </c>
      <c r="H204" s="21" t="n">
        <v>68</v>
      </c>
      <c r="I204" s="5" t="s">
        <v>244</v>
      </c>
      <c r="J204" s="20" t="s">
        <v>678</v>
      </c>
      <c r="K204" s="20" t="s">
        <v>495</v>
      </c>
      <c r="L204" s="22" t="s">
        <v>81</v>
      </c>
    </row>
    <row r="205" customFormat="false" ht="15" hidden="false" customHeight="false" outlineLevel="0" collapsed="false">
      <c r="A205" s="23" t="s">
        <v>698</v>
      </c>
      <c r="B205" s="24" t="s">
        <v>699</v>
      </c>
      <c r="C205" s="29" t="n">
        <v>3</v>
      </c>
      <c r="D205" s="24" t="s">
        <v>104</v>
      </c>
      <c r="E205" s="24" t="s">
        <v>162</v>
      </c>
      <c r="F205" s="26" t="s">
        <v>700</v>
      </c>
      <c r="G205" s="24" t="s">
        <v>677</v>
      </c>
      <c r="H205" s="27" t="n">
        <v>68</v>
      </c>
      <c r="I205" s="24" t="s">
        <v>78</v>
      </c>
      <c r="J205" s="26" t="s">
        <v>678</v>
      </c>
      <c r="K205" s="26" t="s">
        <v>495</v>
      </c>
      <c r="L205" s="28" t="s">
        <v>81</v>
      </c>
    </row>
    <row r="206" customFormat="false" ht="15" hidden="false" customHeight="false" outlineLevel="0" collapsed="false">
      <c r="A206" s="18" t="s">
        <v>701</v>
      </c>
      <c r="B206" s="5" t="s">
        <v>702</v>
      </c>
      <c r="C206" s="19" t="n">
        <v>12736</v>
      </c>
      <c r="D206" s="5" t="s">
        <v>688</v>
      </c>
      <c r="E206" s="5" t="s">
        <v>111</v>
      </c>
      <c r="F206" s="20" t="s">
        <v>703</v>
      </c>
      <c r="G206" s="5" t="s">
        <v>677</v>
      </c>
      <c r="H206" s="21" t="n">
        <v>251</v>
      </c>
      <c r="I206" s="5" t="s">
        <v>228</v>
      </c>
      <c r="J206" s="20" t="s">
        <v>678</v>
      </c>
      <c r="K206" s="20" t="s">
        <v>495</v>
      </c>
      <c r="L206" s="22" t="s">
        <v>81</v>
      </c>
    </row>
    <row r="207" customFormat="false" ht="15" hidden="false" customHeight="false" outlineLevel="0" collapsed="false">
      <c r="A207" s="23" t="s">
        <v>704</v>
      </c>
      <c r="B207" s="24" t="s">
        <v>705</v>
      </c>
      <c r="C207" s="29" t="n">
        <v>38256</v>
      </c>
      <c r="D207" s="24" t="s">
        <v>688</v>
      </c>
      <c r="E207" s="24" t="s">
        <v>111</v>
      </c>
      <c r="F207" s="26" t="s">
        <v>706</v>
      </c>
      <c r="G207" s="24" t="s">
        <v>677</v>
      </c>
      <c r="H207" s="27" t="n">
        <v>251</v>
      </c>
      <c r="I207" s="24" t="s">
        <v>228</v>
      </c>
      <c r="J207" s="26" t="s">
        <v>678</v>
      </c>
      <c r="K207" s="26" t="s">
        <v>495</v>
      </c>
      <c r="L207" s="28" t="s">
        <v>81</v>
      </c>
    </row>
    <row r="208" customFormat="false" ht="15" hidden="false" customHeight="false" outlineLevel="0" collapsed="false">
      <c r="A208" s="18" t="s">
        <v>707</v>
      </c>
      <c r="B208" s="5" t="s">
        <v>708</v>
      </c>
      <c r="C208" s="19" t="n">
        <v>5193290</v>
      </c>
      <c r="D208" s="5" t="s">
        <v>688</v>
      </c>
      <c r="E208" s="5" t="s">
        <v>91</v>
      </c>
      <c r="F208" s="20" t="s">
        <v>709</v>
      </c>
      <c r="G208" s="5" t="s">
        <v>710</v>
      </c>
      <c r="H208" s="21" t="n">
        <v>34</v>
      </c>
      <c r="I208" s="5" t="s">
        <v>198</v>
      </c>
      <c r="J208" s="20" t="s">
        <v>711</v>
      </c>
      <c r="K208" s="20" t="s">
        <v>495</v>
      </c>
      <c r="L208" s="22" t="s">
        <v>81</v>
      </c>
    </row>
    <row r="209" customFormat="false" ht="15" hidden="false" customHeight="false" outlineLevel="0" collapsed="false">
      <c r="A209" s="23" t="s">
        <v>712</v>
      </c>
      <c r="B209" s="24" t="s">
        <v>713</v>
      </c>
      <c r="C209" s="29" t="n">
        <v>837361</v>
      </c>
      <c r="D209" s="24" t="s">
        <v>688</v>
      </c>
      <c r="E209" s="24" t="s">
        <v>91</v>
      </c>
      <c r="F209" s="26" t="s">
        <v>714</v>
      </c>
      <c r="G209" s="24" t="s">
        <v>710</v>
      </c>
      <c r="H209" s="27" t="n">
        <v>34</v>
      </c>
      <c r="I209" s="24" t="s">
        <v>198</v>
      </c>
      <c r="J209" s="26" t="s">
        <v>711</v>
      </c>
      <c r="K209" s="26" t="s">
        <v>495</v>
      </c>
      <c r="L209" s="28" t="s">
        <v>81</v>
      </c>
    </row>
    <row r="210" customFormat="false" ht="15" hidden="false" customHeight="false" outlineLevel="0" collapsed="false">
      <c r="A210" s="18" t="s">
        <v>715</v>
      </c>
      <c r="B210" s="5" t="s">
        <v>716</v>
      </c>
      <c r="C210" s="19" t="n">
        <v>1343776</v>
      </c>
      <c r="D210" s="5" t="s">
        <v>688</v>
      </c>
      <c r="E210" s="5" t="s">
        <v>91</v>
      </c>
      <c r="F210" s="20" t="s">
        <v>717</v>
      </c>
      <c r="G210" s="5" t="s">
        <v>710</v>
      </c>
      <c r="H210" s="21" t="n">
        <v>34</v>
      </c>
      <c r="I210" s="5" t="s">
        <v>198</v>
      </c>
      <c r="J210" s="20" t="s">
        <v>711</v>
      </c>
      <c r="K210" s="20" t="s">
        <v>495</v>
      </c>
      <c r="L210" s="22" t="s">
        <v>81</v>
      </c>
    </row>
    <row r="211" customFormat="false" ht="15" hidden="false" customHeight="false" outlineLevel="0" collapsed="false">
      <c r="A211" s="23" t="s">
        <v>718</v>
      </c>
      <c r="B211" s="24" t="s">
        <v>719</v>
      </c>
      <c r="C211" s="29" t="n">
        <v>137454</v>
      </c>
      <c r="D211" s="24" t="s">
        <v>688</v>
      </c>
      <c r="E211" s="24" t="s">
        <v>91</v>
      </c>
      <c r="F211" s="26" t="s">
        <v>720</v>
      </c>
      <c r="G211" s="24" t="s">
        <v>710</v>
      </c>
      <c r="H211" s="27" t="n">
        <v>34</v>
      </c>
      <c r="I211" s="24" t="s">
        <v>198</v>
      </c>
      <c r="J211" s="26" t="s">
        <v>711</v>
      </c>
      <c r="K211" s="26" t="s">
        <v>495</v>
      </c>
      <c r="L211" s="28" t="s">
        <v>81</v>
      </c>
    </row>
    <row r="212" customFormat="false" ht="15" hidden="false" customHeight="false" outlineLevel="0" collapsed="false">
      <c r="A212" s="18" t="s">
        <v>721</v>
      </c>
      <c r="B212" s="5" t="s">
        <v>722</v>
      </c>
      <c r="C212" s="30" t="n">
        <v>6030.8</v>
      </c>
      <c r="D212" s="5" t="s">
        <v>220</v>
      </c>
      <c r="E212" s="5" t="s">
        <v>91</v>
      </c>
      <c r="F212" s="20" t="s">
        <v>723</v>
      </c>
      <c r="G212" s="5" t="s">
        <v>710</v>
      </c>
      <c r="H212" s="21" t="n">
        <v>33</v>
      </c>
      <c r="I212" s="5" t="s">
        <v>198</v>
      </c>
      <c r="J212" s="20" t="s">
        <v>711</v>
      </c>
      <c r="K212" s="20" t="s">
        <v>495</v>
      </c>
      <c r="L212" s="22" t="s">
        <v>81</v>
      </c>
    </row>
    <row r="213" customFormat="false" ht="15" hidden="false" customHeight="false" outlineLevel="0" collapsed="false">
      <c r="A213" s="23" t="s">
        <v>724</v>
      </c>
      <c r="B213" s="24" t="s">
        <v>725</v>
      </c>
      <c r="C213" s="29" t="n">
        <v>1169939</v>
      </c>
      <c r="D213" s="24" t="s">
        <v>688</v>
      </c>
      <c r="E213" s="24" t="s">
        <v>91</v>
      </c>
      <c r="F213" s="26" t="s">
        <v>726</v>
      </c>
      <c r="G213" s="24" t="s">
        <v>710</v>
      </c>
      <c r="H213" s="27" t="n">
        <v>38</v>
      </c>
      <c r="I213" s="24" t="s">
        <v>198</v>
      </c>
      <c r="J213" s="26" t="s">
        <v>711</v>
      </c>
      <c r="K213" s="26" t="s">
        <v>495</v>
      </c>
      <c r="L213" s="28" t="s">
        <v>81</v>
      </c>
    </row>
    <row r="214" customFormat="false" ht="15" hidden="false" customHeight="false" outlineLevel="0" collapsed="false">
      <c r="A214" s="18" t="s">
        <v>727</v>
      </c>
      <c r="B214" s="5" t="s">
        <v>728</v>
      </c>
      <c r="C214" s="30" t="n">
        <v>19.4</v>
      </c>
      <c r="D214" s="5" t="s">
        <v>270</v>
      </c>
      <c r="E214" s="5" t="s">
        <v>91</v>
      </c>
      <c r="F214" s="20" t="s">
        <v>729</v>
      </c>
      <c r="G214" s="5" t="s">
        <v>710</v>
      </c>
      <c r="H214" s="21" t="n">
        <v>38</v>
      </c>
      <c r="I214" s="5" t="s">
        <v>198</v>
      </c>
      <c r="J214" s="20" t="s">
        <v>711</v>
      </c>
      <c r="K214" s="20" t="s">
        <v>495</v>
      </c>
      <c r="L214" s="22" t="s">
        <v>81</v>
      </c>
    </row>
    <row r="215" customFormat="false" ht="15" hidden="false" customHeight="false" outlineLevel="0" collapsed="false">
      <c r="A215" s="23" t="s">
        <v>730</v>
      </c>
      <c r="B215" s="24" t="s">
        <v>569</v>
      </c>
      <c r="C215" s="29" t="n">
        <v>5747</v>
      </c>
      <c r="D215" s="24" t="s">
        <v>74</v>
      </c>
      <c r="E215" s="24" t="s">
        <v>75</v>
      </c>
      <c r="F215" s="26" t="s">
        <v>731</v>
      </c>
      <c r="G215" s="24" t="s">
        <v>187</v>
      </c>
      <c r="H215" s="27" t="n">
        <v>19</v>
      </c>
      <c r="I215" s="24" t="s">
        <v>198</v>
      </c>
      <c r="J215" s="26" t="s">
        <v>188</v>
      </c>
      <c r="K215" s="26" t="s">
        <v>80</v>
      </c>
      <c r="L215" s="28" t="s">
        <v>81</v>
      </c>
    </row>
    <row r="216" customFormat="false" ht="15" hidden="false" customHeight="false" outlineLevel="0" collapsed="false">
      <c r="A216" s="18" t="s">
        <v>732</v>
      </c>
      <c r="B216" s="5" t="s">
        <v>580</v>
      </c>
      <c r="C216" s="19" t="n">
        <v>9905</v>
      </c>
      <c r="D216" s="5" t="s">
        <v>74</v>
      </c>
      <c r="E216" s="5" t="s">
        <v>75</v>
      </c>
      <c r="F216" s="20" t="s">
        <v>733</v>
      </c>
      <c r="G216" s="5" t="s">
        <v>187</v>
      </c>
      <c r="H216" s="21" t="n">
        <v>19</v>
      </c>
      <c r="I216" s="5" t="s">
        <v>198</v>
      </c>
      <c r="J216" s="20" t="s">
        <v>188</v>
      </c>
      <c r="K216" s="20" t="s">
        <v>80</v>
      </c>
      <c r="L216" s="22" t="s">
        <v>81</v>
      </c>
    </row>
    <row r="217" customFormat="false" ht="15" hidden="false" customHeight="false" outlineLevel="0" collapsed="false">
      <c r="A217" s="23" t="s">
        <v>734</v>
      </c>
      <c r="B217" s="24" t="s">
        <v>604</v>
      </c>
      <c r="C217" s="29" t="n">
        <v>6201</v>
      </c>
      <c r="D217" s="24" t="s">
        <v>74</v>
      </c>
      <c r="E217" s="24" t="s">
        <v>75</v>
      </c>
      <c r="F217" s="26" t="s">
        <v>735</v>
      </c>
      <c r="G217" s="24" t="s">
        <v>187</v>
      </c>
      <c r="H217" s="27" t="n">
        <v>10</v>
      </c>
      <c r="I217" s="24" t="s">
        <v>198</v>
      </c>
      <c r="J217" s="26" t="s">
        <v>188</v>
      </c>
      <c r="K217" s="26" t="s">
        <v>80</v>
      </c>
      <c r="L217" s="28" t="s">
        <v>81</v>
      </c>
    </row>
    <row r="218" customFormat="false" ht="15" hidden="false" customHeight="false" outlineLevel="0" collapsed="false">
      <c r="A218" s="18" t="s">
        <v>736</v>
      </c>
      <c r="B218" s="5" t="s">
        <v>607</v>
      </c>
      <c r="C218" s="30" t="n">
        <v>4.1</v>
      </c>
      <c r="D218" s="5" t="s">
        <v>270</v>
      </c>
      <c r="E218" s="5" t="s">
        <v>75</v>
      </c>
      <c r="F218" s="20" t="s">
        <v>573</v>
      </c>
      <c r="G218" s="5" t="s">
        <v>187</v>
      </c>
      <c r="H218" s="21" t="n">
        <v>10</v>
      </c>
      <c r="I218" s="5" t="s">
        <v>198</v>
      </c>
      <c r="J218" s="20" t="s">
        <v>188</v>
      </c>
      <c r="K218" s="20" t="s">
        <v>80</v>
      </c>
      <c r="L218" s="22" t="s">
        <v>81</v>
      </c>
    </row>
    <row r="219" customFormat="false" ht="15" hidden="false" customHeight="false" outlineLevel="0" collapsed="false">
      <c r="A219" s="23" t="s">
        <v>737</v>
      </c>
      <c r="B219" s="24" t="s">
        <v>613</v>
      </c>
      <c r="C219" s="29" t="n">
        <v>797</v>
      </c>
      <c r="D219" s="24" t="s">
        <v>74</v>
      </c>
      <c r="E219" s="24" t="s">
        <v>75</v>
      </c>
      <c r="F219" s="26" t="s">
        <v>738</v>
      </c>
      <c r="G219" s="24" t="s">
        <v>187</v>
      </c>
      <c r="H219" s="27" t="n">
        <v>10</v>
      </c>
      <c r="I219" s="24" t="s">
        <v>198</v>
      </c>
      <c r="J219" s="26" t="s">
        <v>188</v>
      </c>
      <c r="K219" s="26" t="s">
        <v>80</v>
      </c>
      <c r="L219" s="28" t="s">
        <v>81</v>
      </c>
    </row>
    <row r="220" customFormat="false" ht="15" hidden="false" customHeight="false" outlineLevel="0" collapsed="false">
      <c r="A220" s="18" t="s">
        <v>739</v>
      </c>
      <c r="B220" s="5" t="s">
        <v>610</v>
      </c>
      <c r="C220" s="30" t="n">
        <v>6.2</v>
      </c>
      <c r="D220" s="5" t="s">
        <v>270</v>
      </c>
      <c r="E220" s="5" t="s">
        <v>75</v>
      </c>
      <c r="F220" s="20" t="s">
        <v>740</v>
      </c>
      <c r="G220" s="5" t="s">
        <v>187</v>
      </c>
      <c r="H220" s="21" t="n">
        <v>10</v>
      </c>
      <c r="I220" s="5" t="s">
        <v>198</v>
      </c>
      <c r="J220" s="20" t="s">
        <v>188</v>
      </c>
      <c r="K220" s="20" t="s">
        <v>80</v>
      </c>
      <c r="L220" s="22" t="s">
        <v>81</v>
      </c>
    </row>
    <row r="221" customFormat="false" ht="15" hidden="false" customHeight="false" outlineLevel="0" collapsed="false">
      <c r="A221" s="23" t="s">
        <v>741</v>
      </c>
      <c r="B221" s="24" t="s">
        <v>619</v>
      </c>
      <c r="C221" s="29" t="n">
        <v>1759</v>
      </c>
      <c r="D221" s="24" t="s">
        <v>74</v>
      </c>
      <c r="E221" s="24" t="s">
        <v>75</v>
      </c>
      <c r="F221" s="26" t="s">
        <v>742</v>
      </c>
      <c r="G221" s="24" t="s">
        <v>187</v>
      </c>
      <c r="H221" s="27" t="n">
        <v>22</v>
      </c>
      <c r="I221" s="24" t="s">
        <v>198</v>
      </c>
      <c r="J221" s="26" t="s">
        <v>188</v>
      </c>
      <c r="K221" s="26" t="s">
        <v>80</v>
      </c>
      <c r="L221" s="28" t="s">
        <v>81</v>
      </c>
    </row>
    <row r="222" customFormat="false" ht="15" hidden="false" customHeight="false" outlineLevel="0" collapsed="false">
      <c r="A222" s="18" t="s">
        <v>743</v>
      </c>
      <c r="B222" s="5" t="s">
        <v>744</v>
      </c>
      <c r="C222" s="30" t="n">
        <v>11.3</v>
      </c>
      <c r="D222" s="5" t="s">
        <v>270</v>
      </c>
      <c r="E222" s="5" t="s">
        <v>75</v>
      </c>
      <c r="F222" s="20" t="s">
        <v>745</v>
      </c>
      <c r="G222" s="5" t="s">
        <v>187</v>
      </c>
      <c r="H222" s="21" t="n">
        <v>22</v>
      </c>
      <c r="I222" s="5" t="s">
        <v>198</v>
      </c>
      <c r="J222" s="20" t="s">
        <v>188</v>
      </c>
      <c r="K222" s="20" t="s">
        <v>80</v>
      </c>
      <c r="L222" s="22" t="s">
        <v>81</v>
      </c>
    </row>
    <row r="223" customFormat="false" ht="15" hidden="false" customHeight="false" outlineLevel="0" collapsed="false">
      <c r="A223" s="23" t="s">
        <v>746</v>
      </c>
      <c r="B223" s="24" t="s">
        <v>747</v>
      </c>
      <c r="C223" s="29" t="n">
        <v>3</v>
      </c>
      <c r="D223" s="24" t="s">
        <v>101</v>
      </c>
      <c r="E223" s="24" t="s">
        <v>637</v>
      </c>
      <c r="F223" s="26" t="s">
        <v>105</v>
      </c>
      <c r="G223" s="24" t="s">
        <v>87</v>
      </c>
      <c r="H223" s="27" t="n">
        <v>17</v>
      </c>
      <c r="I223" s="24" t="s">
        <v>198</v>
      </c>
      <c r="J223" s="26" t="s">
        <v>89</v>
      </c>
      <c r="K223" s="26" t="s">
        <v>80</v>
      </c>
      <c r="L223" s="28" t="s">
        <v>81</v>
      </c>
    </row>
    <row r="224" customFormat="false" ht="15" hidden="false" customHeight="false" outlineLevel="0" collapsed="false">
      <c r="A224" s="18" t="s">
        <v>748</v>
      </c>
      <c r="B224" s="5" t="s">
        <v>749</v>
      </c>
      <c r="C224" s="30" t="n">
        <v>4.9</v>
      </c>
      <c r="D224" s="5" t="s">
        <v>101</v>
      </c>
      <c r="E224" s="5" t="s">
        <v>127</v>
      </c>
      <c r="F224" s="20" t="s">
        <v>750</v>
      </c>
      <c r="G224" s="5" t="s">
        <v>87</v>
      </c>
      <c r="H224" s="21" t="n">
        <v>17</v>
      </c>
      <c r="I224" s="5" t="s">
        <v>198</v>
      </c>
      <c r="J224" s="20" t="s">
        <v>89</v>
      </c>
      <c r="K224" s="20" t="s">
        <v>80</v>
      </c>
      <c r="L224" s="22" t="s">
        <v>81</v>
      </c>
    </row>
    <row r="225" customFormat="false" ht="15" hidden="false" customHeight="false" outlineLevel="0" collapsed="false">
      <c r="A225" s="23" t="s">
        <v>751</v>
      </c>
      <c r="B225" s="24" t="s">
        <v>752</v>
      </c>
      <c r="C225" s="29" t="n">
        <v>135328</v>
      </c>
      <c r="D225" s="24" t="s">
        <v>688</v>
      </c>
      <c r="E225" s="24" t="s">
        <v>111</v>
      </c>
      <c r="F225" s="26" t="s">
        <v>753</v>
      </c>
      <c r="G225" s="24" t="s">
        <v>710</v>
      </c>
      <c r="H225" s="27" t="n">
        <v>43</v>
      </c>
      <c r="I225" s="24" t="s">
        <v>228</v>
      </c>
      <c r="J225" s="26" t="s">
        <v>711</v>
      </c>
      <c r="K225" s="26" t="s">
        <v>495</v>
      </c>
      <c r="L225" s="28" t="s">
        <v>81</v>
      </c>
    </row>
    <row r="226" customFormat="false" ht="15" hidden="false" customHeight="false" outlineLevel="0" collapsed="false">
      <c r="A226" s="18" t="s">
        <v>754</v>
      </c>
      <c r="B226" s="5" t="s">
        <v>755</v>
      </c>
      <c r="C226" s="19" t="n">
        <v>95369</v>
      </c>
      <c r="D226" s="5" t="s">
        <v>688</v>
      </c>
      <c r="E226" s="5" t="s">
        <v>111</v>
      </c>
      <c r="F226" s="20" t="s">
        <v>756</v>
      </c>
      <c r="G226" s="5" t="s">
        <v>710</v>
      </c>
      <c r="H226" s="21" t="n">
        <v>43</v>
      </c>
      <c r="I226" s="5" t="s">
        <v>228</v>
      </c>
      <c r="J226" s="20" t="s">
        <v>711</v>
      </c>
      <c r="K226" s="20" t="s">
        <v>495</v>
      </c>
      <c r="L226" s="22" t="s">
        <v>81</v>
      </c>
    </row>
    <row r="227" customFormat="false" ht="15" hidden="false" customHeight="false" outlineLevel="0" collapsed="false">
      <c r="A227" s="23" t="s">
        <v>757</v>
      </c>
      <c r="B227" s="24" t="s">
        <v>758</v>
      </c>
      <c r="C227" s="29" t="n">
        <v>230697</v>
      </c>
      <c r="D227" s="24" t="s">
        <v>688</v>
      </c>
      <c r="E227" s="24" t="s">
        <v>111</v>
      </c>
      <c r="F227" s="26" t="s">
        <v>759</v>
      </c>
      <c r="G227" s="24" t="s">
        <v>710</v>
      </c>
      <c r="H227" s="27" t="n">
        <v>43</v>
      </c>
      <c r="I227" s="24" t="s">
        <v>228</v>
      </c>
      <c r="J227" s="26" t="s">
        <v>711</v>
      </c>
      <c r="K227" s="26" t="s">
        <v>495</v>
      </c>
      <c r="L227" s="28" t="s">
        <v>81</v>
      </c>
    </row>
    <row r="228" customFormat="false" ht="15" hidden="false" customHeight="false" outlineLevel="0" collapsed="false">
      <c r="A228" s="18" t="s">
        <v>760</v>
      </c>
      <c r="B228" s="5" t="s">
        <v>761</v>
      </c>
      <c r="C228" s="19" t="n">
        <v>826315</v>
      </c>
      <c r="D228" s="5" t="s">
        <v>688</v>
      </c>
      <c r="E228" s="5" t="s">
        <v>111</v>
      </c>
      <c r="F228" s="20" t="s">
        <v>762</v>
      </c>
      <c r="G228" s="5" t="s">
        <v>710</v>
      </c>
      <c r="H228" s="21" t="n">
        <v>53</v>
      </c>
      <c r="I228" s="5" t="s">
        <v>198</v>
      </c>
      <c r="J228" s="20" t="s">
        <v>711</v>
      </c>
      <c r="K228" s="20" t="s">
        <v>495</v>
      </c>
      <c r="L228" s="22" t="s">
        <v>81</v>
      </c>
    </row>
    <row r="229" customFormat="false" ht="15" hidden="false" customHeight="false" outlineLevel="0" collapsed="false">
      <c r="A229" s="23" t="s">
        <v>763</v>
      </c>
      <c r="B229" s="24" t="s">
        <v>764</v>
      </c>
      <c r="C229" s="29" t="n">
        <v>127363</v>
      </c>
      <c r="D229" s="24" t="s">
        <v>688</v>
      </c>
      <c r="E229" s="24" t="s">
        <v>111</v>
      </c>
      <c r="F229" s="26" t="s">
        <v>765</v>
      </c>
      <c r="G229" s="24" t="s">
        <v>710</v>
      </c>
      <c r="H229" s="27" t="n">
        <v>53</v>
      </c>
      <c r="I229" s="24" t="s">
        <v>198</v>
      </c>
      <c r="J229" s="26" t="s">
        <v>711</v>
      </c>
      <c r="K229" s="26" t="s">
        <v>495</v>
      </c>
      <c r="L229" s="28" t="s">
        <v>81</v>
      </c>
    </row>
    <row r="230" customFormat="false" ht="15" hidden="false" customHeight="false" outlineLevel="0" collapsed="false">
      <c r="A230" s="18" t="s">
        <v>766</v>
      </c>
      <c r="B230" s="5" t="s">
        <v>767</v>
      </c>
      <c r="C230" s="19" t="n">
        <v>2763563</v>
      </c>
      <c r="D230" s="5" t="s">
        <v>688</v>
      </c>
      <c r="E230" s="5" t="s">
        <v>111</v>
      </c>
      <c r="F230" s="20" t="s">
        <v>768</v>
      </c>
      <c r="G230" s="5" t="s">
        <v>710</v>
      </c>
      <c r="H230" s="21" t="n">
        <v>53</v>
      </c>
      <c r="I230" s="5" t="s">
        <v>198</v>
      </c>
      <c r="J230" s="20" t="s">
        <v>711</v>
      </c>
      <c r="K230" s="20" t="s">
        <v>495</v>
      </c>
      <c r="L230" s="22" t="s">
        <v>81</v>
      </c>
    </row>
    <row r="231" customFormat="false" ht="15" hidden="false" customHeight="false" outlineLevel="0" collapsed="false">
      <c r="A231" s="23" t="s">
        <v>769</v>
      </c>
      <c r="B231" s="24" t="s">
        <v>770</v>
      </c>
      <c r="C231" s="29" t="n">
        <v>12600</v>
      </c>
      <c r="D231" s="24" t="s">
        <v>688</v>
      </c>
      <c r="E231" s="24" t="s">
        <v>111</v>
      </c>
      <c r="F231" s="26" t="s">
        <v>771</v>
      </c>
      <c r="G231" s="24" t="s">
        <v>710</v>
      </c>
      <c r="H231" s="27" t="n">
        <v>53</v>
      </c>
      <c r="I231" s="24" t="s">
        <v>198</v>
      </c>
      <c r="J231" s="26" t="s">
        <v>711</v>
      </c>
      <c r="K231" s="26" t="s">
        <v>495</v>
      </c>
      <c r="L231" s="28" t="s">
        <v>81</v>
      </c>
    </row>
    <row r="232" customFormat="false" ht="15" hidden="false" customHeight="false" outlineLevel="0" collapsed="false">
      <c r="A232" s="18" t="s">
        <v>772</v>
      </c>
      <c r="B232" s="5" t="s">
        <v>773</v>
      </c>
      <c r="C232" s="30" t="n">
        <v>18.5</v>
      </c>
      <c r="D232" s="5" t="s">
        <v>270</v>
      </c>
      <c r="E232" s="5" t="s">
        <v>498</v>
      </c>
      <c r="F232" s="20" t="s">
        <v>774</v>
      </c>
      <c r="G232" s="5" t="s">
        <v>493</v>
      </c>
      <c r="H232" s="21" t="n">
        <v>2</v>
      </c>
      <c r="I232" s="5" t="s">
        <v>78</v>
      </c>
      <c r="J232" s="20" t="s">
        <v>494</v>
      </c>
      <c r="K232" s="20" t="s">
        <v>495</v>
      </c>
      <c r="L232" s="22" t="s">
        <v>81</v>
      </c>
    </row>
    <row r="233" customFormat="false" ht="15" hidden="false" customHeight="false" outlineLevel="0" collapsed="false">
      <c r="A233" s="23" t="s">
        <v>775</v>
      </c>
      <c r="B233" s="24" t="s">
        <v>773</v>
      </c>
      <c r="C233" s="25" t="n">
        <v>19.5</v>
      </c>
      <c r="D233" s="24" t="s">
        <v>270</v>
      </c>
      <c r="E233" s="24" t="s">
        <v>776</v>
      </c>
      <c r="F233" s="26" t="s">
        <v>777</v>
      </c>
      <c r="G233" s="24" t="s">
        <v>493</v>
      </c>
      <c r="H233" s="27" t="n">
        <v>2</v>
      </c>
      <c r="I233" s="24" t="s">
        <v>78</v>
      </c>
      <c r="J233" s="26" t="s">
        <v>494</v>
      </c>
      <c r="K233" s="26" t="s">
        <v>495</v>
      </c>
      <c r="L233" s="28" t="s">
        <v>81</v>
      </c>
    </row>
    <row r="234" customFormat="false" ht="15" hidden="false" customHeight="false" outlineLevel="0" collapsed="false">
      <c r="A234" s="18" t="s">
        <v>778</v>
      </c>
      <c r="B234" s="5" t="s">
        <v>779</v>
      </c>
      <c r="C234" s="30" t="n">
        <v>13.5</v>
      </c>
      <c r="D234" s="5" t="s">
        <v>270</v>
      </c>
      <c r="E234" s="5" t="s">
        <v>498</v>
      </c>
      <c r="F234" s="20" t="s">
        <v>780</v>
      </c>
      <c r="G234" s="5" t="s">
        <v>493</v>
      </c>
      <c r="H234" s="21" t="n">
        <v>2</v>
      </c>
      <c r="I234" s="5" t="s">
        <v>78</v>
      </c>
      <c r="J234" s="20" t="s">
        <v>494</v>
      </c>
      <c r="K234" s="20" t="s">
        <v>495</v>
      </c>
      <c r="L234" s="22" t="s">
        <v>81</v>
      </c>
    </row>
    <row r="235" customFormat="false" ht="15" hidden="false" customHeight="false" outlineLevel="0" collapsed="false">
      <c r="A235" s="23" t="s">
        <v>781</v>
      </c>
      <c r="B235" s="24" t="s">
        <v>779</v>
      </c>
      <c r="C235" s="25" t="n">
        <v>14.5</v>
      </c>
      <c r="D235" s="24" t="s">
        <v>270</v>
      </c>
      <c r="E235" s="24" t="s">
        <v>776</v>
      </c>
      <c r="F235" s="26" t="s">
        <v>782</v>
      </c>
      <c r="G235" s="24" t="s">
        <v>493</v>
      </c>
      <c r="H235" s="27" t="n">
        <v>2</v>
      </c>
      <c r="I235" s="24" t="s">
        <v>78</v>
      </c>
      <c r="J235" s="26" t="s">
        <v>494</v>
      </c>
      <c r="K235" s="26" t="s">
        <v>495</v>
      </c>
      <c r="L235" s="28" t="s">
        <v>81</v>
      </c>
    </row>
    <row r="236" customFormat="false" ht="15" hidden="false" customHeight="false" outlineLevel="0" collapsed="false">
      <c r="A236" s="18" t="s">
        <v>783</v>
      </c>
      <c r="B236" s="5" t="s">
        <v>784</v>
      </c>
      <c r="C236" s="30" t="n">
        <v>5.4</v>
      </c>
      <c r="D236" s="5" t="s">
        <v>104</v>
      </c>
      <c r="E236" s="5" t="s">
        <v>91</v>
      </c>
      <c r="F236" s="20" t="s">
        <v>785</v>
      </c>
      <c r="G236" s="5" t="s">
        <v>493</v>
      </c>
      <c r="H236" s="21" t="n">
        <v>2</v>
      </c>
      <c r="I236" s="5" t="s">
        <v>78</v>
      </c>
      <c r="J236" s="20" t="s">
        <v>494</v>
      </c>
      <c r="K236" s="20" t="s">
        <v>495</v>
      </c>
      <c r="L236" s="22" t="s">
        <v>81</v>
      </c>
    </row>
    <row r="237" customFormat="false" ht="15" hidden="false" customHeight="false" outlineLevel="0" collapsed="false">
      <c r="A237" s="23" t="s">
        <v>786</v>
      </c>
      <c r="B237" s="24" t="s">
        <v>787</v>
      </c>
      <c r="C237" s="29" t="n">
        <v>29518</v>
      </c>
      <c r="D237" s="24" t="s">
        <v>74</v>
      </c>
      <c r="E237" s="24" t="s">
        <v>91</v>
      </c>
      <c r="F237" s="26" t="s">
        <v>788</v>
      </c>
      <c r="G237" s="24" t="s">
        <v>493</v>
      </c>
      <c r="H237" s="27" t="n">
        <v>11</v>
      </c>
      <c r="I237" s="24" t="s">
        <v>78</v>
      </c>
      <c r="J237" s="26" t="s">
        <v>494</v>
      </c>
      <c r="K237" s="26" t="s">
        <v>495</v>
      </c>
      <c r="L237" s="28" t="s">
        <v>81</v>
      </c>
    </row>
    <row r="238" customFormat="false" ht="15" hidden="false" customHeight="false" outlineLevel="0" collapsed="false">
      <c r="A238" s="18" t="s">
        <v>789</v>
      </c>
      <c r="B238" s="5" t="s">
        <v>790</v>
      </c>
      <c r="C238" s="19" t="n">
        <v>647</v>
      </c>
      <c r="D238" s="5" t="s">
        <v>74</v>
      </c>
      <c r="E238" s="5" t="s">
        <v>91</v>
      </c>
      <c r="F238" s="20" t="s">
        <v>791</v>
      </c>
      <c r="G238" s="5" t="s">
        <v>493</v>
      </c>
      <c r="H238" s="21" t="n">
        <v>11</v>
      </c>
      <c r="I238" s="5" t="s">
        <v>78</v>
      </c>
      <c r="J238" s="20" t="s">
        <v>494</v>
      </c>
      <c r="K238" s="20" t="s">
        <v>495</v>
      </c>
      <c r="L238" s="22" t="s">
        <v>81</v>
      </c>
    </row>
    <row r="239" customFormat="false" ht="15" hidden="false" customHeight="false" outlineLevel="0" collapsed="false">
      <c r="A239" s="23" t="s">
        <v>792</v>
      </c>
      <c r="B239" s="24" t="s">
        <v>793</v>
      </c>
      <c r="C239" s="29" t="n">
        <v>2050</v>
      </c>
      <c r="D239" s="24" t="s">
        <v>74</v>
      </c>
      <c r="E239" s="24" t="s">
        <v>91</v>
      </c>
      <c r="F239" s="26" t="s">
        <v>794</v>
      </c>
      <c r="G239" s="24" t="s">
        <v>493</v>
      </c>
      <c r="H239" s="27" t="n">
        <v>11</v>
      </c>
      <c r="I239" s="24" t="s">
        <v>78</v>
      </c>
      <c r="J239" s="26" t="s">
        <v>494</v>
      </c>
      <c r="K239" s="26" t="s">
        <v>495</v>
      </c>
      <c r="L239" s="28" t="s">
        <v>81</v>
      </c>
    </row>
    <row r="240" customFormat="false" ht="15" hidden="false" customHeight="false" outlineLevel="0" collapsed="false">
      <c r="A240" s="18" t="s">
        <v>795</v>
      </c>
      <c r="B240" s="5" t="s">
        <v>796</v>
      </c>
      <c r="C240" s="19" t="n">
        <v>1014</v>
      </c>
      <c r="D240" s="5" t="s">
        <v>74</v>
      </c>
      <c r="E240" s="5" t="s">
        <v>91</v>
      </c>
      <c r="F240" s="20" t="s">
        <v>797</v>
      </c>
      <c r="G240" s="5" t="s">
        <v>493</v>
      </c>
      <c r="H240" s="21" t="n">
        <v>11</v>
      </c>
      <c r="I240" s="5" t="s">
        <v>78</v>
      </c>
      <c r="J240" s="20" t="s">
        <v>494</v>
      </c>
      <c r="K240" s="20" t="s">
        <v>495</v>
      </c>
      <c r="L240" s="22" t="s">
        <v>81</v>
      </c>
    </row>
    <row r="241" customFormat="false" ht="15" hidden="false" customHeight="false" outlineLevel="0" collapsed="false">
      <c r="A241" s="23" t="s">
        <v>798</v>
      </c>
      <c r="B241" s="24" t="s">
        <v>799</v>
      </c>
      <c r="C241" s="29" t="n">
        <v>1650</v>
      </c>
      <c r="D241" s="24" t="s">
        <v>74</v>
      </c>
      <c r="E241" s="24" t="s">
        <v>91</v>
      </c>
      <c r="F241" s="26" t="s">
        <v>800</v>
      </c>
      <c r="G241" s="24" t="s">
        <v>493</v>
      </c>
      <c r="H241" s="27" t="n">
        <v>11</v>
      </c>
      <c r="I241" s="24" t="s">
        <v>78</v>
      </c>
      <c r="J241" s="26" t="s">
        <v>494</v>
      </c>
      <c r="K241" s="26" t="s">
        <v>495</v>
      </c>
      <c r="L241" s="28" t="s">
        <v>81</v>
      </c>
    </row>
    <row r="242" customFormat="false" ht="15" hidden="false" customHeight="false" outlineLevel="0" collapsed="false">
      <c r="A242" s="18" t="s">
        <v>801</v>
      </c>
      <c r="B242" s="5" t="s">
        <v>802</v>
      </c>
      <c r="C242" s="19" t="n">
        <v>34879</v>
      </c>
      <c r="D242" s="5" t="s">
        <v>74</v>
      </c>
      <c r="E242" s="5" t="s">
        <v>91</v>
      </c>
      <c r="F242" s="20" t="s">
        <v>803</v>
      </c>
      <c r="G242" s="5" t="s">
        <v>493</v>
      </c>
      <c r="H242" s="21" t="n">
        <v>11</v>
      </c>
      <c r="I242" s="5" t="s">
        <v>78</v>
      </c>
      <c r="J242" s="20" t="s">
        <v>494</v>
      </c>
      <c r="K242" s="20" t="s">
        <v>495</v>
      </c>
      <c r="L242" s="22" t="s">
        <v>81</v>
      </c>
    </row>
    <row r="243" customFormat="false" ht="15" hidden="false" customHeight="false" outlineLevel="0" collapsed="false">
      <c r="A243" s="23" t="s">
        <v>804</v>
      </c>
      <c r="B243" s="24" t="s">
        <v>805</v>
      </c>
      <c r="C243" s="29" t="n">
        <v>9475</v>
      </c>
      <c r="D243" s="24" t="s">
        <v>74</v>
      </c>
      <c r="E243" s="24" t="s">
        <v>91</v>
      </c>
      <c r="F243" s="26" t="s">
        <v>806</v>
      </c>
      <c r="G243" s="24" t="s">
        <v>493</v>
      </c>
      <c r="H243" s="27" t="n">
        <v>11</v>
      </c>
      <c r="I243" s="24" t="s">
        <v>78</v>
      </c>
      <c r="J243" s="26" t="s">
        <v>494</v>
      </c>
      <c r="K243" s="26" t="s">
        <v>495</v>
      </c>
      <c r="L243" s="28" t="s">
        <v>81</v>
      </c>
    </row>
    <row r="244" customFormat="false" ht="15" hidden="false" customHeight="false" outlineLevel="0" collapsed="false">
      <c r="A244" s="18" t="s">
        <v>807</v>
      </c>
      <c r="B244" s="5" t="s">
        <v>808</v>
      </c>
      <c r="C244" s="19" t="n">
        <v>25404</v>
      </c>
      <c r="D244" s="5" t="s">
        <v>74</v>
      </c>
      <c r="E244" s="5" t="s">
        <v>91</v>
      </c>
      <c r="F244" s="20" t="s">
        <v>809</v>
      </c>
      <c r="G244" s="5" t="s">
        <v>493</v>
      </c>
      <c r="H244" s="21" t="n">
        <v>11</v>
      </c>
      <c r="I244" s="5" t="s">
        <v>78</v>
      </c>
      <c r="J244" s="20" t="s">
        <v>494</v>
      </c>
      <c r="K244" s="20" t="s">
        <v>495</v>
      </c>
      <c r="L244" s="22" t="s">
        <v>81</v>
      </c>
    </row>
    <row r="245" customFormat="false" ht="15" hidden="false" customHeight="false" outlineLevel="0" collapsed="false">
      <c r="A245" s="23" t="s">
        <v>810</v>
      </c>
      <c r="B245" s="24" t="s">
        <v>808</v>
      </c>
      <c r="C245" s="29" t="n">
        <v>23273</v>
      </c>
      <c r="D245" s="24" t="s">
        <v>74</v>
      </c>
      <c r="E245" s="24" t="s">
        <v>131</v>
      </c>
      <c r="F245" s="26" t="s">
        <v>811</v>
      </c>
      <c r="G245" s="24" t="s">
        <v>493</v>
      </c>
      <c r="H245" s="27" t="n">
        <v>11</v>
      </c>
      <c r="I245" s="24" t="s">
        <v>78</v>
      </c>
      <c r="J245" s="26" t="s">
        <v>494</v>
      </c>
      <c r="K245" s="26" t="s">
        <v>495</v>
      </c>
      <c r="L245" s="28" t="s">
        <v>81</v>
      </c>
    </row>
    <row r="246" customFormat="false" ht="15" hidden="false" customHeight="false" outlineLevel="0" collapsed="false">
      <c r="A246" s="18" t="s">
        <v>812</v>
      </c>
      <c r="B246" s="5" t="s">
        <v>793</v>
      </c>
      <c r="C246" s="19" t="n">
        <v>1800</v>
      </c>
      <c r="D246" s="5" t="s">
        <v>74</v>
      </c>
      <c r="E246" s="5" t="s">
        <v>131</v>
      </c>
      <c r="F246" s="20" t="s">
        <v>813</v>
      </c>
      <c r="G246" s="5" t="s">
        <v>493</v>
      </c>
      <c r="H246" s="21" t="n">
        <v>11</v>
      </c>
      <c r="I246" s="5" t="s">
        <v>78</v>
      </c>
      <c r="J246" s="20" t="s">
        <v>494</v>
      </c>
      <c r="K246" s="20" t="s">
        <v>495</v>
      </c>
      <c r="L246" s="22" t="s">
        <v>81</v>
      </c>
    </row>
    <row r="247" customFormat="false" ht="15" hidden="false" customHeight="false" outlineLevel="0" collapsed="false">
      <c r="A247" s="23" t="s">
        <v>814</v>
      </c>
      <c r="B247" s="24" t="s">
        <v>815</v>
      </c>
      <c r="C247" s="29" t="n">
        <v>6464</v>
      </c>
      <c r="D247" s="24" t="s">
        <v>74</v>
      </c>
      <c r="E247" s="24" t="s">
        <v>91</v>
      </c>
      <c r="F247" s="26" t="s">
        <v>816</v>
      </c>
      <c r="G247" s="24" t="s">
        <v>493</v>
      </c>
      <c r="H247" s="27" t="n">
        <v>11</v>
      </c>
      <c r="I247" s="24" t="s">
        <v>78</v>
      </c>
      <c r="J247" s="26" t="s">
        <v>494</v>
      </c>
      <c r="K247" s="26" t="s">
        <v>495</v>
      </c>
      <c r="L247" s="28" t="s">
        <v>81</v>
      </c>
    </row>
    <row r="248" customFormat="false" ht="15" hidden="false" customHeight="false" outlineLevel="0" collapsed="false">
      <c r="A248" s="18" t="s">
        <v>817</v>
      </c>
      <c r="B248" s="5" t="s">
        <v>818</v>
      </c>
      <c r="C248" s="30" t="n">
        <v>6777.8</v>
      </c>
      <c r="D248" s="5" t="s">
        <v>74</v>
      </c>
      <c r="E248" s="5" t="s">
        <v>91</v>
      </c>
      <c r="F248" s="20" t="s">
        <v>819</v>
      </c>
      <c r="G248" s="5" t="s">
        <v>493</v>
      </c>
      <c r="H248" s="21" t="n">
        <v>11</v>
      </c>
      <c r="I248" s="5" t="s">
        <v>78</v>
      </c>
      <c r="J248" s="20" t="s">
        <v>494</v>
      </c>
      <c r="K248" s="20" t="s">
        <v>495</v>
      </c>
      <c r="L248" s="22" t="s">
        <v>81</v>
      </c>
    </row>
    <row r="249" customFormat="false" ht="15" hidden="false" customHeight="false" outlineLevel="0" collapsed="false">
      <c r="A249" s="23" t="s">
        <v>820</v>
      </c>
      <c r="B249" s="24" t="s">
        <v>821</v>
      </c>
      <c r="C249" s="29" t="n">
        <v>5160</v>
      </c>
      <c r="D249" s="24" t="s">
        <v>74</v>
      </c>
      <c r="E249" s="24" t="s">
        <v>91</v>
      </c>
      <c r="F249" s="26" t="s">
        <v>822</v>
      </c>
      <c r="G249" s="24" t="s">
        <v>493</v>
      </c>
      <c r="H249" s="27" t="n">
        <v>12</v>
      </c>
      <c r="I249" s="24" t="s">
        <v>78</v>
      </c>
      <c r="J249" s="26" t="s">
        <v>494</v>
      </c>
      <c r="K249" s="26" t="s">
        <v>495</v>
      </c>
      <c r="L249" s="28" t="s">
        <v>81</v>
      </c>
    </row>
    <row r="250" customFormat="false" ht="15" hidden="false" customHeight="false" outlineLevel="0" collapsed="false">
      <c r="A250" s="18" t="s">
        <v>823</v>
      </c>
      <c r="B250" s="5" t="s">
        <v>821</v>
      </c>
      <c r="C250" s="19" t="n">
        <v>4948</v>
      </c>
      <c r="D250" s="5" t="s">
        <v>74</v>
      </c>
      <c r="E250" s="5" t="s">
        <v>131</v>
      </c>
      <c r="F250" s="20" t="s">
        <v>824</v>
      </c>
      <c r="G250" s="5" t="s">
        <v>493</v>
      </c>
      <c r="H250" s="21" t="n">
        <v>12</v>
      </c>
      <c r="I250" s="5" t="s">
        <v>78</v>
      </c>
      <c r="J250" s="20" t="s">
        <v>494</v>
      </c>
      <c r="K250" s="20" t="s">
        <v>495</v>
      </c>
      <c r="L250" s="22" t="s">
        <v>81</v>
      </c>
    </row>
    <row r="251" customFormat="false" ht="15" hidden="false" customHeight="false" outlineLevel="0" collapsed="false">
      <c r="A251" s="23" t="s">
        <v>825</v>
      </c>
      <c r="B251" s="24" t="s">
        <v>821</v>
      </c>
      <c r="C251" s="29" t="n">
        <v>4655</v>
      </c>
      <c r="D251" s="24" t="s">
        <v>74</v>
      </c>
      <c r="E251" s="24" t="s">
        <v>517</v>
      </c>
      <c r="F251" s="26" t="s">
        <v>826</v>
      </c>
      <c r="G251" s="24" t="s">
        <v>493</v>
      </c>
      <c r="H251" s="27" t="n">
        <v>12</v>
      </c>
      <c r="I251" s="24" t="s">
        <v>78</v>
      </c>
      <c r="J251" s="26" t="s">
        <v>494</v>
      </c>
      <c r="K251" s="26" t="s">
        <v>495</v>
      </c>
      <c r="L251" s="28" t="s">
        <v>81</v>
      </c>
    </row>
    <row r="252" customFormat="false" ht="15" hidden="false" customHeight="false" outlineLevel="0" collapsed="false">
      <c r="A252" s="18" t="s">
        <v>827</v>
      </c>
      <c r="B252" s="5" t="s">
        <v>828</v>
      </c>
      <c r="C252" s="19" t="n">
        <v>1341</v>
      </c>
      <c r="D252" s="5" t="s">
        <v>74</v>
      </c>
      <c r="E252" s="5" t="s">
        <v>91</v>
      </c>
      <c r="F252" s="20" t="s">
        <v>829</v>
      </c>
      <c r="G252" s="5" t="s">
        <v>493</v>
      </c>
      <c r="H252" s="21" t="n">
        <v>12</v>
      </c>
      <c r="I252" s="5" t="s">
        <v>78</v>
      </c>
      <c r="J252" s="20" t="s">
        <v>494</v>
      </c>
      <c r="K252" s="20" t="s">
        <v>495</v>
      </c>
      <c r="L252" s="22" t="s">
        <v>81</v>
      </c>
    </row>
    <row r="253" customFormat="false" ht="15" hidden="false" customHeight="false" outlineLevel="0" collapsed="false">
      <c r="A253" s="23" t="s">
        <v>830</v>
      </c>
      <c r="B253" s="24" t="s">
        <v>831</v>
      </c>
      <c r="C253" s="29" t="n">
        <v>3819</v>
      </c>
      <c r="D253" s="24" t="s">
        <v>74</v>
      </c>
      <c r="E253" s="24" t="s">
        <v>91</v>
      </c>
      <c r="F253" s="26" t="s">
        <v>832</v>
      </c>
      <c r="G253" s="24" t="s">
        <v>493</v>
      </c>
      <c r="H253" s="27" t="n">
        <v>12</v>
      </c>
      <c r="I253" s="24" t="s">
        <v>98</v>
      </c>
      <c r="J253" s="26" t="s">
        <v>494</v>
      </c>
      <c r="K253" s="26" t="s">
        <v>495</v>
      </c>
      <c r="L253" s="28" t="s">
        <v>81</v>
      </c>
    </row>
    <row r="254" customFormat="false" ht="15" hidden="false" customHeight="false" outlineLevel="0" collapsed="false">
      <c r="A254" s="18" t="s">
        <v>833</v>
      </c>
      <c r="B254" s="5" t="s">
        <v>834</v>
      </c>
      <c r="C254" s="19" t="n">
        <v>4681</v>
      </c>
      <c r="D254" s="5" t="s">
        <v>74</v>
      </c>
      <c r="E254" s="5" t="s">
        <v>91</v>
      </c>
      <c r="F254" s="20" t="s">
        <v>835</v>
      </c>
      <c r="G254" s="5" t="s">
        <v>493</v>
      </c>
      <c r="H254" s="21" t="n">
        <v>12</v>
      </c>
      <c r="I254" s="5" t="s">
        <v>98</v>
      </c>
      <c r="J254" s="20" t="s">
        <v>494</v>
      </c>
      <c r="K254" s="20" t="s">
        <v>495</v>
      </c>
      <c r="L254" s="22" t="s">
        <v>81</v>
      </c>
    </row>
    <row r="255" customFormat="false" ht="15" hidden="false" customHeight="false" outlineLevel="0" collapsed="false">
      <c r="A255" s="23" t="s">
        <v>836</v>
      </c>
      <c r="B255" s="24" t="s">
        <v>837</v>
      </c>
      <c r="C255" s="29" t="n">
        <v>-272</v>
      </c>
      <c r="D255" s="24" t="s">
        <v>74</v>
      </c>
      <c r="E255" s="24" t="s">
        <v>91</v>
      </c>
      <c r="F255" s="26" t="s">
        <v>838</v>
      </c>
      <c r="G255" s="24" t="s">
        <v>493</v>
      </c>
      <c r="H255" s="27" t="n">
        <v>12</v>
      </c>
      <c r="I255" s="24" t="s">
        <v>98</v>
      </c>
      <c r="J255" s="26" t="s">
        <v>494</v>
      </c>
      <c r="K255" s="26" t="s">
        <v>495</v>
      </c>
      <c r="L255" s="28" t="s">
        <v>81</v>
      </c>
    </row>
    <row r="256" customFormat="false" ht="15" hidden="false" customHeight="false" outlineLevel="0" collapsed="false">
      <c r="A256" s="18" t="s">
        <v>839</v>
      </c>
      <c r="B256" s="5" t="s">
        <v>840</v>
      </c>
      <c r="C256" s="19" t="n">
        <v>1162</v>
      </c>
      <c r="D256" s="5" t="s">
        <v>74</v>
      </c>
      <c r="E256" s="5" t="s">
        <v>91</v>
      </c>
      <c r="F256" s="20" t="s">
        <v>841</v>
      </c>
      <c r="G256" s="5" t="s">
        <v>493</v>
      </c>
      <c r="H256" s="21" t="n">
        <v>12</v>
      </c>
      <c r="I256" s="5" t="s">
        <v>78</v>
      </c>
      <c r="J256" s="20" t="s">
        <v>494</v>
      </c>
      <c r="K256" s="20" t="s">
        <v>495</v>
      </c>
      <c r="L256" s="22" t="s">
        <v>81</v>
      </c>
    </row>
    <row r="257" customFormat="false" ht="15" hidden="false" customHeight="false" outlineLevel="0" collapsed="false">
      <c r="A257" s="23" t="s">
        <v>842</v>
      </c>
      <c r="B257" s="24" t="s">
        <v>843</v>
      </c>
      <c r="C257" s="25" t="n">
        <v>3.7</v>
      </c>
      <c r="D257" s="24" t="s">
        <v>104</v>
      </c>
      <c r="E257" s="24" t="s">
        <v>91</v>
      </c>
      <c r="F257" s="26" t="s">
        <v>844</v>
      </c>
      <c r="G257" s="24" t="s">
        <v>493</v>
      </c>
      <c r="H257" s="27" t="n">
        <v>12</v>
      </c>
      <c r="I257" s="24" t="s">
        <v>78</v>
      </c>
      <c r="J257" s="26" t="s">
        <v>494</v>
      </c>
      <c r="K257" s="26" t="s">
        <v>495</v>
      </c>
      <c r="L257" s="28" t="s">
        <v>81</v>
      </c>
    </row>
    <row r="258" customFormat="false" ht="15" hidden="false" customHeight="false" outlineLevel="0" collapsed="false">
      <c r="A258" s="18" t="s">
        <v>845</v>
      </c>
      <c r="B258" s="5" t="s">
        <v>846</v>
      </c>
      <c r="C258" s="30" t="n">
        <v>5.1</v>
      </c>
      <c r="D258" s="5" t="s">
        <v>104</v>
      </c>
      <c r="E258" s="5" t="s">
        <v>91</v>
      </c>
      <c r="F258" s="20" t="s">
        <v>526</v>
      </c>
      <c r="G258" s="5" t="s">
        <v>493</v>
      </c>
      <c r="H258" s="21" t="n">
        <v>12</v>
      </c>
      <c r="I258" s="5" t="s">
        <v>78</v>
      </c>
      <c r="J258" s="20" t="s">
        <v>494</v>
      </c>
      <c r="K258" s="20" t="s">
        <v>495</v>
      </c>
      <c r="L258" s="22" t="s">
        <v>81</v>
      </c>
    </row>
    <row r="259" customFormat="false" ht="15" hidden="false" customHeight="false" outlineLevel="0" collapsed="false">
      <c r="A259" s="23" t="s">
        <v>847</v>
      </c>
      <c r="B259" s="24" t="s">
        <v>848</v>
      </c>
      <c r="C259" s="29" t="n">
        <v>29518</v>
      </c>
      <c r="D259" s="24" t="s">
        <v>74</v>
      </c>
      <c r="E259" s="24" t="s">
        <v>111</v>
      </c>
      <c r="F259" s="26" t="s">
        <v>849</v>
      </c>
      <c r="G259" s="24" t="s">
        <v>143</v>
      </c>
      <c r="H259" s="27" t="n">
        <v>351</v>
      </c>
      <c r="I259" s="24" t="s">
        <v>78</v>
      </c>
      <c r="J259" s="26" t="s">
        <v>144</v>
      </c>
      <c r="K259" s="26" t="s">
        <v>80</v>
      </c>
      <c r="L259" s="28" t="s">
        <v>81</v>
      </c>
    </row>
    <row r="260" customFormat="false" ht="15" hidden="false" customHeight="false" outlineLevel="0" collapsed="false">
      <c r="A260" s="18" t="s">
        <v>850</v>
      </c>
      <c r="B260" s="5" t="s">
        <v>851</v>
      </c>
      <c r="C260" s="19" t="n">
        <v>8021</v>
      </c>
      <c r="D260" s="5" t="s">
        <v>74</v>
      </c>
      <c r="E260" s="5" t="s">
        <v>111</v>
      </c>
      <c r="F260" s="20" t="s">
        <v>852</v>
      </c>
      <c r="G260" s="5" t="s">
        <v>143</v>
      </c>
      <c r="H260" s="21" t="n">
        <v>351</v>
      </c>
      <c r="I260" s="5" t="s">
        <v>78</v>
      </c>
      <c r="J260" s="20" t="s">
        <v>144</v>
      </c>
      <c r="K260" s="20" t="s">
        <v>80</v>
      </c>
      <c r="L260" s="22" t="s">
        <v>81</v>
      </c>
    </row>
    <row r="261" customFormat="false" ht="15" hidden="false" customHeight="false" outlineLevel="0" collapsed="false">
      <c r="A261" s="23" t="s">
        <v>853</v>
      </c>
      <c r="B261" s="24" t="s">
        <v>854</v>
      </c>
      <c r="C261" s="29" t="n">
        <v>1952</v>
      </c>
      <c r="D261" s="24" t="s">
        <v>74</v>
      </c>
      <c r="E261" s="24" t="s">
        <v>111</v>
      </c>
      <c r="F261" s="26" t="s">
        <v>855</v>
      </c>
      <c r="G261" s="24" t="s">
        <v>143</v>
      </c>
      <c r="H261" s="27" t="n">
        <v>351</v>
      </c>
      <c r="I261" s="24" t="s">
        <v>78</v>
      </c>
      <c r="J261" s="26" t="s">
        <v>144</v>
      </c>
      <c r="K261" s="26" t="s">
        <v>80</v>
      </c>
      <c r="L261" s="28" t="s">
        <v>81</v>
      </c>
    </row>
    <row r="262" customFormat="false" ht="15" hidden="false" customHeight="false" outlineLevel="0" collapsed="false">
      <c r="A262" s="18" t="s">
        <v>856</v>
      </c>
      <c r="B262" s="5" t="s">
        <v>857</v>
      </c>
      <c r="C262" s="19" t="n">
        <v>276</v>
      </c>
      <c r="D262" s="5" t="s">
        <v>74</v>
      </c>
      <c r="E262" s="5" t="s">
        <v>111</v>
      </c>
      <c r="F262" s="20" t="s">
        <v>858</v>
      </c>
      <c r="G262" s="5" t="s">
        <v>143</v>
      </c>
      <c r="H262" s="21" t="n">
        <v>351</v>
      </c>
      <c r="I262" s="5" t="s">
        <v>78</v>
      </c>
      <c r="J262" s="20" t="s">
        <v>144</v>
      </c>
      <c r="K262" s="20" t="s">
        <v>80</v>
      </c>
      <c r="L262" s="22" t="s">
        <v>81</v>
      </c>
    </row>
    <row r="263" customFormat="false" ht="15" hidden="false" customHeight="false" outlineLevel="0" collapsed="false">
      <c r="A263" s="23" t="s">
        <v>859</v>
      </c>
      <c r="B263" s="24" t="s">
        <v>848</v>
      </c>
      <c r="C263" s="29" t="n">
        <v>29283</v>
      </c>
      <c r="D263" s="24" t="s">
        <v>74</v>
      </c>
      <c r="E263" s="24" t="s">
        <v>164</v>
      </c>
      <c r="F263" s="26" t="s">
        <v>860</v>
      </c>
      <c r="G263" s="24" t="s">
        <v>143</v>
      </c>
      <c r="H263" s="27" t="n">
        <v>351</v>
      </c>
      <c r="I263" s="24" t="s">
        <v>78</v>
      </c>
      <c r="J263" s="26" t="s">
        <v>144</v>
      </c>
      <c r="K263" s="26" t="s">
        <v>80</v>
      </c>
      <c r="L263" s="28" t="s">
        <v>81</v>
      </c>
    </row>
    <row r="264" customFormat="false" ht="15" hidden="false" customHeight="false" outlineLevel="0" collapsed="false">
      <c r="A264" s="18" t="s">
        <v>861</v>
      </c>
      <c r="B264" s="5" t="s">
        <v>851</v>
      </c>
      <c r="C264" s="19" t="n">
        <v>9601</v>
      </c>
      <c r="D264" s="5" t="s">
        <v>74</v>
      </c>
      <c r="E264" s="5" t="s">
        <v>164</v>
      </c>
      <c r="F264" s="20" t="s">
        <v>862</v>
      </c>
      <c r="G264" s="5" t="s">
        <v>143</v>
      </c>
      <c r="H264" s="21" t="n">
        <v>351</v>
      </c>
      <c r="I264" s="5" t="s">
        <v>78</v>
      </c>
      <c r="J264" s="20" t="s">
        <v>144</v>
      </c>
      <c r="K264" s="20" t="s">
        <v>80</v>
      </c>
      <c r="L264" s="22" t="s">
        <v>81</v>
      </c>
    </row>
  </sheetData>
  <autoFilter ref="A5:L264"/>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s>
  <sheetData>
    <row r="1" customFormat="false" ht="17.35" hidden="false" customHeight="false" outlineLevel="0" collapsed="false">
      <c r="A1" s="1" t="s">
        <v>863</v>
      </c>
      <c r="B1" s="2"/>
      <c r="C1" s="2"/>
      <c r="D1" s="2"/>
      <c r="E1" s="2"/>
      <c r="F1" s="2"/>
      <c r="G1" s="2"/>
      <c r="H1" s="2"/>
    </row>
    <row r="2" customFormat="false" ht="15" hidden="false" customHeight="false" outlineLevel="0" collapsed="false">
      <c r="A2" s="3" t="s">
        <v>864</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17" t="s">
        <v>865</v>
      </c>
      <c r="B4" s="17" t="s">
        <v>866</v>
      </c>
      <c r="C4" s="17" t="s">
        <v>867</v>
      </c>
      <c r="D4" s="17" t="s">
        <v>868</v>
      </c>
      <c r="E4" s="17" t="s">
        <v>869</v>
      </c>
      <c r="F4" s="17" t="s">
        <v>64</v>
      </c>
      <c r="G4" s="17" t="s">
        <v>870</v>
      </c>
      <c r="H4" s="17" t="s">
        <v>871</v>
      </c>
    </row>
    <row r="5" customFormat="false" ht="30" hidden="false" customHeight="true" outlineLevel="0" collapsed="false">
      <c r="A5" s="18" t="s">
        <v>872</v>
      </c>
      <c r="B5" s="33" t="s">
        <v>873</v>
      </c>
      <c r="C5" s="34" t="n">
        <f aca="false">AVERAGE(Entrées!$C$92,Entrées!$C$93)/100</f>
        <v>0.055</v>
      </c>
      <c r="D5" s="34" t="n">
        <f aca="false">Entrées!$C$92/100</f>
        <v>0.05</v>
      </c>
      <c r="E5" s="34" t="n">
        <f aca="false">Entrées!$C$93/100</f>
        <v>0.06</v>
      </c>
      <c r="F5" s="5" t="s">
        <v>270</v>
      </c>
      <c r="G5" s="33" t="s">
        <v>874</v>
      </c>
      <c r="H5" s="20" t="s">
        <v>875</v>
      </c>
    </row>
    <row r="6" customFormat="false" ht="30" hidden="false" customHeight="true" outlineLevel="0" collapsed="false">
      <c r="A6" s="18" t="s">
        <v>876</v>
      </c>
      <c r="B6" s="33" t="s">
        <v>877</v>
      </c>
      <c r="C6" s="35" t="n">
        <f aca="false">C5</f>
        <v>0.055</v>
      </c>
      <c r="D6" s="36" t="n">
        <v>0.04</v>
      </c>
      <c r="E6" s="36" t="n">
        <v>0.07</v>
      </c>
      <c r="F6" s="5" t="s">
        <v>270</v>
      </c>
      <c r="G6" s="33" t="s">
        <v>878</v>
      </c>
      <c r="H6" s="20" t="s">
        <v>879</v>
      </c>
    </row>
    <row r="7" customFormat="false" ht="30" hidden="false" customHeight="true" outlineLevel="0" collapsed="false">
      <c r="A7" s="18" t="s">
        <v>880</v>
      </c>
      <c r="B7" s="33" t="s">
        <v>881</v>
      </c>
      <c r="C7" s="37" t="n">
        <f aca="false">Entrées!$C$56</f>
        <v>200</v>
      </c>
      <c r="D7" s="37" t="n">
        <f aca="false">Entrées!$C$56*0.9</f>
        <v>180</v>
      </c>
      <c r="E7" s="37" t="n">
        <f aca="false">Entrées!$C$56*1.1</f>
        <v>220</v>
      </c>
      <c r="F7" s="5" t="s">
        <v>220</v>
      </c>
      <c r="G7" s="33" t="s">
        <v>882</v>
      </c>
      <c r="H7" s="20" t="s">
        <v>261</v>
      </c>
    </row>
    <row r="8" customFormat="false" ht="30" hidden="false" customHeight="true" outlineLevel="0" collapsed="false">
      <c r="A8" s="18" t="s">
        <v>883</v>
      </c>
      <c r="B8" s="33" t="s">
        <v>884</v>
      </c>
      <c r="C8" s="36" t="n">
        <v>0.25</v>
      </c>
      <c r="D8" s="36" t="n">
        <v>0</v>
      </c>
      <c r="E8" s="36" t="n">
        <v>0.5</v>
      </c>
      <c r="F8" s="5" t="s">
        <v>270</v>
      </c>
      <c r="G8" s="33" t="s">
        <v>885</v>
      </c>
      <c r="H8" s="20" t="s">
        <v>253</v>
      </c>
    </row>
    <row r="9" customFormat="false" ht="30" hidden="false" customHeight="true" outlineLevel="0" collapsed="false">
      <c r="A9" s="18" t="s">
        <v>886</v>
      </c>
      <c r="B9" s="33" t="s">
        <v>887</v>
      </c>
      <c r="C9" s="37" t="n">
        <f aca="false">Entrées!$C$34-Entrées!$C$75</f>
        <v>1629</v>
      </c>
      <c r="D9" s="38" t="n">
        <f aca="false">C9*0.8</f>
        <v>1303.2</v>
      </c>
      <c r="E9" s="38" t="n">
        <f aca="false">C9*1.1</f>
        <v>1791.9</v>
      </c>
      <c r="F9" s="5" t="s">
        <v>74</v>
      </c>
      <c r="G9" s="33" t="s">
        <v>888</v>
      </c>
      <c r="H9" s="20" t="s">
        <v>889</v>
      </c>
    </row>
    <row r="10" customFormat="false" ht="30" hidden="false" customHeight="true" outlineLevel="0" collapsed="false">
      <c r="A10" s="18" t="s">
        <v>890</v>
      </c>
      <c r="B10" s="33" t="s">
        <v>891</v>
      </c>
      <c r="C10" s="34" t="n">
        <f aca="false">AVERAGE(Entrées!$C$18/Entrées!$C$22,Entrées!$C$34/Entrées!$C$8)</f>
        <v>0.168696364464616</v>
      </c>
      <c r="D10" s="36" t="n">
        <v>0.14</v>
      </c>
      <c r="E10" s="36" t="n">
        <v>0.19</v>
      </c>
      <c r="F10" s="5" t="s">
        <v>270</v>
      </c>
      <c r="G10" s="33" t="s">
        <v>892</v>
      </c>
      <c r="H10" s="20" t="s">
        <v>893</v>
      </c>
    </row>
    <row r="11" customFormat="false" ht="30" hidden="false" customHeight="true" outlineLevel="0" collapsed="false">
      <c r="A11" s="18" t="s">
        <v>894</v>
      </c>
      <c r="B11" s="33" t="s">
        <v>895</v>
      </c>
      <c r="C11" s="34" t="n">
        <f aca="false">Entrées!$C$94/100</f>
        <v>0.08</v>
      </c>
      <c r="D11" s="36" t="n">
        <v>0.04</v>
      </c>
      <c r="E11" s="36" t="n">
        <v>0.12</v>
      </c>
      <c r="F11" s="5" t="s">
        <v>270</v>
      </c>
      <c r="G11" s="33" t="s">
        <v>896</v>
      </c>
      <c r="H11" s="20" t="s">
        <v>373</v>
      </c>
    </row>
    <row r="12" customFormat="false" ht="30" hidden="false" customHeight="true" outlineLevel="0" collapsed="false">
      <c r="A12" s="18" t="s">
        <v>897</v>
      </c>
      <c r="B12" s="33" t="s">
        <v>898</v>
      </c>
      <c r="C12" s="36" t="n">
        <v>0.5</v>
      </c>
      <c r="D12" s="36" t="n">
        <v>0</v>
      </c>
      <c r="E12" s="36" t="n">
        <v>1</v>
      </c>
      <c r="F12" s="5" t="s">
        <v>270</v>
      </c>
      <c r="G12" s="33" t="s">
        <v>899</v>
      </c>
      <c r="H12" s="20" t="s">
        <v>189</v>
      </c>
    </row>
    <row r="13" customFormat="false" ht="30" hidden="false" customHeight="true" outlineLevel="0" collapsed="false">
      <c r="A13" s="18" t="s">
        <v>900</v>
      </c>
      <c r="B13" s="33" t="s">
        <v>901</v>
      </c>
      <c r="C13" s="36" t="n">
        <v>0.5</v>
      </c>
      <c r="D13" s="36" t="n">
        <v>0</v>
      </c>
      <c r="E13" s="36" t="n">
        <v>1</v>
      </c>
      <c r="F13" s="5" t="s">
        <v>270</v>
      </c>
      <c r="G13" s="33" t="s">
        <v>902</v>
      </c>
      <c r="H13" s="20" t="s">
        <v>168</v>
      </c>
    </row>
    <row r="14" customFormat="false" ht="30" hidden="false" customHeight="true" outlineLevel="0" collapsed="false">
      <c r="A14" s="18" t="s">
        <v>903</v>
      </c>
      <c r="B14" s="33" t="s">
        <v>904</v>
      </c>
      <c r="C14" s="39" t="n">
        <v>10</v>
      </c>
      <c r="D14" s="39" t="n">
        <v>8</v>
      </c>
      <c r="E14" s="39" t="n">
        <v>12</v>
      </c>
      <c r="F14" s="5" t="s">
        <v>104</v>
      </c>
      <c r="G14" s="33" t="s">
        <v>905</v>
      </c>
      <c r="H14" s="20" t="s">
        <v>879</v>
      </c>
    </row>
    <row r="15" customFormat="false" ht="30" hidden="false" customHeight="true" outlineLevel="0" collapsed="false">
      <c r="A15" s="18" t="s">
        <v>906</v>
      </c>
      <c r="B15" s="33" t="s">
        <v>907</v>
      </c>
      <c r="C15" s="40" t="n">
        <f aca="false">Entrées!$C$10</f>
        <v>0.5</v>
      </c>
      <c r="D15" s="41" t="n">
        <v>0</v>
      </c>
      <c r="E15" s="40" t="n">
        <f aca="false">Entrées!$C$26</f>
        <v>1</v>
      </c>
      <c r="F15" s="5" t="s">
        <v>101</v>
      </c>
      <c r="G15" s="33" t="s">
        <v>908</v>
      </c>
      <c r="H15" s="20" t="s">
        <v>909</v>
      </c>
    </row>
    <row r="16" customFormat="false" ht="30" hidden="false" customHeight="true" outlineLevel="0" collapsed="false">
      <c r="A16" s="18" t="s">
        <v>910</v>
      </c>
      <c r="B16" s="33" t="s">
        <v>911</v>
      </c>
      <c r="C16" s="34" t="n">
        <f aca="false">Entrées!$C$249/Entrées!$C$8</f>
        <v>0.731914893617021</v>
      </c>
      <c r="D16" s="35" t="n">
        <f aca="false">C16*0.95</f>
        <v>0.69531914893617</v>
      </c>
      <c r="E16" s="35" t="n">
        <f aca="false">C16*1.03</f>
        <v>0.753872340425532</v>
      </c>
      <c r="F16" s="5" t="s">
        <v>270</v>
      </c>
      <c r="G16" s="33" t="s">
        <v>912</v>
      </c>
      <c r="H16" s="20" t="s">
        <v>913</v>
      </c>
    </row>
    <row r="17" customFormat="false" ht="30" hidden="false" customHeight="true" outlineLevel="0" collapsed="false">
      <c r="A17" s="2"/>
      <c r="B17" s="2"/>
      <c r="C17" s="2"/>
      <c r="D17" s="2"/>
      <c r="E17" s="2"/>
      <c r="F17" s="2"/>
      <c r="G17" s="2"/>
      <c r="H17" s="2"/>
    </row>
    <row r="18" customFormat="false" ht="30" hidden="false" customHeight="true" outlineLevel="0" collapsed="false">
      <c r="A18" s="18" t="s">
        <v>914</v>
      </c>
      <c r="B18" s="2"/>
      <c r="C18" s="2"/>
      <c r="D18" s="2"/>
      <c r="E18" s="2"/>
      <c r="F18" s="2"/>
      <c r="G18" s="2"/>
      <c r="H18" s="2"/>
    </row>
    <row r="19" customFormat="false" ht="30" hidden="false" customHeight="true" outlineLevel="0" collapsed="false">
      <c r="A19" s="18" t="s">
        <v>915</v>
      </c>
      <c r="B19" s="33" t="s">
        <v>916</v>
      </c>
      <c r="C19" s="42" t="n">
        <f aca="false">Entrées!$C$45/Entrées!$C$46</f>
        <v>1.17584579071597</v>
      </c>
      <c r="D19" s="43" t="s">
        <v>879</v>
      </c>
      <c r="E19" s="43" t="s">
        <v>879</v>
      </c>
      <c r="F19" s="5" t="s">
        <v>917</v>
      </c>
      <c r="G19" s="33" t="s">
        <v>918</v>
      </c>
      <c r="H19" s="20" t="s">
        <v>919</v>
      </c>
    </row>
    <row r="20" customFormat="false" ht="30" hidden="false" customHeight="true" outlineLevel="0" collapsed="false">
      <c r="A20" s="18" t="s">
        <v>920</v>
      </c>
      <c r="B20" s="33" t="s">
        <v>921</v>
      </c>
      <c r="C20" s="37" t="n">
        <f aca="false">-Entrées!$C$77-Entrées!$C$79</f>
        <v>295</v>
      </c>
      <c r="D20" s="43" t="s">
        <v>879</v>
      </c>
      <c r="E20" s="43" t="s">
        <v>879</v>
      </c>
      <c r="F20" s="5" t="s">
        <v>74</v>
      </c>
      <c r="G20" s="33" t="s">
        <v>922</v>
      </c>
      <c r="H20" s="20" t="s">
        <v>923</v>
      </c>
    </row>
    <row r="21" customFormat="false" ht="30" hidden="false" customHeight="true" outlineLevel="0" collapsed="false">
      <c r="A21" s="18" t="s">
        <v>924</v>
      </c>
      <c r="B21" s="33" t="s">
        <v>925</v>
      </c>
      <c r="C21" s="44" t="n">
        <f aca="false">Entrées!$C$53</f>
        <v>9.8</v>
      </c>
      <c r="D21" s="43" t="s">
        <v>879</v>
      </c>
      <c r="E21" s="43" t="s">
        <v>879</v>
      </c>
      <c r="F21" s="5" t="s">
        <v>104</v>
      </c>
      <c r="G21" s="33" t="s">
        <v>926</v>
      </c>
      <c r="H21" s="20" t="s">
        <v>249</v>
      </c>
    </row>
    <row r="22" customFormat="false" ht="30" hidden="false" customHeight="true" outlineLevel="0" collapsed="false">
      <c r="A22" s="18" t="s">
        <v>927</v>
      </c>
      <c r="B22" s="33" t="s">
        <v>928</v>
      </c>
      <c r="C22" s="41" t="n">
        <v>0</v>
      </c>
      <c r="D22" s="43" t="s">
        <v>879</v>
      </c>
      <c r="E22" s="43" t="s">
        <v>879</v>
      </c>
      <c r="F22" s="5" t="s">
        <v>101</v>
      </c>
      <c r="G22" s="33" t="s">
        <v>929</v>
      </c>
      <c r="H22" s="20" t="s">
        <v>879</v>
      </c>
    </row>
    <row r="23" customFormat="false" ht="30" hidden="false" customHeight="true" outlineLevel="0" collapsed="false">
      <c r="A23" s="18" t="s">
        <v>930</v>
      </c>
      <c r="B23" s="33" t="s">
        <v>931</v>
      </c>
      <c r="C23" s="45" t="n">
        <v>0</v>
      </c>
      <c r="D23" s="43" t="s">
        <v>879</v>
      </c>
      <c r="E23" s="43" t="s">
        <v>879</v>
      </c>
      <c r="F23" s="5" t="s">
        <v>74</v>
      </c>
      <c r="G23" s="33" t="s">
        <v>932</v>
      </c>
      <c r="H23" s="20" t="s">
        <v>879</v>
      </c>
    </row>
    <row r="24" customFormat="false" ht="30" hidden="false" customHeight="true" outlineLevel="0" collapsed="false">
      <c r="A24" s="18" t="s">
        <v>933</v>
      </c>
      <c r="B24" s="33" t="s">
        <v>934</v>
      </c>
      <c r="C24" s="46" t="n">
        <v>7</v>
      </c>
      <c r="D24" s="43" t="s">
        <v>879</v>
      </c>
      <c r="E24" s="43" t="s">
        <v>879</v>
      </c>
      <c r="F24" s="5" t="s">
        <v>935</v>
      </c>
      <c r="G24" s="33" t="s">
        <v>936</v>
      </c>
      <c r="H24" s="20" t="s">
        <v>218</v>
      </c>
    </row>
    <row r="25" customFormat="false" ht="30" hidden="false" customHeight="true" outlineLevel="0" collapsed="false">
      <c r="A25" s="18" t="s">
        <v>937</v>
      </c>
      <c r="B25" s="33" t="s">
        <v>938</v>
      </c>
      <c r="C25" s="47" t="n">
        <f aca="false">Entrées!$C$55/4</f>
        <v>22.5</v>
      </c>
      <c r="D25" s="43" t="s">
        <v>879</v>
      </c>
      <c r="E25" s="43" t="s">
        <v>879</v>
      </c>
      <c r="F25" s="5" t="s">
        <v>220</v>
      </c>
      <c r="G25" s="33" t="s">
        <v>939</v>
      </c>
      <c r="H25" s="20" t="s">
        <v>257</v>
      </c>
    </row>
    <row r="26" customFormat="false" ht="30" hidden="false" customHeight="true" outlineLevel="0" collapsed="false">
      <c r="A26" s="18" t="s">
        <v>940</v>
      </c>
      <c r="B26" s="33" t="s">
        <v>941</v>
      </c>
      <c r="C26" s="44" t="n">
        <f aca="false">Entrées!$C$61</f>
        <v>3</v>
      </c>
      <c r="D26" s="43" t="s">
        <v>879</v>
      </c>
      <c r="E26" s="43" t="s">
        <v>879</v>
      </c>
      <c r="F26" s="5" t="s">
        <v>104</v>
      </c>
      <c r="G26" s="33" t="s">
        <v>942</v>
      </c>
      <c r="H26" s="20" t="s">
        <v>943</v>
      </c>
    </row>
    <row r="27" customFormat="false" ht="30" hidden="false" customHeight="true" outlineLevel="0" collapsed="false">
      <c r="A27" s="18" t="s">
        <v>944</v>
      </c>
      <c r="B27" s="33" t="s">
        <v>945</v>
      </c>
      <c r="C27" s="36" t="n">
        <v>0.5</v>
      </c>
      <c r="D27" s="43" t="s">
        <v>879</v>
      </c>
      <c r="E27" s="43" t="s">
        <v>879</v>
      </c>
      <c r="F27" s="5" t="s">
        <v>270</v>
      </c>
      <c r="G27" s="33" t="s">
        <v>946</v>
      </c>
      <c r="H27" s="20" t="s">
        <v>116</v>
      </c>
    </row>
    <row r="28" customFormat="false" ht="30" hidden="false" customHeight="true" outlineLevel="0" collapsed="false">
      <c r="A28" s="2"/>
      <c r="B28" s="2"/>
      <c r="C28" s="2"/>
      <c r="D28" s="2"/>
      <c r="E28" s="2"/>
      <c r="F28" s="2"/>
      <c r="G28" s="2"/>
      <c r="H28" s="2"/>
    </row>
    <row r="29" customFormat="false" ht="15" hidden="false" customHeight="false" outlineLevel="0" collapsed="false">
      <c r="A29" s="3" t="s">
        <v>947</v>
      </c>
      <c r="B29" s="2"/>
      <c r="C29" s="2"/>
      <c r="D29" s="2"/>
      <c r="E29" s="2"/>
      <c r="F29" s="2"/>
      <c r="G29" s="2"/>
      <c r="H29"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948</v>
      </c>
      <c r="B1" s="2"/>
      <c r="C1" s="2"/>
      <c r="D1" s="2"/>
      <c r="E1" s="2"/>
    </row>
    <row r="2" customFormat="false" ht="15" hidden="false" customHeight="false" outlineLevel="0" collapsed="false">
      <c r="A2" s="3" t="s">
        <v>949</v>
      </c>
      <c r="B2" s="2"/>
      <c r="C2" s="2"/>
      <c r="D2" s="2"/>
      <c r="E2" s="2"/>
    </row>
    <row r="3" customFormat="false" ht="15" hidden="false" customHeight="false" outlineLevel="0" collapsed="false">
      <c r="A3" s="2"/>
      <c r="B3" s="2"/>
      <c r="C3" s="2"/>
      <c r="D3" s="2"/>
      <c r="E3" s="2"/>
    </row>
    <row r="4" customFormat="false" ht="15" hidden="false" customHeight="false" outlineLevel="0" collapsed="false">
      <c r="A4" s="17"/>
      <c r="B4" s="17" t="s">
        <v>62</v>
      </c>
      <c r="C4" s="17" t="s">
        <v>63</v>
      </c>
      <c r="D4" s="17" t="s">
        <v>64</v>
      </c>
      <c r="E4" s="17" t="s">
        <v>950</v>
      </c>
    </row>
    <row r="5" customFormat="false" ht="15" hidden="false" customHeight="false" outlineLevel="0" collapsed="false">
      <c r="A5" s="18" t="s">
        <v>951</v>
      </c>
      <c r="B5" s="18" t="s">
        <v>952</v>
      </c>
      <c r="C5" s="2"/>
      <c r="D5" s="2"/>
      <c r="E5" s="2"/>
    </row>
    <row r="6" customFormat="false" ht="15" hidden="false" customHeight="false" outlineLevel="0" collapsed="false">
      <c r="A6" s="2"/>
      <c r="B6" s="5" t="s">
        <v>953</v>
      </c>
      <c r="C6" s="48" t="n">
        <f aca="false">Entrées!$C$28</f>
        <v>17819</v>
      </c>
      <c r="D6" s="20" t="s">
        <v>74</v>
      </c>
      <c r="E6" s="20" t="s">
        <v>163</v>
      </c>
    </row>
    <row r="7" customFormat="false" ht="15" hidden="false" customHeight="false" outlineLevel="0" collapsed="false">
      <c r="A7" s="2"/>
      <c r="B7" s="5" t="s">
        <v>954</v>
      </c>
      <c r="C7" s="48" t="n">
        <f aca="false">Entrées!$C$22</f>
        <v>6788</v>
      </c>
      <c r="D7" s="20" t="s">
        <v>74</v>
      </c>
      <c r="E7" s="20" t="s">
        <v>148</v>
      </c>
    </row>
    <row r="8" customFormat="false" ht="15" hidden="false" customHeight="false" outlineLevel="0" collapsed="false">
      <c r="A8" s="2"/>
      <c r="B8" s="18" t="s">
        <v>955</v>
      </c>
      <c r="C8" s="49" t="n">
        <f aca="false">C6/C7</f>
        <v>2.62507365939894</v>
      </c>
      <c r="D8" s="20" t="s">
        <v>104</v>
      </c>
      <c r="E8" s="20" t="s">
        <v>956</v>
      </c>
    </row>
    <row r="9" customFormat="false" ht="15" hidden="false" customHeight="false" outlineLevel="0" collapsed="false">
      <c r="A9" s="2"/>
      <c r="B9" s="5" t="s">
        <v>957</v>
      </c>
      <c r="C9" s="50" t="n">
        <f aca="false">Entrées!$C$25</f>
        <v>2.63</v>
      </c>
      <c r="D9" s="20" t="s">
        <v>104</v>
      </c>
      <c r="E9" s="20" t="s">
        <v>155</v>
      </c>
    </row>
    <row r="10" customFormat="false" ht="15" hidden="false" customHeight="false" outlineLevel="0" collapsed="false">
      <c r="A10" s="2"/>
      <c r="B10" s="5" t="s">
        <v>958</v>
      </c>
      <c r="C10" s="48" t="n">
        <f aca="false">Entrées!$C$13</f>
        <v>19657</v>
      </c>
      <c r="D10" s="20" t="s">
        <v>74</v>
      </c>
      <c r="E10" s="20" t="s">
        <v>109</v>
      </c>
    </row>
    <row r="11" customFormat="false" ht="15" hidden="false" customHeight="false" outlineLevel="0" collapsed="false">
      <c r="A11" s="2"/>
      <c r="B11" s="5" t="s">
        <v>959</v>
      </c>
      <c r="C11" s="48" t="n">
        <f aca="false">Entrées!$C$8</f>
        <v>7050</v>
      </c>
      <c r="D11" s="20" t="s">
        <v>74</v>
      </c>
      <c r="E11" s="20" t="s">
        <v>90</v>
      </c>
    </row>
    <row r="12" customFormat="false" ht="15" hidden="false" customHeight="false" outlineLevel="0" collapsed="false">
      <c r="A12" s="2"/>
      <c r="B12" s="18" t="s">
        <v>960</v>
      </c>
      <c r="C12" s="49" t="n">
        <f aca="false">C10/C11</f>
        <v>2.78822695035461</v>
      </c>
      <c r="D12" s="20" t="s">
        <v>104</v>
      </c>
      <c r="E12" s="20" t="s">
        <v>956</v>
      </c>
    </row>
    <row r="13" customFormat="false" ht="15" hidden="false" customHeight="false" outlineLevel="0" collapsed="false">
      <c r="A13" s="2"/>
      <c r="B13" s="5" t="s">
        <v>961</v>
      </c>
      <c r="C13" s="50" t="n">
        <f aca="false">Entrées!$C$21</f>
        <v>2.79</v>
      </c>
      <c r="D13" s="20" t="s">
        <v>104</v>
      </c>
      <c r="E13" s="20" t="s">
        <v>145</v>
      </c>
    </row>
    <row r="14" customFormat="false" ht="15" hidden="false" customHeight="false" outlineLevel="0" collapsed="false">
      <c r="A14" s="2"/>
      <c r="B14" s="18" t="s">
        <v>962</v>
      </c>
      <c r="C14" s="51" t="n">
        <f aca="false">Hypothèses!$C$26*C11-C10</f>
        <v>1493</v>
      </c>
      <c r="D14" s="20" t="s">
        <v>74</v>
      </c>
      <c r="E14" s="20" t="s">
        <v>963</v>
      </c>
    </row>
    <row r="15" customFormat="false" ht="15" hidden="false" customHeight="false" outlineLevel="0" collapsed="false">
      <c r="A15" s="2"/>
      <c r="B15" s="2"/>
      <c r="C15" s="2"/>
      <c r="D15" s="2"/>
      <c r="E15" s="2"/>
    </row>
    <row r="16" customFormat="false" ht="15" hidden="false" customHeight="false" outlineLevel="0" collapsed="false">
      <c r="A16" s="18" t="s">
        <v>964</v>
      </c>
      <c r="B16" s="18" t="s">
        <v>965</v>
      </c>
      <c r="C16" s="2"/>
      <c r="D16" s="2"/>
      <c r="E16" s="2"/>
    </row>
    <row r="17" customFormat="false" ht="15" hidden="false" customHeight="false" outlineLevel="0" collapsed="false">
      <c r="A17" s="2"/>
      <c r="B17" s="5" t="s">
        <v>966</v>
      </c>
      <c r="C17" s="48" t="n">
        <f aca="false">Entrées!$C$16</f>
        <v>24548</v>
      </c>
      <c r="D17" s="20" t="s">
        <v>74</v>
      </c>
      <c r="E17" s="20" t="s">
        <v>122</v>
      </c>
    </row>
    <row r="18" customFormat="false" ht="15" hidden="false" customHeight="false" outlineLevel="0" collapsed="false">
      <c r="A18" s="2"/>
      <c r="B18" s="5" t="s">
        <v>967</v>
      </c>
      <c r="C18" s="52" t="n">
        <f aca="false">Entrées!$C$8-Entrées!$C$24+Entrées!$C$6</f>
        <v>7235</v>
      </c>
      <c r="D18" s="20" t="s">
        <v>74</v>
      </c>
      <c r="E18" s="20" t="s">
        <v>968</v>
      </c>
    </row>
    <row r="19" customFormat="false" ht="15" hidden="false" customHeight="false" outlineLevel="0" collapsed="false">
      <c r="A19" s="2"/>
      <c r="B19" s="18" t="s">
        <v>969</v>
      </c>
      <c r="C19" s="49" t="n">
        <f aca="false">C17/C18</f>
        <v>3.39295093296475</v>
      </c>
      <c r="D19" s="20" t="s">
        <v>104</v>
      </c>
      <c r="E19" s="20" t="s">
        <v>970</v>
      </c>
    </row>
    <row r="20" customFormat="false" ht="15" hidden="false" customHeight="false" outlineLevel="0" collapsed="false">
      <c r="A20" s="2"/>
      <c r="B20" s="5" t="s">
        <v>971</v>
      </c>
      <c r="C20" s="52" t="n">
        <f aca="false">Hypothèses!$C$7*11/12/Hypothèses!$C$19</f>
        <v>155.916136946582</v>
      </c>
      <c r="D20" s="20" t="s">
        <v>74</v>
      </c>
      <c r="E20" s="20" t="s">
        <v>972</v>
      </c>
    </row>
    <row r="21" customFormat="false" ht="15" hidden="false" customHeight="false" outlineLevel="0" collapsed="false">
      <c r="A21" s="2"/>
      <c r="B21" s="18" t="s">
        <v>973</v>
      </c>
      <c r="C21" s="49" t="n">
        <f aca="false">C17/(C18+C20)</f>
        <v>3.32137444738232</v>
      </c>
      <c r="D21" s="20" t="s">
        <v>104</v>
      </c>
      <c r="E21" s="20"/>
    </row>
    <row r="22" customFormat="false" ht="15" hidden="false" customHeight="false" outlineLevel="0" collapsed="false">
      <c r="A22" s="2"/>
      <c r="B22" s="5" t="s">
        <v>974</v>
      </c>
      <c r="C22" s="52" t="n">
        <f aca="false">Entrées!$C$76-Entrées!$C$13</f>
        <v>1107</v>
      </c>
      <c r="D22" s="20" t="s">
        <v>74</v>
      </c>
      <c r="E22" s="20" t="s">
        <v>975</v>
      </c>
    </row>
    <row r="23" customFormat="false" ht="15" hidden="false" customHeight="false" outlineLevel="0" collapsed="false">
      <c r="A23" s="2"/>
      <c r="B23" s="18" t="s">
        <v>976</v>
      </c>
      <c r="C23" s="49" t="n">
        <f aca="false">(C17-C22)/(C18+C20)</f>
        <v>3.17159599238589</v>
      </c>
      <c r="D23" s="20" t="s">
        <v>104</v>
      </c>
      <c r="E23" s="20" t="s">
        <v>977</v>
      </c>
    </row>
    <row r="24" customFormat="false" ht="15" hidden="false" customHeight="false" outlineLevel="0" collapsed="false">
      <c r="A24" s="2"/>
      <c r="B24" s="5" t="s">
        <v>978</v>
      </c>
      <c r="C24" s="50" t="n">
        <f aca="false">Entrées!$C$19</f>
        <v>2.92</v>
      </c>
      <c r="D24" s="20" t="s">
        <v>104</v>
      </c>
      <c r="E24" s="20" t="s">
        <v>133</v>
      </c>
    </row>
    <row r="25" customFormat="false" ht="15" hidden="false" customHeight="false" outlineLevel="0" collapsed="false">
      <c r="A25" s="2"/>
      <c r="B25" s="2"/>
      <c r="C25" s="2"/>
      <c r="D25" s="2"/>
      <c r="E25" s="2"/>
    </row>
    <row r="26" customFormat="false" ht="15" hidden="false" customHeight="false" outlineLevel="0" collapsed="false">
      <c r="A26" s="18" t="s">
        <v>979</v>
      </c>
      <c r="B26" s="18" t="s">
        <v>980</v>
      </c>
      <c r="C26" s="2"/>
      <c r="D26" s="2"/>
      <c r="E26" s="2"/>
    </row>
    <row r="27" customFormat="false" ht="15" hidden="false" customHeight="false" outlineLevel="0" collapsed="false">
      <c r="A27" s="2"/>
      <c r="B27" s="5" t="s">
        <v>981</v>
      </c>
      <c r="C27" s="53" t="n">
        <f aca="false">Entrées!$C$132</f>
        <v>6.5</v>
      </c>
      <c r="D27" s="20" t="s">
        <v>483</v>
      </c>
      <c r="E27" s="20" t="s">
        <v>481</v>
      </c>
    </row>
    <row r="28" customFormat="false" ht="15" hidden="false" customHeight="false" outlineLevel="0" collapsed="false">
      <c r="A28" s="2"/>
      <c r="B28" s="5" t="s">
        <v>981</v>
      </c>
      <c r="C28" s="53" t="n">
        <f aca="false">Entrées!$C$133</f>
        <v>7.1</v>
      </c>
      <c r="D28" s="20" t="s">
        <v>483</v>
      </c>
      <c r="E28" s="20" t="s">
        <v>485</v>
      </c>
    </row>
    <row r="29" customFormat="false" ht="15" hidden="false" customHeight="false" outlineLevel="0" collapsed="false">
      <c r="A29" s="2"/>
      <c r="B29" s="5" t="s">
        <v>982</v>
      </c>
      <c r="C29" s="54" t="n">
        <f aca="false">Entrées!$C$134/100</f>
        <v>0.85</v>
      </c>
      <c r="D29" s="20" t="s">
        <v>270</v>
      </c>
      <c r="E29" s="20" t="s">
        <v>487</v>
      </c>
    </row>
    <row r="30" customFormat="false" ht="15" hidden="false" customHeight="false" outlineLevel="0" collapsed="false">
      <c r="A30" s="2"/>
      <c r="B30" s="18" t="s">
        <v>983</v>
      </c>
      <c r="C30" s="51" t="n">
        <f aca="false">Hypothèses!$C$26*Entrées!$C$17*1000</f>
        <v>24000</v>
      </c>
      <c r="D30" s="20" t="s">
        <v>74</v>
      </c>
      <c r="E30" s="20" t="s">
        <v>984</v>
      </c>
    </row>
    <row r="31" customFormat="false" ht="15" hidden="false" customHeight="false" outlineLevel="0" collapsed="false">
      <c r="A31" s="2"/>
      <c r="B31" s="18" t="s">
        <v>985</v>
      </c>
      <c r="C31" s="51" t="n">
        <f aca="false">Hypothèses!$C$26*Trajectoire!$D$41</f>
        <v>23944.29152183</v>
      </c>
      <c r="D31" s="20" t="s">
        <v>74</v>
      </c>
      <c r="E31" s="20" t="s">
        <v>986</v>
      </c>
    </row>
    <row r="32" customFormat="false" ht="15" hidden="false" customHeight="false" outlineLevel="0" collapsed="false">
      <c r="A32" s="2"/>
      <c r="B32" s="5" t="s">
        <v>987</v>
      </c>
      <c r="C32" s="52" t="n">
        <f aca="false">Hypothèses!$C$26*500</f>
        <v>1500</v>
      </c>
      <c r="D32" s="20" t="s">
        <v>74</v>
      </c>
      <c r="E32" s="20" t="s">
        <v>988</v>
      </c>
    </row>
    <row r="33" customFormat="false" ht="15" hidden="false" customHeight="false" outlineLevel="0" collapsed="false">
      <c r="A33" s="2"/>
      <c r="B33" s="2"/>
      <c r="C33" s="2"/>
      <c r="D33" s="2"/>
      <c r="E33" s="2"/>
    </row>
    <row r="34" customFormat="false" ht="15" hidden="false" customHeight="false" outlineLevel="0" collapsed="false">
      <c r="A34" s="18" t="s">
        <v>989</v>
      </c>
      <c r="B34" s="18" t="s">
        <v>990</v>
      </c>
      <c r="C34" s="2"/>
      <c r="D34" s="2"/>
      <c r="E34" s="2"/>
    </row>
    <row r="35" customFormat="false" ht="15" hidden="false" customHeight="false" outlineLevel="0" collapsed="false">
      <c r="A35" s="2"/>
      <c r="B35" s="5" t="s">
        <v>491</v>
      </c>
      <c r="C35" s="54" t="n">
        <f aca="false">Entrées!$C$143/100</f>
        <v>0.213</v>
      </c>
      <c r="D35" s="20" t="s">
        <v>270</v>
      </c>
      <c r="E35" s="20" t="s">
        <v>519</v>
      </c>
    </row>
    <row r="36" customFormat="false" ht="15" hidden="false" customHeight="false" outlineLevel="0" collapsed="false">
      <c r="A36" s="2"/>
      <c r="B36" s="5" t="s">
        <v>491</v>
      </c>
      <c r="C36" s="54" t="n">
        <f aca="false">Entrées!$C$135/100</f>
        <v>0.203</v>
      </c>
      <c r="D36" s="20" t="s">
        <v>270</v>
      </c>
      <c r="E36" s="20" t="s">
        <v>490</v>
      </c>
    </row>
    <row r="37" customFormat="false" ht="15" hidden="false" customHeight="false" outlineLevel="0" collapsed="false">
      <c r="A37" s="2"/>
      <c r="B37" s="5" t="s">
        <v>991</v>
      </c>
      <c r="C37" s="54" t="n">
        <f aca="false">Entrées!$C$136/100</f>
        <v>0.18</v>
      </c>
      <c r="D37" s="20" t="s">
        <v>270</v>
      </c>
      <c r="E37" s="20" t="s">
        <v>496</v>
      </c>
    </row>
    <row r="38" customFormat="false" ht="15" hidden="false" customHeight="false" outlineLevel="0" collapsed="false">
      <c r="A38" s="2"/>
      <c r="B38" s="5" t="s">
        <v>992</v>
      </c>
      <c r="C38" s="54" t="n">
        <f aca="false">Entrées!$C$137/100</f>
        <v>0.19</v>
      </c>
      <c r="D38" s="20" t="s">
        <v>270</v>
      </c>
      <c r="E38" s="20" t="s">
        <v>500</v>
      </c>
    </row>
    <row r="39" customFormat="false" ht="15" hidden="false" customHeight="false" outlineLevel="0" collapsed="false">
      <c r="A39" s="2"/>
      <c r="B39" s="5" t="s">
        <v>993</v>
      </c>
      <c r="C39" s="55" t="str">
        <f aca="false">Entrées!$C$140</f>
        <v>high teens</v>
      </c>
      <c r="D39" s="20"/>
      <c r="E39" s="20" t="s">
        <v>994</v>
      </c>
    </row>
    <row r="40" customFormat="false" ht="15" hidden="false" customHeight="false" outlineLevel="0" collapsed="false">
      <c r="A40" s="2"/>
      <c r="B40" s="18" t="s">
        <v>995</v>
      </c>
      <c r="C40" s="56" t="n">
        <f aca="false">Entrées!$C$151/100</f>
        <v>0.18</v>
      </c>
      <c r="D40" s="20" t="s">
        <v>270</v>
      </c>
      <c r="E40" s="20" t="s">
        <v>540</v>
      </c>
    </row>
    <row r="41" customFormat="false" ht="15" hidden="false" customHeight="false" outlineLevel="0" collapsed="false">
      <c r="A41" s="2"/>
      <c r="B41" s="5" t="s">
        <v>996</v>
      </c>
      <c r="C41" s="54" t="n">
        <f aca="false">Entrées!$C$152/100</f>
        <v>0.2</v>
      </c>
      <c r="D41" s="20" t="s">
        <v>270</v>
      </c>
      <c r="E41" s="20" t="s">
        <v>997</v>
      </c>
    </row>
    <row r="42" customFormat="false" ht="15" hidden="false" customHeight="false" outlineLevel="0" collapsed="false">
      <c r="A42" s="2"/>
      <c r="B42" s="5" t="s">
        <v>998</v>
      </c>
      <c r="C42" s="52" t="n">
        <f aca="false">Entrées!$C$138*1000</f>
        <v>25400</v>
      </c>
      <c r="D42" s="20" t="s">
        <v>74</v>
      </c>
      <c r="E42" s="20" t="s">
        <v>503</v>
      </c>
    </row>
    <row r="43" customFormat="false" ht="15" hidden="false" customHeight="false" outlineLevel="0" collapsed="false">
      <c r="A43" s="2"/>
      <c r="B43" s="5" t="s">
        <v>999</v>
      </c>
      <c r="C43" s="52" t="n">
        <f aca="false">Entrées!$C$139*1000</f>
        <v>29000</v>
      </c>
      <c r="D43" s="20" t="s">
        <v>74</v>
      </c>
      <c r="E43" s="20" t="s">
        <v>506</v>
      </c>
    </row>
    <row r="44" customFormat="false" ht="15" hidden="false" customHeight="false" outlineLevel="0" collapsed="false">
      <c r="A44" s="2"/>
      <c r="B44" s="18" t="s">
        <v>1000</v>
      </c>
      <c r="C44" s="51" t="n">
        <f aca="false">Levier!$C$36*Levier!$C$42</f>
        <v>5156.2</v>
      </c>
      <c r="D44" s="20" t="s">
        <v>74</v>
      </c>
      <c r="E44" s="20" t="s">
        <v>1001</v>
      </c>
    </row>
    <row r="45" customFormat="false" ht="15" hidden="false" customHeight="false" outlineLevel="0" collapsed="false">
      <c r="A45" s="2"/>
      <c r="B45" s="18" t="s">
        <v>1002</v>
      </c>
      <c r="C45" s="51" t="n">
        <f aca="false">Levier!$C$40*Levier!$C$43</f>
        <v>5220</v>
      </c>
      <c r="D45" s="20" t="s">
        <v>74</v>
      </c>
      <c r="E45" s="20" t="s">
        <v>1003</v>
      </c>
    </row>
    <row r="46" customFormat="false" ht="15" hidden="false" customHeight="false" outlineLevel="0" collapsed="false">
      <c r="A46" s="2"/>
      <c r="B46" s="18" t="s">
        <v>1004</v>
      </c>
      <c r="C46" s="51" t="n">
        <f aca="false">Levier!$C$44-Levier!$C$45</f>
        <v>-63.7999999999993</v>
      </c>
      <c r="D46" s="20" t="s">
        <v>74</v>
      </c>
      <c r="E46" s="20" t="s">
        <v>1005</v>
      </c>
    </row>
    <row r="47" customFormat="false" ht="15" hidden="false" customHeight="false" outlineLevel="0" collapsed="false">
      <c r="A47" s="2"/>
      <c r="B47" s="5" t="s">
        <v>1006</v>
      </c>
      <c r="C47" s="52" t="n">
        <f aca="false">Levier!$C$44/Levier!$C$40</f>
        <v>28645.5555555556</v>
      </c>
      <c r="D47" s="20" t="s">
        <v>74</v>
      </c>
      <c r="E47" s="20" t="s">
        <v>1007</v>
      </c>
    </row>
    <row r="48" customFormat="false" ht="15" hidden="false" customHeight="false" outlineLevel="0" collapsed="false">
      <c r="A48" s="2"/>
      <c r="B48" s="5" t="s">
        <v>1008</v>
      </c>
      <c r="C48" s="52" t="n">
        <f aca="false">Levier!$C$42-Entrées!$C$13</f>
        <v>5743</v>
      </c>
      <c r="D48" s="20" t="s">
        <v>74</v>
      </c>
      <c r="E48" s="20" t="s">
        <v>1009</v>
      </c>
    </row>
    <row r="49" customFormat="false" ht="15" hidden="false" customHeight="false" outlineLevel="0" collapsed="false">
      <c r="A49" s="2"/>
      <c r="B49" s="2"/>
      <c r="C49" s="2"/>
      <c r="D49" s="2"/>
      <c r="E49" s="2"/>
    </row>
    <row r="50" customFormat="false" ht="15" hidden="false" customHeight="false" outlineLevel="0" collapsed="false">
      <c r="A50" s="18" t="s">
        <v>1010</v>
      </c>
      <c r="B50" s="18" t="s">
        <v>1011</v>
      </c>
      <c r="C50" s="2"/>
      <c r="D50" s="2"/>
      <c r="E50" s="2"/>
    </row>
    <row r="51" customFormat="false" ht="15" hidden="false" customHeight="false" outlineLevel="0" collapsed="false">
      <c r="A51" s="2"/>
      <c r="B51" s="5" t="s">
        <v>1012</v>
      </c>
      <c r="C51" s="48" t="n">
        <f aca="false">Entrées!$C$237</f>
        <v>29518</v>
      </c>
      <c r="D51" s="20" t="s">
        <v>74</v>
      </c>
      <c r="E51" s="20" t="s">
        <v>1013</v>
      </c>
    </row>
    <row r="52" customFormat="false" ht="15" hidden="false" customHeight="false" outlineLevel="0" collapsed="false">
      <c r="A52" s="2"/>
      <c r="B52" s="5" t="s">
        <v>1014</v>
      </c>
      <c r="C52" s="48" t="n">
        <f aca="false">Entrées!$C$238</f>
        <v>647</v>
      </c>
      <c r="D52" s="20" t="s">
        <v>74</v>
      </c>
      <c r="E52" s="20" t="s">
        <v>789</v>
      </c>
    </row>
    <row r="53" customFormat="false" ht="15" hidden="false" customHeight="false" outlineLevel="0" collapsed="false">
      <c r="A53" s="2"/>
      <c r="B53" s="5" t="s">
        <v>1015</v>
      </c>
      <c r="C53" s="48" t="n">
        <f aca="false">Entrées!$C$239</f>
        <v>2050</v>
      </c>
      <c r="D53" s="20" t="s">
        <v>74</v>
      </c>
      <c r="E53" s="20" t="s">
        <v>1016</v>
      </c>
    </row>
    <row r="54" customFormat="false" ht="15" hidden="false" customHeight="false" outlineLevel="0" collapsed="false">
      <c r="A54" s="2"/>
      <c r="B54" s="5" t="s">
        <v>1017</v>
      </c>
      <c r="C54" s="48" t="n">
        <f aca="false">Entrées!$C$240</f>
        <v>1014</v>
      </c>
      <c r="D54" s="20" t="s">
        <v>74</v>
      </c>
      <c r="E54" s="20" t="s">
        <v>795</v>
      </c>
    </row>
    <row r="55" customFormat="false" ht="15" hidden="false" customHeight="false" outlineLevel="0" collapsed="false">
      <c r="A55" s="2"/>
      <c r="B55" s="5" t="s">
        <v>1018</v>
      </c>
      <c r="C55" s="48" t="n">
        <f aca="false">Entrées!$C$241</f>
        <v>1650</v>
      </c>
      <c r="D55" s="20" t="s">
        <v>74</v>
      </c>
      <c r="E55" s="20" t="s">
        <v>798</v>
      </c>
    </row>
    <row r="56" customFormat="false" ht="15" hidden="false" customHeight="false" outlineLevel="0" collapsed="false">
      <c r="A56" s="2"/>
      <c r="B56" s="18" t="s">
        <v>1019</v>
      </c>
      <c r="C56" s="51" t="n">
        <f aca="false">SUM(C51:C55)</f>
        <v>34879</v>
      </c>
      <c r="D56" s="20" t="s">
        <v>74</v>
      </c>
      <c r="E56" s="20" t="s">
        <v>1020</v>
      </c>
    </row>
    <row r="57" customFormat="false" ht="15" hidden="false" customHeight="false" outlineLevel="0" collapsed="false">
      <c r="A57" s="2"/>
      <c r="B57" s="5" t="s">
        <v>1021</v>
      </c>
      <c r="C57" s="48" t="n">
        <f aca="false">Entrées!$C$242</f>
        <v>34879</v>
      </c>
      <c r="D57" s="20" t="s">
        <v>74</v>
      </c>
      <c r="E57" s="20" t="s">
        <v>801</v>
      </c>
    </row>
    <row r="58" customFormat="false" ht="15" hidden="false" customHeight="false" outlineLevel="0" collapsed="false">
      <c r="A58" s="2"/>
      <c r="B58" s="5" t="s">
        <v>1022</v>
      </c>
      <c r="C58" s="48" t="n">
        <f aca="false">Entrées!$C$243</f>
        <v>9475</v>
      </c>
      <c r="D58" s="20" t="s">
        <v>74</v>
      </c>
      <c r="E58" s="20" t="s">
        <v>1023</v>
      </c>
    </row>
    <row r="59" customFormat="false" ht="15" hidden="false" customHeight="false" outlineLevel="0" collapsed="false">
      <c r="A59" s="2"/>
      <c r="B59" s="18" t="s">
        <v>1024</v>
      </c>
      <c r="C59" s="51" t="n">
        <f aca="false">C57-C58</f>
        <v>25404</v>
      </c>
      <c r="D59" s="20" t="s">
        <v>74</v>
      </c>
      <c r="E59" s="20"/>
    </row>
    <row r="60" customFormat="false" ht="15" hidden="false" customHeight="false" outlineLevel="0" collapsed="false">
      <c r="A60" s="2"/>
      <c r="B60" s="5" t="s">
        <v>1025</v>
      </c>
      <c r="C60" s="48" t="n">
        <f aca="false">Entrées!$C$244</f>
        <v>25404</v>
      </c>
      <c r="D60" s="20" t="s">
        <v>74</v>
      </c>
      <c r="E60" s="20" t="s">
        <v>807</v>
      </c>
    </row>
    <row r="61" customFormat="false" ht="15" hidden="false" customHeight="false" outlineLevel="0" collapsed="false">
      <c r="A61" s="2"/>
      <c r="B61" s="5" t="s">
        <v>1026</v>
      </c>
      <c r="C61" s="52" t="n">
        <f aca="false">Entrées!$C$259-Entrées!$C$260-Entrées!$C$261+Entrées!$C$262</f>
        <v>19821</v>
      </c>
      <c r="D61" s="20" t="s">
        <v>74</v>
      </c>
      <c r="E61" s="20" t="s">
        <v>1027</v>
      </c>
    </row>
    <row r="62" customFormat="false" ht="15" hidden="false" customHeight="false" outlineLevel="0" collapsed="false">
      <c r="A62" s="2"/>
      <c r="B62" s="5" t="s">
        <v>1028</v>
      </c>
      <c r="C62" s="54" t="n">
        <f aca="false">Levier!$C$53/(Levier!$C$60-Entrées!$C$13)</f>
        <v>0.356707847572647</v>
      </c>
      <c r="D62" s="20" t="s">
        <v>270</v>
      </c>
      <c r="E62" s="20" t="s">
        <v>1029</v>
      </c>
    </row>
    <row r="63" customFormat="false" ht="15" hidden="false" customHeight="false" outlineLevel="0" collapsed="false">
      <c r="A63" s="2"/>
      <c r="B63" s="2"/>
      <c r="C63" s="2"/>
      <c r="D63" s="2"/>
      <c r="E63" s="2"/>
    </row>
    <row r="64" customFormat="false" ht="15" hidden="false" customHeight="false" outlineLevel="0" collapsed="false">
      <c r="A64" s="18" t="s">
        <v>1030</v>
      </c>
      <c r="B64" s="18" t="s">
        <v>1031</v>
      </c>
      <c r="C64" s="2"/>
      <c r="D64" s="2"/>
      <c r="E64" s="2"/>
    </row>
    <row r="65" customFormat="false" ht="15" hidden="false" customHeight="false" outlineLevel="0" collapsed="false">
      <c r="A65" s="2"/>
      <c r="B65" s="5" t="s">
        <v>1032</v>
      </c>
      <c r="C65" s="48" t="n">
        <f aca="false">Entrées!$C$251</f>
        <v>4655</v>
      </c>
      <c r="D65" s="20" t="s">
        <v>74</v>
      </c>
      <c r="E65" s="20" t="s">
        <v>825</v>
      </c>
    </row>
    <row r="66" customFormat="false" ht="15" hidden="false" customHeight="false" outlineLevel="0" collapsed="false">
      <c r="A66" s="2"/>
      <c r="B66" s="5" t="s">
        <v>1033</v>
      </c>
      <c r="C66" s="48" t="n">
        <f aca="false">Entrées!$C$250</f>
        <v>4948</v>
      </c>
      <c r="D66" s="20" t="s">
        <v>74</v>
      </c>
      <c r="E66" s="20" t="s">
        <v>823</v>
      </c>
    </row>
    <row r="67" customFormat="false" ht="15" hidden="false" customHeight="false" outlineLevel="0" collapsed="false">
      <c r="A67" s="2"/>
      <c r="B67" s="18" t="s">
        <v>1034</v>
      </c>
      <c r="C67" s="57" t="n">
        <f aca="false">Entrées!$C$249</f>
        <v>5160</v>
      </c>
      <c r="D67" s="20" t="s">
        <v>74</v>
      </c>
      <c r="E67" s="20" t="s">
        <v>820</v>
      </c>
    </row>
    <row r="68" customFormat="false" ht="15" hidden="false" customHeight="false" outlineLevel="0" collapsed="false">
      <c r="A68" s="2"/>
      <c r="B68" s="5" t="s">
        <v>1035</v>
      </c>
      <c r="C68" s="54" t="n">
        <f aca="false">C67/Entrées!$C$8</f>
        <v>0.731914893617021</v>
      </c>
      <c r="D68" s="20" t="s">
        <v>270</v>
      </c>
      <c r="E68" s="20" t="s">
        <v>1036</v>
      </c>
    </row>
    <row r="69" customFormat="false" ht="15" hidden="false" customHeight="false" outlineLevel="0" collapsed="false">
      <c r="A69" s="2"/>
      <c r="B69" s="5" t="s">
        <v>1037</v>
      </c>
      <c r="C69" s="54" t="n">
        <f aca="false">C67/Levier!$C$60</f>
        <v>0.203117619272556</v>
      </c>
      <c r="D69" s="20" t="s">
        <v>270</v>
      </c>
      <c r="E69" s="20"/>
    </row>
    <row r="70" customFormat="false" ht="15" hidden="false" customHeight="false" outlineLevel="0" collapsed="false">
      <c r="A70" s="2"/>
      <c r="B70" s="5" t="s">
        <v>1038</v>
      </c>
      <c r="C70" s="48" t="n">
        <f aca="false">Entrées!$C$252</f>
        <v>1341</v>
      </c>
      <c r="D70" s="20" t="s">
        <v>74</v>
      </c>
      <c r="E70" s="20" t="s">
        <v>827</v>
      </c>
    </row>
    <row r="71" customFormat="false" ht="15" hidden="false" customHeight="false" outlineLevel="0" collapsed="false">
      <c r="A71" s="2"/>
      <c r="B71" s="5" t="s">
        <v>1039</v>
      </c>
      <c r="C71" s="48" t="n">
        <f aca="false">Entrées!$C$253</f>
        <v>3819</v>
      </c>
      <c r="D71" s="20" t="s">
        <v>74</v>
      </c>
      <c r="E71" s="20" t="s">
        <v>830</v>
      </c>
    </row>
    <row r="72" customFormat="false" ht="15" hidden="false" customHeight="false" outlineLevel="0" collapsed="false">
      <c r="A72" s="2"/>
      <c r="B72" s="5" t="s">
        <v>1040</v>
      </c>
      <c r="C72" s="48" t="n">
        <f aca="false">Entrées!$C$256</f>
        <v>1162</v>
      </c>
      <c r="D72" s="20" t="s">
        <v>74</v>
      </c>
      <c r="E72" s="20" t="s">
        <v>839</v>
      </c>
    </row>
    <row r="73" customFormat="false" ht="15" hidden="false" customHeight="false" outlineLevel="0" collapsed="false">
      <c r="A73" s="2"/>
      <c r="B73" s="5" t="s">
        <v>1041</v>
      </c>
      <c r="C73" s="50" t="n">
        <f aca="false">Entrées!$C$257</f>
        <v>3.7</v>
      </c>
      <c r="D73" s="20" t="s">
        <v>104</v>
      </c>
      <c r="E73" s="20" t="s">
        <v>1042</v>
      </c>
    </row>
    <row r="74" customFormat="false" ht="15" hidden="false" customHeight="false" outlineLevel="0" collapsed="false">
      <c r="A74" s="2"/>
      <c r="B74" s="5" t="s">
        <v>1043</v>
      </c>
      <c r="C74" s="54" t="n">
        <f aca="false">Entrées!$C$232/100</f>
        <v>0.185</v>
      </c>
      <c r="D74" s="20" t="s">
        <v>270</v>
      </c>
      <c r="E74" s="20" t="s">
        <v>772</v>
      </c>
    </row>
    <row r="75" customFormat="false" ht="15" hidden="false" customHeight="false" outlineLevel="0" collapsed="false">
      <c r="A75" s="2"/>
      <c r="B75" s="5" t="s">
        <v>1044</v>
      </c>
      <c r="C75" s="54" t="n">
        <f aca="false">Entrées!$C$233/100</f>
        <v>0.195</v>
      </c>
      <c r="D75" s="20" t="s">
        <v>270</v>
      </c>
      <c r="E75" s="20" t="s">
        <v>775</v>
      </c>
    </row>
    <row r="76" customFormat="false" ht="43.5" hidden="false" customHeight="true" outlineLevel="0" collapsed="false">
      <c r="A76" s="2"/>
      <c r="B76" s="58" t="s">
        <v>1045</v>
      </c>
      <c r="C76" s="58"/>
      <c r="D76" s="58"/>
      <c r="E76" s="58"/>
    </row>
    <row r="77" customFormat="false" ht="43.5" hidden="false" customHeight="true" outlineLevel="0" collapsed="false">
      <c r="A77" s="2"/>
      <c r="B77" s="58" t="s">
        <v>1046</v>
      </c>
      <c r="C77" s="58"/>
      <c r="D77" s="58"/>
      <c r="E77" s="58"/>
    </row>
    <row r="78" customFormat="false" ht="15" hidden="false" customHeight="false" outlineLevel="0" collapsed="false">
      <c r="A78" s="2"/>
      <c r="B78" s="2"/>
      <c r="C78" s="2"/>
      <c r="D78" s="2"/>
      <c r="E78" s="2"/>
    </row>
    <row r="79" customFormat="false" ht="15" hidden="false" customHeight="false" outlineLevel="0" collapsed="false">
      <c r="A79" s="18" t="s">
        <v>1047</v>
      </c>
      <c r="B79" s="18" t="s">
        <v>1048</v>
      </c>
      <c r="C79" s="2"/>
      <c r="D79" s="2"/>
      <c r="E79" s="2"/>
    </row>
    <row r="80" customFormat="false" ht="15" hidden="false" customHeight="false" outlineLevel="0" collapsed="false">
      <c r="A80" s="17"/>
      <c r="B80" s="17" t="s">
        <v>1049</v>
      </c>
      <c r="C80" s="17" t="s">
        <v>1050</v>
      </c>
      <c r="D80" s="17" t="s">
        <v>1051</v>
      </c>
      <c r="E80" s="17" t="s">
        <v>1052</v>
      </c>
    </row>
    <row r="81" customFormat="false" ht="15" hidden="false" customHeight="false" outlineLevel="0" collapsed="false">
      <c r="A81" s="2"/>
      <c r="B81" s="5" t="s">
        <v>1053</v>
      </c>
      <c r="C81" s="59" t="n">
        <f aca="false">(Trajectoire!$D$44+0)/Trajectoire!$D$41</f>
        <v>2.80320887741352</v>
      </c>
      <c r="D81" s="52" t="n">
        <f aca="false">Hypothèses!$C$26*Trajectoire!$D$41-(Trajectoire!$D$44+0)</f>
        <v>1570.67466937297</v>
      </c>
      <c r="E81" s="20" t="s">
        <v>1054</v>
      </c>
    </row>
    <row r="82" customFormat="false" ht="15" hidden="false" customHeight="false" outlineLevel="0" collapsed="false">
      <c r="A82" s="2"/>
      <c r="B82" s="5" t="s">
        <v>1055</v>
      </c>
      <c r="C82" s="59" t="n">
        <f aca="false">(Trajectoire!$D$44+Hypothèses!$C$27*Entrées!$C$15*1000)/Trajectoire!$D$41</f>
        <v>3.06005506534074</v>
      </c>
      <c r="D82" s="52" t="n">
        <f aca="false">Hypothèses!$C$26*Trajectoire!$D$41-(Trajectoire!$D$44+Hypothèses!$C$27*Entrées!$C$15*1000)</f>
        <v>-479.325330627034</v>
      </c>
      <c r="E82" s="20" t="s">
        <v>1056</v>
      </c>
    </row>
    <row r="83" customFormat="false" ht="15" hidden="false" customHeight="false" outlineLevel="0" collapsed="false">
      <c r="A83" s="2"/>
      <c r="B83" s="5" t="s">
        <v>1057</v>
      </c>
      <c r="C83" s="59" t="n">
        <f aca="false">(Trajectoire!$D$44+Entrées!$C$15*1000)/Trajectoire!$D$41</f>
        <v>3.31690125326795</v>
      </c>
      <c r="D83" s="52" t="n">
        <f aca="false">Hypothèses!$C$26*Trajectoire!$D$41-(Trajectoire!$D$44+Entrées!$C$15*1000)</f>
        <v>-2529.32533062703</v>
      </c>
      <c r="E83" s="20" t="s">
        <v>1058</v>
      </c>
    </row>
    <row r="84" customFormat="false" ht="15" hidden="false" customHeight="false" outlineLevel="0" collapsed="false">
      <c r="A84" s="2"/>
      <c r="B84" s="5" t="s">
        <v>1059</v>
      </c>
      <c r="C84" s="59" t="n">
        <f aca="false">(Trajectoire!$D$44+Hypothèses!$C$27*Entrées!$C$15*1000+Entrées!$C$49)/Trajectoire!$D$41</f>
        <v>3.22168022749981</v>
      </c>
      <c r="D84" s="52" t="n">
        <f aca="false">Hypothèses!$C$26*Trajectoire!$D$41-(Trajectoire!$D$44+Hypothèses!$C$27*Entrées!$C$15*1000+Entrées!$C$49)</f>
        <v>-1769.32533062703</v>
      </c>
      <c r="E84" s="20" t="s">
        <v>1060</v>
      </c>
    </row>
    <row r="85" customFormat="false" ht="27.75" hidden="false" customHeight="true" outlineLevel="0" collapsed="false">
      <c r="A85" s="2"/>
      <c r="B85" s="58" t="s">
        <v>1061</v>
      </c>
      <c r="C85" s="58"/>
      <c r="D85" s="58"/>
      <c r="E85" s="58"/>
    </row>
  </sheetData>
  <mergeCells count="3">
    <mergeCell ref="B76:E76"/>
    <mergeCell ref="B77:E77"/>
    <mergeCell ref="B85:E8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1062</v>
      </c>
      <c r="B1" s="2"/>
      <c r="C1" s="2"/>
      <c r="D1" s="2"/>
      <c r="E1" s="2"/>
    </row>
    <row r="2" customFormat="false" ht="15" hidden="false" customHeight="false" outlineLevel="0" collapsed="false">
      <c r="A2" s="3" t="s">
        <v>1063</v>
      </c>
      <c r="B2" s="2"/>
      <c r="C2" s="2"/>
      <c r="D2" s="2"/>
      <c r="E2" s="2"/>
    </row>
    <row r="3" customFormat="false" ht="15" hidden="false" customHeight="false" outlineLevel="0" collapsed="false">
      <c r="A3" s="2"/>
      <c r="B3" s="2"/>
      <c r="C3" s="2"/>
      <c r="D3" s="2"/>
      <c r="E3" s="2"/>
    </row>
    <row r="4" customFormat="false" ht="15" hidden="false" customHeight="false" outlineLevel="0" collapsed="false">
      <c r="A4" s="18" t="s">
        <v>951</v>
      </c>
      <c r="B4" s="18" t="s">
        <v>1064</v>
      </c>
      <c r="C4" s="2"/>
      <c r="D4" s="2"/>
      <c r="E4" s="2"/>
    </row>
    <row r="5" customFormat="false" ht="15" hidden="false" customHeight="false" outlineLevel="0" collapsed="false">
      <c r="A5" s="17"/>
      <c r="B5" s="17" t="s">
        <v>1065</v>
      </c>
      <c r="C5" s="17" t="s">
        <v>74</v>
      </c>
      <c r="D5" s="17"/>
      <c r="E5" s="17" t="s">
        <v>871</v>
      </c>
    </row>
    <row r="6" customFormat="false" ht="15" hidden="false" customHeight="false" outlineLevel="0" collapsed="false">
      <c r="A6" s="2"/>
      <c r="B6" s="5" t="s">
        <v>958</v>
      </c>
      <c r="C6" s="48" t="n">
        <f aca="false">Entrées!$C$13</f>
        <v>19657</v>
      </c>
      <c r="D6" s="20"/>
      <c r="E6" s="20" t="s">
        <v>109</v>
      </c>
    </row>
    <row r="7" customFormat="false" ht="15" hidden="false" customHeight="false" outlineLevel="0" collapsed="false">
      <c r="A7" s="2"/>
      <c r="B7" s="5" t="s">
        <v>1066</v>
      </c>
      <c r="C7" s="48" t="n">
        <f aca="false">Entrées!$C$33</f>
        <v>-288</v>
      </c>
      <c r="D7" s="20"/>
      <c r="E7" s="20" t="s">
        <v>179</v>
      </c>
    </row>
    <row r="8" customFormat="false" ht="15" hidden="false" customHeight="false" outlineLevel="0" collapsed="false">
      <c r="A8" s="2"/>
      <c r="B8" s="5" t="s">
        <v>1067</v>
      </c>
      <c r="C8" s="48" t="n">
        <f aca="false">Entrées!$C$77</f>
        <v>-1394</v>
      </c>
      <c r="D8" s="20"/>
      <c r="E8" s="20" t="s">
        <v>324</v>
      </c>
    </row>
    <row r="9" customFormat="false" ht="15" hidden="false" customHeight="false" outlineLevel="0" collapsed="false">
      <c r="A9" s="2"/>
      <c r="B9" s="5" t="s">
        <v>1068</v>
      </c>
      <c r="C9" s="48" t="n">
        <f aca="false">Entrées!$C$80</f>
        <v>-2869</v>
      </c>
      <c r="D9" s="20"/>
      <c r="E9" s="20" t="s">
        <v>333</v>
      </c>
    </row>
    <row r="10" customFormat="false" ht="15" hidden="false" customHeight="false" outlineLevel="0" collapsed="false">
      <c r="A10" s="2"/>
      <c r="B10" s="5" t="s">
        <v>1069</v>
      </c>
      <c r="C10" s="48" t="n">
        <f aca="false">Entrées!$C$84</f>
        <v>-70</v>
      </c>
      <c r="D10" s="20"/>
      <c r="E10" s="20" t="s">
        <v>345</v>
      </c>
    </row>
    <row r="11" customFormat="false" ht="15" hidden="false" customHeight="false" outlineLevel="0" collapsed="false">
      <c r="A11" s="2"/>
      <c r="B11" s="5" t="s">
        <v>1070</v>
      </c>
      <c r="C11" s="48" t="n">
        <f aca="false">Entrées!$C$85</f>
        <v>10</v>
      </c>
      <c r="D11" s="20"/>
      <c r="E11" s="20" t="s">
        <v>348</v>
      </c>
    </row>
    <row r="12" customFormat="false" ht="15" hidden="false" customHeight="false" outlineLevel="0" collapsed="false">
      <c r="A12" s="2"/>
      <c r="B12" s="5" t="s">
        <v>1071</v>
      </c>
      <c r="C12" s="48" t="n">
        <f aca="false">Entrées!$C$83</f>
        <v>-260</v>
      </c>
      <c r="D12" s="20"/>
      <c r="E12" s="20" t="s">
        <v>342</v>
      </c>
    </row>
    <row r="13" customFormat="false" ht="15" hidden="false" customHeight="false" outlineLevel="0" collapsed="false">
      <c r="A13" s="2"/>
      <c r="B13" s="5" t="s">
        <v>1072</v>
      </c>
      <c r="C13" s="48" t="n">
        <f aca="false">Entrées!$C$86</f>
        <v>2</v>
      </c>
      <c r="D13" s="20"/>
      <c r="E13" s="20" t="s">
        <v>350</v>
      </c>
    </row>
    <row r="14" customFormat="false" ht="15" hidden="false" customHeight="false" outlineLevel="0" collapsed="false">
      <c r="A14" s="2"/>
      <c r="B14" s="18" t="s">
        <v>1073</v>
      </c>
      <c r="C14" s="51" t="n">
        <f aca="false">SUM(C7:C13)</f>
        <v>-4869</v>
      </c>
      <c r="D14" s="20"/>
      <c r="E14" s="20"/>
    </row>
    <row r="15" customFormat="false" ht="15" hidden="false" customHeight="false" outlineLevel="0" collapsed="false">
      <c r="A15" s="2"/>
      <c r="B15" s="5" t="s">
        <v>1074</v>
      </c>
      <c r="C15" s="48" t="n">
        <f aca="false">Entrées!$C$87</f>
        <v>-21</v>
      </c>
      <c r="D15" s="20"/>
      <c r="E15" s="20" t="s">
        <v>352</v>
      </c>
    </row>
    <row r="16" customFormat="false" ht="15" hidden="false" customHeight="false" outlineLevel="0" collapsed="false">
      <c r="A16" s="2"/>
      <c r="B16" s="18" t="s">
        <v>1075</v>
      </c>
      <c r="C16" s="51" t="n">
        <f aca="false">C6-C14-C15</f>
        <v>24547</v>
      </c>
      <c r="D16" s="20"/>
      <c r="E16" s="20" t="s">
        <v>1076</v>
      </c>
    </row>
    <row r="17" customFormat="false" ht="15" hidden="false" customHeight="false" outlineLevel="0" collapsed="false">
      <c r="A17" s="2"/>
      <c r="B17" s="5" t="s">
        <v>1077</v>
      </c>
      <c r="C17" s="48" t="n">
        <f aca="false">Entrées!$C$16</f>
        <v>24548</v>
      </c>
      <c r="D17" s="20"/>
      <c r="E17" s="20" t="s">
        <v>122</v>
      </c>
    </row>
    <row r="18" customFormat="false" ht="15" hidden="false" customHeight="false" outlineLevel="0" collapsed="false">
      <c r="A18" s="2"/>
      <c r="B18" s="5" t="s">
        <v>1078</v>
      </c>
      <c r="C18" s="48" t="n">
        <f aca="false">Entrées!$C$81</f>
        <v>-2778</v>
      </c>
      <c r="D18" s="20"/>
      <c r="E18" s="20" t="s">
        <v>336</v>
      </c>
    </row>
    <row r="19" customFormat="false" ht="15" hidden="false" customHeight="false" outlineLevel="0" collapsed="false">
      <c r="A19" s="2"/>
      <c r="B19" s="5" t="s">
        <v>1079</v>
      </c>
      <c r="C19" s="48" t="n">
        <f aca="false">Entrées!$C$82</f>
        <v>-137</v>
      </c>
      <c r="D19" s="20"/>
      <c r="E19" s="20" t="s">
        <v>339</v>
      </c>
    </row>
    <row r="20" customFormat="false" ht="15" hidden="false" customHeight="false" outlineLevel="0" collapsed="false">
      <c r="A20" s="2"/>
      <c r="B20" s="18" t="s">
        <v>1080</v>
      </c>
      <c r="C20" s="51" t="n">
        <f aca="false">-C18-Entrées!$C$46</f>
        <v>236</v>
      </c>
      <c r="D20" s="20"/>
      <c r="E20" s="20" t="s">
        <v>1081</v>
      </c>
    </row>
    <row r="21" customFormat="false" ht="15" hidden="false" customHeight="false" outlineLevel="0" collapsed="false">
      <c r="A21" s="2"/>
      <c r="B21" s="2"/>
      <c r="C21" s="2"/>
      <c r="D21" s="2"/>
      <c r="E21" s="2"/>
    </row>
    <row r="22" customFormat="false" ht="15" hidden="false" customHeight="false" outlineLevel="0" collapsed="false">
      <c r="A22" s="18" t="s">
        <v>964</v>
      </c>
      <c r="B22" s="18" t="s">
        <v>1082</v>
      </c>
      <c r="C22" s="2"/>
      <c r="D22" s="2"/>
      <c r="E22" s="2"/>
    </row>
    <row r="23" customFormat="false" ht="15" hidden="false" customHeight="false" outlineLevel="0" collapsed="false">
      <c r="A23" s="17"/>
      <c r="B23" s="17" t="s">
        <v>1065</v>
      </c>
      <c r="C23" s="17" t="s">
        <v>74</v>
      </c>
      <c r="D23" s="17"/>
      <c r="E23" s="17" t="s">
        <v>871</v>
      </c>
    </row>
    <row r="24" customFormat="false" ht="15" hidden="false" customHeight="false" outlineLevel="0" collapsed="false">
      <c r="A24" s="2"/>
      <c r="B24" s="5" t="s">
        <v>953</v>
      </c>
      <c r="C24" s="48" t="n">
        <f aca="false">Entrées!$C$28</f>
        <v>17819</v>
      </c>
      <c r="D24" s="20"/>
      <c r="E24" s="20" t="s">
        <v>163</v>
      </c>
    </row>
    <row r="25" customFormat="false" ht="15" hidden="false" customHeight="false" outlineLevel="0" collapsed="false">
      <c r="A25" s="2"/>
      <c r="B25" s="5" t="s">
        <v>1066</v>
      </c>
      <c r="C25" s="48" t="n">
        <f aca="false">Entrées!$C$34</f>
        <v>1178</v>
      </c>
      <c r="D25" s="20"/>
      <c r="E25" s="20" t="s">
        <v>182</v>
      </c>
    </row>
    <row r="26" customFormat="false" ht="15" hidden="false" customHeight="false" outlineLevel="0" collapsed="false">
      <c r="A26" s="2"/>
      <c r="B26" s="5" t="s">
        <v>1068</v>
      </c>
      <c r="C26" s="48" t="n">
        <f aca="false">Entrées!$C$69</f>
        <v>-2301</v>
      </c>
      <c r="D26" s="20"/>
      <c r="E26" s="20" t="s">
        <v>301</v>
      </c>
    </row>
    <row r="27" customFormat="false" ht="15" hidden="false" customHeight="false" outlineLevel="0" collapsed="false">
      <c r="A27" s="2"/>
      <c r="B27" s="5" t="s">
        <v>1083</v>
      </c>
      <c r="C27" s="48" t="n">
        <f aca="false">Entrées!$C$70</f>
        <v>-1023</v>
      </c>
      <c r="D27" s="20"/>
      <c r="E27" s="20" t="s">
        <v>304</v>
      </c>
    </row>
    <row r="28" customFormat="false" ht="15" hidden="false" customHeight="false" outlineLevel="0" collapsed="false">
      <c r="A28" s="2"/>
      <c r="B28" s="5" t="s">
        <v>1084</v>
      </c>
      <c r="C28" s="48" t="n">
        <f aca="false">Entrées!$C$71</f>
        <v>497</v>
      </c>
      <c r="D28" s="20"/>
      <c r="E28" s="20" t="s">
        <v>307</v>
      </c>
    </row>
    <row r="29" customFormat="false" ht="15" hidden="false" customHeight="false" outlineLevel="0" collapsed="false">
      <c r="A29" s="2"/>
      <c r="B29" s="5" t="s">
        <v>1085</v>
      </c>
      <c r="C29" s="48" t="n">
        <f aca="false">Entrées!$C$72</f>
        <v>318</v>
      </c>
      <c r="D29" s="20"/>
      <c r="E29" s="20" t="s">
        <v>310</v>
      </c>
    </row>
    <row r="30" customFormat="false" ht="15" hidden="false" customHeight="false" outlineLevel="0" collapsed="false">
      <c r="A30" s="2"/>
      <c r="B30" s="5" t="s">
        <v>1086</v>
      </c>
      <c r="C30" s="48" t="n">
        <f aca="false">Entrées!$C$73</f>
        <v>-402</v>
      </c>
      <c r="D30" s="20"/>
      <c r="E30" s="20" t="s">
        <v>313</v>
      </c>
    </row>
    <row r="31" customFormat="false" ht="15" hidden="false" customHeight="false" outlineLevel="0" collapsed="false">
      <c r="A31" s="2"/>
      <c r="B31" s="5" t="s">
        <v>1087</v>
      </c>
      <c r="C31" s="48" t="n">
        <f aca="false">Entrées!$C$74</f>
        <v>293</v>
      </c>
      <c r="D31" s="20"/>
      <c r="E31" s="20" t="s">
        <v>316</v>
      </c>
    </row>
    <row r="32" customFormat="false" ht="15" hidden="false" customHeight="false" outlineLevel="0" collapsed="false">
      <c r="A32" s="2"/>
      <c r="B32" s="18" t="s">
        <v>1088</v>
      </c>
      <c r="C32" s="51" t="n">
        <f aca="false">SUM(C25:C31)</f>
        <v>-1440</v>
      </c>
      <c r="D32" s="20"/>
      <c r="E32" s="20"/>
    </row>
    <row r="33" customFormat="false" ht="15" hidden="false" customHeight="false" outlineLevel="0" collapsed="false">
      <c r="A33" s="2"/>
      <c r="B33" s="5" t="s">
        <v>1089</v>
      </c>
      <c r="C33" s="52" t="n">
        <f aca="false">C24-C32</f>
        <v>19259</v>
      </c>
      <c r="D33" s="20"/>
      <c r="E33" s="20"/>
    </row>
    <row r="34" customFormat="false" ht="15" hidden="false" customHeight="false" outlineLevel="0" collapsed="false">
      <c r="A34" s="2"/>
      <c r="B34" s="5" t="s">
        <v>1090</v>
      </c>
      <c r="C34" s="48" t="n">
        <f aca="false">Entrées!$C$13</f>
        <v>19657</v>
      </c>
      <c r="D34" s="20"/>
      <c r="E34" s="20" t="s">
        <v>109</v>
      </c>
    </row>
    <row r="35" customFormat="false" ht="15" hidden="false" customHeight="false" outlineLevel="0" collapsed="false">
      <c r="A35" s="2"/>
      <c r="B35" s="18" t="s">
        <v>1091</v>
      </c>
      <c r="C35" s="51" t="n">
        <f aca="false">C34-C33</f>
        <v>398</v>
      </c>
      <c r="D35" s="20"/>
      <c r="E35" s="20" t="s">
        <v>1092</v>
      </c>
    </row>
    <row r="36" customFormat="false" ht="15" hidden="false" customHeight="false" outlineLevel="0" collapsed="false">
      <c r="A36" s="2"/>
      <c r="B36" s="5" t="s">
        <v>1093</v>
      </c>
      <c r="C36" s="52" t="n">
        <f aca="false">-Entrées!$C$78+Entrées!$C$70</f>
        <v>244</v>
      </c>
      <c r="D36" s="20"/>
      <c r="E36" s="20" t="s">
        <v>1094</v>
      </c>
    </row>
    <row r="37" customFormat="false" ht="15" hidden="false" customHeight="false" outlineLevel="0" collapsed="false">
      <c r="A37" s="2"/>
      <c r="B37" s="2"/>
      <c r="C37" s="2"/>
      <c r="D37" s="2"/>
      <c r="E37" s="2"/>
    </row>
    <row r="38" customFormat="false" ht="15" hidden="false" customHeight="false" outlineLevel="0" collapsed="false">
      <c r="A38" s="18" t="s">
        <v>1047</v>
      </c>
      <c r="B38" s="18" t="s">
        <v>1095</v>
      </c>
      <c r="C38" s="2"/>
      <c r="D38" s="2"/>
      <c r="E38" s="2"/>
    </row>
    <row r="39" customFormat="false" ht="15" hidden="false" customHeight="false" outlineLevel="0" collapsed="false">
      <c r="A39" s="2"/>
      <c r="B39" s="5" t="s">
        <v>1096</v>
      </c>
      <c r="C39" s="48" t="n">
        <f aca="false">Entrées!$C$75</f>
        <v>-451</v>
      </c>
      <c r="D39" s="20"/>
      <c r="E39" s="20" t="s">
        <v>319</v>
      </c>
    </row>
    <row r="40" customFormat="false" ht="15" hidden="false" customHeight="false" outlineLevel="0" collapsed="false">
      <c r="A40" s="2"/>
      <c r="B40" s="18" t="s">
        <v>1097</v>
      </c>
      <c r="C40" s="51" t="n">
        <f aca="false">Entrées!$C$34-Entrées!$C$75</f>
        <v>1629</v>
      </c>
      <c r="D40" s="20"/>
      <c r="E40" s="20" t="s">
        <v>1098</v>
      </c>
    </row>
    <row r="41" customFormat="false" ht="15" hidden="false" customHeight="false" outlineLevel="0" collapsed="false">
      <c r="A41" s="2"/>
      <c r="B41" s="5" t="s">
        <v>1099</v>
      </c>
      <c r="C41" s="48" t="n">
        <f aca="false">Entrées!$C$89</f>
        <v>-1171</v>
      </c>
      <c r="D41" s="20"/>
      <c r="E41" s="20" t="s">
        <v>358</v>
      </c>
    </row>
    <row r="42" customFormat="false" ht="15" hidden="false" customHeight="false" outlineLevel="0" collapsed="false">
      <c r="A42" s="2"/>
      <c r="B42" s="5" t="s">
        <v>1100</v>
      </c>
      <c r="C42" s="48" t="n">
        <f aca="false">Entrées!$C$88</f>
        <v>-1238</v>
      </c>
      <c r="D42" s="20"/>
      <c r="E42" s="20" t="s">
        <v>355</v>
      </c>
    </row>
    <row r="43" customFormat="false" ht="15" hidden="false" customHeight="false" outlineLevel="0" collapsed="false">
      <c r="A43" s="2"/>
      <c r="B43" s="5" t="s">
        <v>1101</v>
      </c>
      <c r="C43" s="48" t="n">
        <f aca="false">Entrées!$C$76</f>
        <v>20764</v>
      </c>
      <c r="D43" s="20"/>
      <c r="E43" s="20" t="s">
        <v>321</v>
      </c>
    </row>
    <row r="44" customFormat="false" ht="15" hidden="false" customHeight="false" outlineLevel="0" collapsed="false">
      <c r="A44" s="2"/>
      <c r="B44" s="5" t="s">
        <v>1102</v>
      </c>
      <c r="C44" s="48" t="n">
        <f aca="false">Entrées!$C$13</f>
        <v>19657</v>
      </c>
      <c r="D44" s="20"/>
      <c r="E44" s="20" t="s">
        <v>109</v>
      </c>
    </row>
    <row r="45" customFormat="false" ht="15" hidden="false" customHeight="false" outlineLevel="0" collapsed="false">
      <c r="A45" s="2"/>
      <c r="B45" s="18" t="s">
        <v>1103</v>
      </c>
      <c r="C45" s="51" t="n">
        <f aca="false">C43-C44</f>
        <v>1107</v>
      </c>
      <c r="D45" s="20"/>
      <c r="E45" s="20"/>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7.35" hidden="false" customHeight="false" outlineLevel="0" collapsed="false">
      <c r="A1" s="1" t="s">
        <v>1104</v>
      </c>
      <c r="B1" s="2"/>
      <c r="C1" s="2"/>
      <c r="D1" s="2"/>
      <c r="E1" s="2"/>
    </row>
    <row r="2" customFormat="false" ht="15" hidden="false" customHeight="false" outlineLevel="0" collapsed="false">
      <c r="A2" s="3" t="s">
        <v>1105</v>
      </c>
      <c r="B2" s="2"/>
      <c r="C2" s="2"/>
      <c r="D2" s="2"/>
      <c r="E2" s="2"/>
    </row>
    <row r="3" customFormat="false" ht="15" hidden="false" customHeight="false" outlineLevel="0" collapsed="false">
      <c r="A3" s="2"/>
      <c r="B3" s="2"/>
      <c r="C3" s="2"/>
      <c r="D3" s="2"/>
      <c r="E3" s="2"/>
    </row>
    <row r="4" customFormat="false" ht="15" hidden="false" customHeight="false" outlineLevel="0" collapsed="false">
      <c r="A4" s="18" t="s">
        <v>951</v>
      </c>
      <c r="B4" s="18" t="s">
        <v>1106</v>
      </c>
      <c r="C4" s="2"/>
      <c r="D4" s="2"/>
      <c r="E4" s="2"/>
    </row>
    <row r="5" customFormat="false" ht="15" hidden="false" customHeight="false" outlineLevel="0" collapsed="false">
      <c r="A5" s="17"/>
      <c r="B5" s="17" t="s">
        <v>1107</v>
      </c>
      <c r="C5" s="17" t="s">
        <v>84</v>
      </c>
      <c r="D5" s="17"/>
      <c r="E5" s="17" t="s">
        <v>871</v>
      </c>
    </row>
    <row r="6" customFormat="false" ht="15" hidden="false" customHeight="false" outlineLevel="0" collapsed="false">
      <c r="A6" s="2"/>
      <c r="B6" s="5" t="s">
        <v>1108</v>
      </c>
      <c r="C6" s="60" t="n">
        <f aca="false">Entrées!$C$95</f>
        <v>1.9</v>
      </c>
      <c r="D6" s="20"/>
      <c r="E6" s="20" t="s">
        <v>375</v>
      </c>
    </row>
    <row r="7" customFormat="false" ht="15" hidden="false" customHeight="false" outlineLevel="0" collapsed="false">
      <c r="A7" s="2"/>
      <c r="B7" s="5" t="s">
        <v>1109</v>
      </c>
      <c r="C7" s="60" t="n">
        <f aca="false">Entrées!$C$96</f>
        <v>1.5</v>
      </c>
      <c r="D7" s="20"/>
      <c r="E7" s="20" t="s">
        <v>378</v>
      </c>
    </row>
    <row r="8" customFormat="false" ht="15" hidden="false" customHeight="false" outlineLevel="0" collapsed="false">
      <c r="A8" s="2"/>
      <c r="B8" s="5" t="s">
        <v>1110</v>
      </c>
      <c r="C8" s="61" t="n">
        <f aca="false">-Entrées!$C$97</f>
        <v>-0.3</v>
      </c>
      <c r="D8" s="20"/>
      <c r="E8" s="20" t="s">
        <v>381</v>
      </c>
    </row>
    <row r="9" customFormat="false" ht="15" hidden="false" customHeight="false" outlineLevel="0" collapsed="false">
      <c r="A9" s="2"/>
      <c r="B9" s="18" t="s">
        <v>1111</v>
      </c>
      <c r="C9" s="62" t="n">
        <f aca="false">SUM(C6:C8)</f>
        <v>3.1</v>
      </c>
      <c r="D9" s="20"/>
      <c r="E9" s="20"/>
    </row>
    <row r="10" customFormat="false" ht="15" hidden="false" customHeight="false" outlineLevel="0" collapsed="false">
      <c r="A10" s="2"/>
      <c r="B10" s="5" t="s">
        <v>1112</v>
      </c>
      <c r="C10" s="60" t="n">
        <f aca="false">Entrées!$C$12</f>
        <v>3.1</v>
      </c>
      <c r="D10" s="20"/>
      <c r="E10" s="20" t="s">
        <v>106</v>
      </c>
    </row>
    <row r="11" customFormat="false" ht="15" hidden="false" customHeight="false" outlineLevel="0" collapsed="false">
      <c r="A11" s="2"/>
      <c r="B11" s="2"/>
      <c r="C11" s="2"/>
      <c r="D11" s="2"/>
      <c r="E11" s="2"/>
    </row>
    <row r="12" customFormat="false" ht="15" hidden="false" customHeight="false" outlineLevel="0" collapsed="false">
      <c r="A12" s="2"/>
      <c r="B12" s="5" t="s">
        <v>1113</v>
      </c>
      <c r="C12" s="60" t="n">
        <f aca="false">Entrées!$C$10</f>
        <v>0.5</v>
      </c>
      <c r="D12" s="20"/>
      <c r="E12" s="20" t="s">
        <v>99</v>
      </c>
    </row>
    <row r="13" customFormat="false" ht="15" hidden="false" customHeight="false" outlineLevel="0" collapsed="false">
      <c r="A13" s="2"/>
      <c r="B13" s="5" t="s">
        <v>1114</v>
      </c>
      <c r="C13" s="60" t="n">
        <f aca="false">Entrées!$C$26</f>
        <v>1</v>
      </c>
      <c r="D13" s="20"/>
      <c r="E13" s="20" t="s">
        <v>157</v>
      </c>
    </row>
    <row r="14" customFormat="false" ht="15" hidden="false" customHeight="false" outlineLevel="0" collapsed="false">
      <c r="A14" s="2"/>
      <c r="B14" s="5" t="s">
        <v>1115</v>
      </c>
      <c r="C14" s="60" t="n">
        <f aca="false">Entrées!$C$23</f>
        <v>0.5</v>
      </c>
      <c r="D14" s="20"/>
      <c r="E14" s="20" t="s">
        <v>150</v>
      </c>
    </row>
    <row r="15" customFormat="false" ht="15" hidden="false" customHeight="false" outlineLevel="0" collapsed="false">
      <c r="A15" s="2"/>
      <c r="B15" s="5" t="s">
        <v>1116</v>
      </c>
      <c r="C15" s="61" t="n">
        <f aca="false">C12-C14</f>
        <v>0</v>
      </c>
      <c r="D15" s="20"/>
      <c r="E15" s="20"/>
    </row>
    <row r="16" customFormat="false" ht="15" hidden="false" customHeight="false" outlineLevel="0" collapsed="false">
      <c r="A16" s="2"/>
      <c r="B16" s="18" t="s">
        <v>1117</v>
      </c>
      <c r="C16" s="62" t="n">
        <f aca="false">C13-C14</f>
        <v>0.5</v>
      </c>
      <c r="D16" s="20"/>
      <c r="E16" s="20"/>
    </row>
    <row r="17" customFormat="false" ht="15" hidden="false" customHeight="false" outlineLevel="0" collapsed="false">
      <c r="A17" s="2"/>
      <c r="B17" s="5" t="s">
        <v>1118</v>
      </c>
      <c r="C17" s="60" t="n">
        <f aca="false">Entrées!$C$7</f>
        <v>0.5</v>
      </c>
      <c r="D17" s="20"/>
      <c r="E17" s="20" t="s">
        <v>82</v>
      </c>
    </row>
    <row r="18" customFormat="false" ht="42" hidden="false" customHeight="true" outlineLevel="0" collapsed="false">
      <c r="A18" s="2"/>
      <c r="B18" s="58" t="s">
        <v>1119</v>
      </c>
      <c r="C18" s="58"/>
      <c r="D18" s="58"/>
      <c r="E18" s="58"/>
    </row>
    <row r="19" customFormat="false" ht="15" hidden="false" customHeight="false" outlineLevel="0" collapsed="false">
      <c r="A19" s="2"/>
      <c r="B19" s="2"/>
      <c r="C19" s="2"/>
      <c r="D19" s="2"/>
      <c r="E19" s="2"/>
    </row>
    <row r="20" customFormat="false" ht="15" hidden="false" customHeight="false" outlineLevel="0" collapsed="false">
      <c r="A20" s="18" t="s">
        <v>964</v>
      </c>
      <c r="B20" s="18" t="s">
        <v>1120</v>
      </c>
      <c r="C20" s="2"/>
      <c r="D20" s="2"/>
      <c r="E20" s="2"/>
    </row>
    <row r="21" customFormat="false" ht="15" hidden="false" customHeight="false" outlineLevel="0" collapsed="false">
      <c r="A21" s="2"/>
      <c r="B21" s="5" t="s">
        <v>1121</v>
      </c>
      <c r="C21" s="61" t="n">
        <f aca="false">-Entrées!$C$81/1000</f>
        <v>2.778</v>
      </c>
      <c r="D21" s="20" t="s">
        <v>101</v>
      </c>
      <c r="E21" s="20" t="s">
        <v>336</v>
      </c>
    </row>
    <row r="22" customFormat="false" ht="15" hidden="false" customHeight="false" outlineLevel="0" collapsed="false">
      <c r="A22" s="2"/>
      <c r="B22" s="5" t="s">
        <v>1122</v>
      </c>
      <c r="C22" s="61" t="n">
        <f aca="false">$C$17*4</f>
        <v>2</v>
      </c>
      <c r="D22" s="20" t="s">
        <v>101</v>
      </c>
      <c r="E22" s="20" t="s">
        <v>1123</v>
      </c>
    </row>
    <row r="23" customFormat="false" ht="15" hidden="false" customHeight="false" outlineLevel="0" collapsed="false">
      <c r="A23" s="2"/>
      <c r="B23" s="18" t="s">
        <v>1124</v>
      </c>
      <c r="C23" s="63" t="n">
        <f aca="false">C21/$C$17</f>
        <v>5.556</v>
      </c>
      <c r="D23" s="20" t="s">
        <v>1125</v>
      </c>
      <c r="E23" s="20"/>
    </row>
    <row r="24" customFormat="false" ht="15" hidden="false" customHeight="false" outlineLevel="0" collapsed="false">
      <c r="A24" s="2"/>
      <c r="B24" s="5" t="s">
        <v>1126</v>
      </c>
      <c r="C24" s="60" t="n">
        <f aca="false">Entrées!$C$30</f>
        <v>2</v>
      </c>
      <c r="D24" s="20" t="s">
        <v>101</v>
      </c>
      <c r="E24" s="20" t="s">
        <v>168</v>
      </c>
    </row>
    <row r="25" customFormat="false" ht="15" hidden="false" customHeight="false" outlineLevel="0" collapsed="false">
      <c r="A25" s="2"/>
      <c r="B25" s="18" t="s">
        <v>1127</v>
      </c>
      <c r="C25" s="62" t="n">
        <f aca="false">C21-C24</f>
        <v>0.778</v>
      </c>
      <c r="D25" s="20" t="s">
        <v>101</v>
      </c>
      <c r="E25" s="20"/>
    </row>
    <row r="26" customFormat="false" ht="15" hidden="false" customHeight="false" outlineLevel="0" collapsed="false">
      <c r="A26" s="2"/>
      <c r="B26" s="5" t="s">
        <v>1128</v>
      </c>
      <c r="C26" s="64" t="n">
        <f aca="false">C25/$C$17</f>
        <v>1.556</v>
      </c>
      <c r="D26" s="20" t="s">
        <v>1125</v>
      </c>
      <c r="E26" s="20"/>
    </row>
    <row r="27" customFormat="false" ht="15" hidden="false" customHeight="false" outlineLevel="0" collapsed="false">
      <c r="A27" s="2"/>
      <c r="B27" s="5" t="s">
        <v>1129</v>
      </c>
      <c r="C27" s="60" t="n">
        <f aca="false">Entrées!$C$37</f>
        <v>8</v>
      </c>
      <c r="D27" s="20" t="s">
        <v>101</v>
      </c>
      <c r="E27" s="20" t="s">
        <v>191</v>
      </c>
    </row>
    <row r="28" customFormat="false" ht="42" hidden="false" customHeight="true" outlineLevel="0" collapsed="false">
      <c r="A28" s="2"/>
      <c r="B28" s="58" t="s">
        <v>1130</v>
      </c>
      <c r="C28" s="58"/>
      <c r="D28" s="58"/>
      <c r="E28" s="58"/>
    </row>
    <row r="29" customFormat="false" ht="15" hidden="false" customHeight="false" outlineLevel="0" collapsed="false">
      <c r="A29" s="2"/>
      <c r="B29" s="2"/>
      <c r="C29" s="2"/>
      <c r="D29" s="2"/>
      <c r="E29" s="2"/>
    </row>
    <row r="30" customFormat="false" ht="15" hidden="false" customHeight="false" outlineLevel="0" collapsed="false">
      <c r="A30" s="18" t="s">
        <v>1047</v>
      </c>
      <c r="B30" s="18" t="s">
        <v>1131</v>
      </c>
      <c r="C30" s="2"/>
      <c r="D30" s="2"/>
      <c r="E30" s="2"/>
    </row>
    <row r="31" customFormat="false" ht="15" hidden="false" customHeight="false" outlineLevel="0" collapsed="false">
      <c r="A31" s="17"/>
      <c r="B31" s="17" t="s">
        <v>65</v>
      </c>
      <c r="C31" s="17" t="s">
        <v>1132</v>
      </c>
      <c r="D31" s="17" t="s">
        <v>1133</v>
      </c>
      <c r="E31" s="17" t="s">
        <v>1134</v>
      </c>
    </row>
    <row r="32" customFormat="false" ht="15" hidden="false" customHeight="false" outlineLevel="0" collapsed="false">
      <c r="A32" s="2"/>
      <c r="B32" s="5" t="s">
        <v>1135</v>
      </c>
      <c r="C32" s="60" t="n">
        <f aca="false">Entrées!$C$35</f>
        <v>0.1</v>
      </c>
      <c r="D32" s="61" t="n">
        <f aca="false">C32</f>
        <v>0.1</v>
      </c>
      <c r="E32" s="20" t="s">
        <v>184</v>
      </c>
    </row>
    <row r="33" customFormat="false" ht="15" hidden="false" customHeight="false" outlineLevel="0" collapsed="false">
      <c r="A33" s="2"/>
      <c r="B33" s="5" t="s">
        <v>1136</v>
      </c>
      <c r="C33" s="61" t="n">
        <f aca="false">Entrées!$C$36*Hypothèses!$C$12</f>
        <v>0.25</v>
      </c>
      <c r="D33" s="61" t="n">
        <f aca="false">D32+C33</f>
        <v>0.35</v>
      </c>
      <c r="E33" s="20" t="s">
        <v>1137</v>
      </c>
    </row>
    <row r="34" customFormat="false" ht="15" hidden="false" customHeight="false" outlineLevel="0" collapsed="false">
      <c r="A34" s="2"/>
      <c r="B34" s="5" t="s">
        <v>1138</v>
      </c>
      <c r="C34" s="61" t="n">
        <f aca="false">Entrées!$C$36*(1-Hypothèses!$C$12)+MAX(0,Entrées!$C$30-Entrées!$C$35-Entrées!$C$36)*Hypothèses!$C$13</f>
        <v>0.95</v>
      </c>
      <c r="D34" s="61" t="n">
        <f aca="false">D33+C34</f>
        <v>1.3</v>
      </c>
      <c r="E34" s="20" t="s">
        <v>1139</v>
      </c>
    </row>
    <row r="35" customFormat="false" ht="15" hidden="false" customHeight="false" outlineLevel="0" collapsed="false">
      <c r="A35" s="2"/>
      <c r="B35" s="5" t="s">
        <v>1140</v>
      </c>
      <c r="C35" s="61" t="n">
        <f aca="false">MAX(0,Entrées!$C$30-D34)</f>
        <v>0.7</v>
      </c>
      <c r="D35" s="61" t="n">
        <f aca="false">D34+C35</f>
        <v>2</v>
      </c>
      <c r="E35" s="20" t="s">
        <v>1141</v>
      </c>
    </row>
    <row r="36" customFormat="false" ht="15" hidden="false" customHeight="false" outlineLevel="0" collapsed="false">
      <c r="A36" s="2"/>
      <c r="B36" s="18" t="s">
        <v>1142</v>
      </c>
      <c r="C36" s="51" t="n">
        <f aca="false">(C33+C34)*1000/Hypothèses!$C$14</f>
        <v>120</v>
      </c>
      <c r="D36" s="20" t="s">
        <v>74</v>
      </c>
      <c r="E36" s="20" t="s">
        <v>1143</v>
      </c>
    </row>
    <row r="37" customFormat="false" ht="15" hidden="false" customHeight="false" outlineLevel="0" collapsed="false">
      <c r="A37" s="2"/>
      <c r="B37" s="2"/>
      <c r="C37" s="2"/>
      <c r="D37" s="2"/>
      <c r="E37" s="2"/>
    </row>
    <row r="38" customFormat="false" ht="15" hidden="false" customHeight="false" outlineLevel="0" collapsed="false">
      <c r="A38" s="18" t="s">
        <v>1144</v>
      </c>
      <c r="B38" s="18" t="s">
        <v>1145</v>
      </c>
      <c r="C38" s="2"/>
      <c r="D38" s="2"/>
      <c r="E38" s="2"/>
    </row>
    <row r="39" customFormat="false" ht="15" hidden="false" customHeight="false" outlineLevel="0" collapsed="false">
      <c r="A39" s="17"/>
      <c r="B39" s="17" t="s">
        <v>1065</v>
      </c>
      <c r="C39" s="17" t="s">
        <v>101</v>
      </c>
      <c r="D39" s="17"/>
      <c r="E39" s="17" t="s">
        <v>871</v>
      </c>
    </row>
    <row r="40" customFormat="false" ht="15" hidden="false" customHeight="false" outlineLevel="0" collapsed="false">
      <c r="A40" s="2"/>
      <c r="B40" s="5" t="s">
        <v>1146</v>
      </c>
      <c r="C40" s="60" t="n">
        <f aca="false">Entrées!$C$117</f>
        <v>4</v>
      </c>
      <c r="D40" s="20"/>
      <c r="E40" s="20" t="s">
        <v>436</v>
      </c>
    </row>
    <row r="41" customFormat="false" ht="15" hidden="false" customHeight="false" outlineLevel="0" collapsed="false">
      <c r="A41" s="2"/>
      <c r="B41" s="5" t="s">
        <v>1147</v>
      </c>
      <c r="C41" s="60" t="n">
        <f aca="false">Entrées!$C$118</f>
        <v>2</v>
      </c>
      <c r="D41" s="20"/>
      <c r="E41" s="20" t="s">
        <v>439</v>
      </c>
    </row>
    <row r="42" customFormat="false" ht="15" hidden="false" customHeight="false" outlineLevel="0" collapsed="false">
      <c r="A42" s="2"/>
      <c r="B42" s="5" t="s">
        <v>1148</v>
      </c>
      <c r="C42" s="61" t="n">
        <f aca="false">-Entrées!$C$126/1000</f>
        <v>-0.397</v>
      </c>
      <c r="D42" s="20"/>
      <c r="E42" s="20" t="s">
        <v>1149</v>
      </c>
    </row>
    <row r="43" customFormat="false" ht="15" hidden="false" customHeight="false" outlineLevel="0" collapsed="false">
      <c r="A43" s="2"/>
      <c r="B43" s="5" t="s">
        <v>1150</v>
      </c>
      <c r="C43" s="61" t="n">
        <f aca="false">-Entrées!$C$69/1000</f>
        <v>2.301</v>
      </c>
      <c r="D43" s="20"/>
      <c r="E43" s="20" t="s">
        <v>1151</v>
      </c>
    </row>
    <row r="44" customFormat="false" ht="15" hidden="false" customHeight="false" outlineLevel="0" collapsed="false">
      <c r="A44" s="2"/>
      <c r="B44" s="5" t="s">
        <v>1152</v>
      </c>
      <c r="C44" s="61" t="n">
        <f aca="false">-Entrées!$C$80/1000</f>
        <v>2.869</v>
      </c>
      <c r="D44" s="20"/>
      <c r="E44" s="20" t="s">
        <v>1153</v>
      </c>
    </row>
    <row r="45" customFormat="false" ht="15" hidden="false" customHeight="false" outlineLevel="0" collapsed="false">
      <c r="A45" s="2"/>
      <c r="B45" s="18" t="s">
        <v>1154</v>
      </c>
      <c r="C45" s="62" t="n">
        <f aca="false">SUM(C42:C44)</f>
        <v>4.773</v>
      </c>
      <c r="D45" s="20"/>
      <c r="E45" s="20" t="s">
        <v>1155</v>
      </c>
    </row>
    <row r="46" customFormat="false" ht="15" hidden="false" customHeight="false" outlineLevel="0" collapsed="false">
      <c r="A46" s="2"/>
      <c r="B46" s="18" t="s">
        <v>1156</v>
      </c>
      <c r="C46" s="62" t="n">
        <f aca="false">C45-C40</f>
        <v>0.773000000000001</v>
      </c>
      <c r="D46" s="20"/>
      <c r="E46" s="20" t="s">
        <v>1157</v>
      </c>
    </row>
    <row r="47" customFormat="false" ht="15" hidden="false" customHeight="false" outlineLevel="0" collapsed="false">
      <c r="A47" s="2"/>
      <c r="B47" s="5" t="s">
        <v>1158</v>
      </c>
      <c r="C47" s="60" t="n">
        <f aca="false">Entrées!$C$119</f>
        <v>4</v>
      </c>
      <c r="D47" s="20"/>
      <c r="E47" s="20" t="s">
        <v>441</v>
      </c>
    </row>
    <row r="48" customFormat="false" ht="15" hidden="false" customHeight="false" outlineLevel="0" collapsed="false">
      <c r="A48" s="2"/>
      <c r="B48" s="5" t="s">
        <v>1159</v>
      </c>
      <c r="C48" s="60" t="n">
        <f aca="false">Entrées!$C$121</f>
        <v>8.5</v>
      </c>
      <c r="D48" s="20"/>
      <c r="E48" s="20" t="s">
        <v>446</v>
      </c>
    </row>
    <row r="49" customFormat="false" ht="15" hidden="false" customHeight="false" outlineLevel="0" collapsed="false">
      <c r="A49" s="2"/>
      <c r="B49" s="5" t="s">
        <v>1160</v>
      </c>
      <c r="C49" s="54" t="n">
        <f aca="false">Entrées!$C$122/100</f>
        <v>0.9</v>
      </c>
      <c r="D49" s="20" t="s">
        <v>270</v>
      </c>
      <c r="E49" s="20" t="s">
        <v>450</v>
      </c>
    </row>
    <row r="50" customFormat="false" ht="15" hidden="false" customHeight="false" outlineLevel="0" collapsed="false">
      <c r="A50" s="2"/>
      <c r="B50" s="5" t="s">
        <v>1161</v>
      </c>
      <c r="C50" s="54" t="n">
        <f aca="false">Entrées!$C$123/100</f>
        <v>0.8</v>
      </c>
      <c r="D50" s="20" t="s">
        <v>270</v>
      </c>
      <c r="E50" s="20" t="s">
        <v>452</v>
      </c>
    </row>
    <row r="51" customFormat="false" ht="42" hidden="false" customHeight="true" outlineLevel="0" collapsed="false">
      <c r="A51" s="2"/>
      <c r="B51" s="58" t="s">
        <v>1162</v>
      </c>
      <c r="C51" s="58"/>
      <c r="D51" s="58"/>
      <c r="E51" s="58"/>
    </row>
  </sheetData>
  <mergeCells count="3">
    <mergeCell ref="B18:E18"/>
    <mergeCell ref="B28:E28"/>
    <mergeCell ref="B51:E5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28" min="4" style="0" width="11"/>
    <col collapsed="false" customWidth="true" hidden="false" outlineLevel="0" max="30" min="29" style="0" width="13"/>
  </cols>
  <sheetData>
    <row r="1" customFormat="false" ht="17.35" hidden="false" customHeight="false" outlineLevel="0" collapsed="false">
      <c r="A1" s="1" t="s">
        <v>1163</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5" hidden="false" customHeight="false" outlineLevel="0" collapsed="false">
      <c r="A2" s="3" t="s">
        <v>1164</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row>
    <row r="4" customFormat="false" ht="30" hidden="false" customHeight="true" outlineLevel="0" collapsed="false">
      <c r="A4" s="2"/>
      <c r="B4" s="18" t="s">
        <v>1165</v>
      </c>
      <c r="C4" s="2"/>
      <c r="D4" s="65" t="s">
        <v>867</v>
      </c>
      <c r="E4" s="65" t="s">
        <v>1166</v>
      </c>
      <c r="F4" s="65" t="s">
        <v>1167</v>
      </c>
      <c r="G4" s="65" t="s">
        <v>1168</v>
      </c>
      <c r="H4" s="65" t="s">
        <v>1169</v>
      </c>
      <c r="I4" s="65" t="s">
        <v>1170</v>
      </c>
      <c r="J4" s="65" t="s">
        <v>1171</v>
      </c>
      <c r="K4" s="65" t="s">
        <v>1172</v>
      </c>
      <c r="L4" s="65" t="s">
        <v>1173</v>
      </c>
      <c r="M4" s="65" t="s">
        <v>1174</v>
      </c>
      <c r="N4" s="65" t="s">
        <v>1175</v>
      </c>
      <c r="O4" s="65" t="s">
        <v>1176</v>
      </c>
      <c r="P4" s="65" t="s">
        <v>1177</v>
      </c>
      <c r="Q4" s="65" t="s">
        <v>1178</v>
      </c>
      <c r="R4" s="65" t="s">
        <v>1179</v>
      </c>
      <c r="S4" s="65" t="s">
        <v>1180</v>
      </c>
      <c r="T4" s="65" t="s">
        <v>1181</v>
      </c>
      <c r="U4" s="65" t="s">
        <v>1182</v>
      </c>
      <c r="V4" s="65" t="s">
        <v>1183</v>
      </c>
      <c r="W4" s="65" t="s">
        <v>1184</v>
      </c>
      <c r="X4" s="65" t="s">
        <v>1185</v>
      </c>
      <c r="Y4" s="65" t="s">
        <v>1186</v>
      </c>
      <c r="Z4" s="65" t="s">
        <v>1187</v>
      </c>
      <c r="AA4" s="65" t="s">
        <v>1188</v>
      </c>
      <c r="AB4" s="65" t="s">
        <v>1189</v>
      </c>
      <c r="AC4" s="65" t="s">
        <v>1190</v>
      </c>
      <c r="AD4" s="65" t="s">
        <v>1191</v>
      </c>
    </row>
    <row r="5" customFormat="false" ht="15" hidden="false" customHeight="false" outlineLevel="0" collapsed="false">
      <c r="A5" s="2"/>
      <c r="B5" s="18" t="s">
        <v>1192</v>
      </c>
      <c r="C5" s="2"/>
      <c r="D5" s="2"/>
      <c r="E5" s="2"/>
      <c r="F5" s="2"/>
      <c r="G5" s="2"/>
      <c r="H5" s="2"/>
      <c r="I5" s="2"/>
      <c r="J5" s="2"/>
      <c r="K5" s="2"/>
      <c r="L5" s="2"/>
      <c r="M5" s="2"/>
      <c r="N5" s="2"/>
      <c r="O5" s="2"/>
      <c r="P5" s="2"/>
      <c r="Q5" s="2"/>
      <c r="R5" s="2"/>
      <c r="S5" s="2"/>
      <c r="T5" s="2"/>
      <c r="U5" s="2"/>
      <c r="V5" s="2"/>
      <c r="W5" s="2"/>
      <c r="X5" s="2"/>
      <c r="Y5" s="2"/>
      <c r="Z5" s="2"/>
      <c r="AA5" s="2"/>
      <c r="AB5" s="2"/>
      <c r="AC5" s="2"/>
      <c r="AD5" s="2"/>
    </row>
    <row r="6" customFormat="false" ht="15" hidden="false" customHeight="false" outlineLevel="0" collapsed="false">
      <c r="A6" s="20" t="s">
        <v>872</v>
      </c>
      <c r="B6" s="5" t="s">
        <v>873</v>
      </c>
      <c r="C6" s="20" t="s">
        <v>270</v>
      </c>
      <c r="D6" s="66" t="n">
        <f aca="false">Hypothèses!$C$5</f>
        <v>0.055</v>
      </c>
      <c r="E6" s="67" t="n">
        <f aca="false">Hypothèses!$D$5</f>
        <v>0.05</v>
      </c>
      <c r="F6" s="67" t="n">
        <f aca="false">Hypothèses!$E$5</f>
        <v>0.06</v>
      </c>
      <c r="G6" s="54" t="n">
        <f aca="false">$D6</f>
        <v>0.055</v>
      </c>
      <c r="H6" s="54" t="n">
        <f aca="false">$D6</f>
        <v>0.055</v>
      </c>
      <c r="I6" s="54" t="n">
        <f aca="false">$D6</f>
        <v>0.055</v>
      </c>
      <c r="J6" s="54" t="n">
        <f aca="false">$D6</f>
        <v>0.055</v>
      </c>
      <c r="K6" s="54" t="n">
        <f aca="false">$D6</f>
        <v>0.055</v>
      </c>
      <c r="L6" s="54" t="n">
        <f aca="false">$D6</f>
        <v>0.055</v>
      </c>
      <c r="M6" s="54" t="n">
        <f aca="false">$D6</f>
        <v>0.055</v>
      </c>
      <c r="N6" s="54" t="n">
        <f aca="false">$D6</f>
        <v>0.055</v>
      </c>
      <c r="O6" s="54" t="n">
        <f aca="false">$D6</f>
        <v>0.055</v>
      </c>
      <c r="P6" s="54" t="n">
        <f aca="false">$D6</f>
        <v>0.055</v>
      </c>
      <c r="Q6" s="54" t="n">
        <f aca="false">$D6</f>
        <v>0.055</v>
      </c>
      <c r="R6" s="54" t="n">
        <f aca="false">$D6</f>
        <v>0.055</v>
      </c>
      <c r="S6" s="54" t="n">
        <f aca="false">$D6</f>
        <v>0.055</v>
      </c>
      <c r="T6" s="54" t="n">
        <f aca="false">$D6</f>
        <v>0.055</v>
      </c>
      <c r="U6" s="54" t="n">
        <f aca="false">$D6</f>
        <v>0.055</v>
      </c>
      <c r="V6" s="54" t="n">
        <f aca="false">$D6</f>
        <v>0.055</v>
      </c>
      <c r="W6" s="54" t="n">
        <f aca="false">$D6</f>
        <v>0.055</v>
      </c>
      <c r="X6" s="54" t="n">
        <f aca="false">$D6</f>
        <v>0.055</v>
      </c>
      <c r="Y6" s="54" t="n">
        <f aca="false">$D6</f>
        <v>0.055</v>
      </c>
      <c r="Z6" s="54" t="n">
        <f aca="false">$D6</f>
        <v>0.055</v>
      </c>
      <c r="AA6" s="54" t="n">
        <f aca="false">$D6</f>
        <v>0.055</v>
      </c>
      <c r="AB6" s="54" t="n">
        <f aca="false">$D6</f>
        <v>0.055</v>
      </c>
      <c r="AC6" s="68" t="n">
        <f aca="false">IF($E$46&lt;=$F$46,Hypothèses!$D$5,Hypothèses!$E$5)</f>
        <v>0.05</v>
      </c>
      <c r="AD6" s="68" t="n">
        <f aca="false">IF($E$46&gt;$F$46,Hypothèses!$D$5,Hypothèses!$E$5)</f>
        <v>0.06</v>
      </c>
    </row>
    <row r="7" customFormat="false" ht="15" hidden="false" customHeight="false" outlineLevel="0" collapsed="false">
      <c r="A7" s="20" t="s">
        <v>876</v>
      </c>
      <c r="B7" s="5" t="s">
        <v>877</v>
      </c>
      <c r="C7" s="20" t="s">
        <v>270</v>
      </c>
      <c r="D7" s="66" t="n">
        <f aca="false">Hypothèses!$C$6</f>
        <v>0.055</v>
      </c>
      <c r="E7" s="54" t="n">
        <f aca="false">$D7</f>
        <v>0.055</v>
      </c>
      <c r="F7" s="54" t="n">
        <f aca="false">$D7</f>
        <v>0.055</v>
      </c>
      <c r="G7" s="67" t="n">
        <f aca="false">Hypothèses!$D$6</f>
        <v>0.04</v>
      </c>
      <c r="H7" s="67" t="n">
        <f aca="false">Hypothèses!$E$6</f>
        <v>0.07</v>
      </c>
      <c r="I7" s="54" t="n">
        <f aca="false">$D7</f>
        <v>0.055</v>
      </c>
      <c r="J7" s="54" t="n">
        <f aca="false">$D7</f>
        <v>0.055</v>
      </c>
      <c r="K7" s="54" t="n">
        <f aca="false">$D7</f>
        <v>0.055</v>
      </c>
      <c r="L7" s="54" t="n">
        <f aca="false">$D7</f>
        <v>0.055</v>
      </c>
      <c r="M7" s="54" t="n">
        <f aca="false">$D7</f>
        <v>0.055</v>
      </c>
      <c r="N7" s="54" t="n">
        <f aca="false">$D7</f>
        <v>0.055</v>
      </c>
      <c r="O7" s="54" t="n">
        <f aca="false">$D7</f>
        <v>0.055</v>
      </c>
      <c r="P7" s="54" t="n">
        <f aca="false">$D7</f>
        <v>0.055</v>
      </c>
      <c r="Q7" s="54" t="n">
        <f aca="false">$D7</f>
        <v>0.055</v>
      </c>
      <c r="R7" s="54" t="n">
        <f aca="false">$D7</f>
        <v>0.055</v>
      </c>
      <c r="S7" s="54" t="n">
        <f aca="false">$D7</f>
        <v>0.055</v>
      </c>
      <c r="T7" s="54" t="n">
        <f aca="false">$D7</f>
        <v>0.055</v>
      </c>
      <c r="U7" s="54" t="n">
        <f aca="false">$D7</f>
        <v>0.055</v>
      </c>
      <c r="V7" s="54" t="n">
        <f aca="false">$D7</f>
        <v>0.055</v>
      </c>
      <c r="W7" s="54" t="n">
        <f aca="false">$D7</f>
        <v>0.055</v>
      </c>
      <c r="X7" s="54" t="n">
        <f aca="false">$D7</f>
        <v>0.055</v>
      </c>
      <c r="Y7" s="54" t="n">
        <f aca="false">$D7</f>
        <v>0.055</v>
      </c>
      <c r="Z7" s="54" t="n">
        <f aca="false">$D7</f>
        <v>0.055</v>
      </c>
      <c r="AA7" s="54" t="n">
        <f aca="false">$D7</f>
        <v>0.055</v>
      </c>
      <c r="AB7" s="54" t="n">
        <f aca="false">$D7</f>
        <v>0.055</v>
      </c>
      <c r="AC7" s="68" t="n">
        <f aca="false">IF($G$46&lt;=$H$46,Hypothèses!$D$6,Hypothèses!$E$6)</f>
        <v>0.04</v>
      </c>
      <c r="AD7" s="68" t="n">
        <f aca="false">IF($G$46&gt;$H$46,Hypothèses!$D$6,Hypothèses!$E$6)</f>
        <v>0.07</v>
      </c>
    </row>
    <row r="8" customFormat="false" ht="15" hidden="false" customHeight="false" outlineLevel="0" collapsed="false">
      <c r="A8" s="20" t="s">
        <v>880</v>
      </c>
      <c r="B8" s="5" t="s">
        <v>881</v>
      </c>
      <c r="C8" s="20" t="s">
        <v>220</v>
      </c>
      <c r="D8" s="48" t="n">
        <f aca="false">Hypothèses!$C$7</f>
        <v>200</v>
      </c>
      <c r="E8" s="52" t="n">
        <f aca="false">$D8</f>
        <v>200</v>
      </c>
      <c r="F8" s="52" t="n">
        <f aca="false">$D8</f>
        <v>200</v>
      </c>
      <c r="G8" s="52" t="n">
        <f aca="false">$D8</f>
        <v>200</v>
      </c>
      <c r="H8" s="52" t="n">
        <f aca="false">$D8</f>
        <v>200</v>
      </c>
      <c r="I8" s="69" t="n">
        <f aca="false">Hypothèses!$D$7</f>
        <v>180</v>
      </c>
      <c r="J8" s="69" t="n">
        <f aca="false">Hypothèses!$E$7</f>
        <v>220</v>
      </c>
      <c r="K8" s="52" t="n">
        <f aca="false">$D8</f>
        <v>200</v>
      </c>
      <c r="L8" s="52" t="n">
        <f aca="false">$D8</f>
        <v>200</v>
      </c>
      <c r="M8" s="52" t="n">
        <f aca="false">$D8</f>
        <v>200</v>
      </c>
      <c r="N8" s="52" t="n">
        <f aca="false">$D8</f>
        <v>200</v>
      </c>
      <c r="O8" s="52" t="n">
        <f aca="false">$D8</f>
        <v>200</v>
      </c>
      <c r="P8" s="52" t="n">
        <f aca="false">$D8</f>
        <v>200</v>
      </c>
      <c r="Q8" s="52" t="n">
        <f aca="false">$D8</f>
        <v>200</v>
      </c>
      <c r="R8" s="52" t="n">
        <f aca="false">$D8</f>
        <v>200</v>
      </c>
      <c r="S8" s="52" t="n">
        <f aca="false">$D8</f>
        <v>200</v>
      </c>
      <c r="T8" s="52" t="n">
        <f aca="false">$D8</f>
        <v>200</v>
      </c>
      <c r="U8" s="52" t="n">
        <f aca="false">$D8</f>
        <v>200</v>
      </c>
      <c r="V8" s="52" t="n">
        <f aca="false">$D8</f>
        <v>200</v>
      </c>
      <c r="W8" s="52" t="n">
        <f aca="false">$D8</f>
        <v>200</v>
      </c>
      <c r="X8" s="52" t="n">
        <f aca="false">$D8</f>
        <v>200</v>
      </c>
      <c r="Y8" s="52" t="n">
        <f aca="false">$D8</f>
        <v>200</v>
      </c>
      <c r="Z8" s="52" t="n">
        <f aca="false">$D8</f>
        <v>200</v>
      </c>
      <c r="AA8" s="52" t="n">
        <f aca="false">$D8</f>
        <v>200</v>
      </c>
      <c r="AB8" s="52" t="n">
        <f aca="false">$D8</f>
        <v>200</v>
      </c>
      <c r="AC8" s="70" t="n">
        <f aca="false">IF($I$46&lt;=$J$46,Hypothèses!$D$7,Hypothèses!$E$7)</f>
        <v>180</v>
      </c>
      <c r="AD8" s="70" t="n">
        <f aca="false">IF($I$46&gt;$J$46,Hypothèses!$D$7,Hypothèses!$E$7)</f>
        <v>220</v>
      </c>
    </row>
    <row r="9" customFormat="false" ht="15" hidden="false" customHeight="false" outlineLevel="0" collapsed="false">
      <c r="A9" s="20" t="s">
        <v>883</v>
      </c>
      <c r="B9" s="5" t="s">
        <v>884</v>
      </c>
      <c r="C9" s="20" t="s">
        <v>270</v>
      </c>
      <c r="D9" s="66" t="n">
        <f aca="false">Hypothèses!$C$8</f>
        <v>0.25</v>
      </c>
      <c r="E9" s="54" t="n">
        <f aca="false">$D9</f>
        <v>0.25</v>
      </c>
      <c r="F9" s="54" t="n">
        <f aca="false">$D9</f>
        <v>0.25</v>
      </c>
      <c r="G9" s="54" t="n">
        <f aca="false">$D9</f>
        <v>0.25</v>
      </c>
      <c r="H9" s="54" t="n">
        <f aca="false">$D9</f>
        <v>0.25</v>
      </c>
      <c r="I9" s="54" t="n">
        <f aca="false">$D9</f>
        <v>0.25</v>
      </c>
      <c r="J9" s="54" t="n">
        <f aca="false">$D9</f>
        <v>0.25</v>
      </c>
      <c r="K9" s="67" t="n">
        <f aca="false">Hypothèses!$D$8</f>
        <v>0</v>
      </c>
      <c r="L9" s="67" t="n">
        <f aca="false">Hypothèses!$E$8</f>
        <v>0.5</v>
      </c>
      <c r="M9" s="54" t="n">
        <f aca="false">$D9</f>
        <v>0.25</v>
      </c>
      <c r="N9" s="54" t="n">
        <f aca="false">$D9</f>
        <v>0.25</v>
      </c>
      <c r="O9" s="54" t="n">
        <f aca="false">$D9</f>
        <v>0.25</v>
      </c>
      <c r="P9" s="54" t="n">
        <f aca="false">$D9</f>
        <v>0.25</v>
      </c>
      <c r="Q9" s="54" t="n">
        <f aca="false">$D9</f>
        <v>0.25</v>
      </c>
      <c r="R9" s="54" t="n">
        <f aca="false">$D9</f>
        <v>0.25</v>
      </c>
      <c r="S9" s="54" t="n">
        <f aca="false">$D9</f>
        <v>0.25</v>
      </c>
      <c r="T9" s="54" t="n">
        <f aca="false">$D9</f>
        <v>0.25</v>
      </c>
      <c r="U9" s="54" t="n">
        <f aca="false">$D9</f>
        <v>0.25</v>
      </c>
      <c r="V9" s="54" t="n">
        <f aca="false">$D9</f>
        <v>0.25</v>
      </c>
      <c r="W9" s="54" t="n">
        <f aca="false">$D9</f>
        <v>0.25</v>
      </c>
      <c r="X9" s="54" t="n">
        <f aca="false">$D9</f>
        <v>0.25</v>
      </c>
      <c r="Y9" s="54" t="n">
        <f aca="false">$D9</f>
        <v>0.25</v>
      </c>
      <c r="Z9" s="54" t="n">
        <f aca="false">$D9</f>
        <v>0.25</v>
      </c>
      <c r="AA9" s="54" t="n">
        <f aca="false">$D9</f>
        <v>0.25</v>
      </c>
      <c r="AB9" s="54" t="n">
        <f aca="false">$D9</f>
        <v>0.25</v>
      </c>
      <c r="AC9" s="68" t="n">
        <f aca="false">IF($K$46&lt;=$L$46,Hypothèses!$D$8,Hypothèses!$E$8)</f>
        <v>0</v>
      </c>
      <c r="AD9" s="68" t="n">
        <f aca="false">IF($K$46&gt;$L$46,Hypothèses!$D$8,Hypothèses!$E$8)</f>
        <v>0.5</v>
      </c>
    </row>
    <row r="10" customFormat="false" ht="15" hidden="false" customHeight="false" outlineLevel="0" collapsed="false">
      <c r="A10" s="20" t="s">
        <v>886</v>
      </c>
      <c r="B10" s="5" t="s">
        <v>887</v>
      </c>
      <c r="C10" s="20" t="s">
        <v>74</v>
      </c>
      <c r="D10" s="48" t="n">
        <f aca="false">Hypothèses!$C$9</f>
        <v>1629</v>
      </c>
      <c r="E10" s="52" t="n">
        <f aca="false">$D10</f>
        <v>1629</v>
      </c>
      <c r="F10" s="52" t="n">
        <f aca="false">$D10</f>
        <v>1629</v>
      </c>
      <c r="G10" s="52" t="n">
        <f aca="false">$D10</f>
        <v>1629</v>
      </c>
      <c r="H10" s="52" t="n">
        <f aca="false">$D10</f>
        <v>1629</v>
      </c>
      <c r="I10" s="52" t="n">
        <f aca="false">$D10</f>
        <v>1629</v>
      </c>
      <c r="J10" s="52" t="n">
        <f aca="false">$D10</f>
        <v>1629</v>
      </c>
      <c r="K10" s="52" t="n">
        <f aca="false">$D10</f>
        <v>1629</v>
      </c>
      <c r="L10" s="52" t="n">
        <f aca="false">$D10</f>
        <v>1629</v>
      </c>
      <c r="M10" s="69" t="n">
        <f aca="false">Hypothèses!$D$9</f>
        <v>1303.2</v>
      </c>
      <c r="N10" s="69" t="n">
        <f aca="false">Hypothèses!$E$9</f>
        <v>1791.9</v>
      </c>
      <c r="O10" s="52" t="n">
        <f aca="false">$D10</f>
        <v>1629</v>
      </c>
      <c r="P10" s="52" t="n">
        <f aca="false">$D10</f>
        <v>1629</v>
      </c>
      <c r="Q10" s="52" t="n">
        <f aca="false">$D10</f>
        <v>1629</v>
      </c>
      <c r="R10" s="52" t="n">
        <f aca="false">$D10</f>
        <v>1629</v>
      </c>
      <c r="S10" s="52" t="n">
        <f aca="false">$D10</f>
        <v>1629</v>
      </c>
      <c r="T10" s="52" t="n">
        <f aca="false">$D10</f>
        <v>1629</v>
      </c>
      <c r="U10" s="52" t="n">
        <f aca="false">$D10</f>
        <v>1629</v>
      </c>
      <c r="V10" s="52" t="n">
        <f aca="false">$D10</f>
        <v>1629</v>
      </c>
      <c r="W10" s="52" t="n">
        <f aca="false">$D10</f>
        <v>1629</v>
      </c>
      <c r="X10" s="52" t="n">
        <f aca="false">$D10</f>
        <v>1629</v>
      </c>
      <c r="Y10" s="52" t="n">
        <f aca="false">$D10</f>
        <v>1629</v>
      </c>
      <c r="Z10" s="52" t="n">
        <f aca="false">$D10</f>
        <v>1629</v>
      </c>
      <c r="AA10" s="52" t="n">
        <f aca="false">$D10</f>
        <v>1629</v>
      </c>
      <c r="AB10" s="52" t="n">
        <f aca="false">$D10</f>
        <v>1629</v>
      </c>
      <c r="AC10" s="70" t="n">
        <f aca="false">IF($M$46&lt;=$N$46,Hypothèses!$D$9,Hypothèses!$E$9)</f>
        <v>1303.2</v>
      </c>
      <c r="AD10" s="70" t="n">
        <f aca="false">IF($M$46&gt;$N$46,Hypothèses!$D$9,Hypothèses!$E$9)</f>
        <v>1791.9</v>
      </c>
    </row>
    <row r="11" customFormat="false" ht="15" hidden="false" customHeight="false" outlineLevel="0" collapsed="false">
      <c r="A11" s="20" t="s">
        <v>890</v>
      </c>
      <c r="B11" s="5" t="s">
        <v>891</v>
      </c>
      <c r="C11" s="20" t="s">
        <v>270</v>
      </c>
      <c r="D11" s="66" t="n">
        <f aca="false">Hypothèses!$C$10</f>
        <v>0.168696364464616</v>
      </c>
      <c r="E11" s="54" t="n">
        <f aca="false">$D11</f>
        <v>0.168696364464616</v>
      </c>
      <c r="F11" s="54" t="n">
        <f aca="false">$D11</f>
        <v>0.168696364464616</v>
      </c>
      <c r="G11" s="54" t="n">
        <f aca="false">$D11</f>
        <v>0.168696364464616</v>
      </c>
      <c r="H11" s="54" t="n">
        <f aca="false">$D11</f>
        <v>0.168696364464616</v>
      </c>
      <c r="I11" s="54" t="n">
        <f aca="false">$D11</f>
        <v>0.168696364464616</v>
      </c>
      <c r="J11" s="54" t="n">
        <f aca="false">$D11</f>
        <v>0.168696364464616</v>
      </c>
      <c r="K11" s="54" t="n">
        <f aca="false">$D11</f>
        <v>0.168696364464616</v>
      </c>
      <c r="L11" s="54" t="n">
        <f aca="false">$D11</f>
        <v>0.168696364464616</v>
      </c>
      <c r="M11" s="54" t="n">
        <f aca="false">$D11</f>
        <v>0.168696364464616</v>
      </c>
      <c r="N11" s="54" t="n">
        <f aca="false">$D11</f>
        <v>0.168696364464616</v>
      </c>
      <c r="O11" s="67" t="n">
        <f aca="false">Hypothèses!$D$10</f>
        <v>0.14</v>
      </c>
      <c r="P11" s="67" t="n">
        <f aca="false">Hypothèses!$E$10</f>
        <v>0.19</v>
      </c>
      <c r="Q11" s="54" t="n">
        <f aca="false">$D11</f>
        <v>0.168696364464616</v>
      </c>
      <c r="R11" s="54" t="n">
        <f aca="false">$D11</f>
        <v>0.168696364464616</v>
      </c>
      <c r="S11" s="54" t="n">
        <f aca="false">$D11</f>
        <v>0.168696364464616</v>
      </c>
      <c r="T11" s="54" t="n">
        <f aca="false">$D11</f>
        <v>0.168696364464616</v>
      </c>
      <c r="U11" s="54" t="n">
        <f aca="false">$D11</f>
        <v>0.168696364464616</v>
      </c>
      <c r="V11" s="54" t="n">
        <f aca="false">$D11</f>
        <v>0.168696364464616</v>
      </c>
      <c r="W11" s="54" t="n">
        <f aca="false">$D11</f>
        <v>0.168696364464616</v>
      </c>
      <c r="X11" s="54" t="n">
        <f aca="false">$D11</f>
        <v>0.168696364464616</v>
      </c>
      <c r="Y11" s="54" t="n">
        <f aca="false">$D11</f>
        <v>0.168696364464616</v>
      </c>
      <c r="Z11" s="54" t="n">
        <f aca="false">$D11</f>
        <v>0.168696364464616</v>
      </c>
      <c r="AA11" s="54" t="n">
        <f aca="false">$D11</f>
        <v>0.168696364464616</v>
      </c>
      <c r="AB11" s="54" t="n">
        <f aca="false">$D11</f>
        <v>0.168696364464616</v>
      </c>
      <c r="AC11" s="68" t="n">
        <f aca="false">IF($O$46&lt;=$P$46,Hypothèses!$D$10,Hypothèses!$E$10)</f>
        <v>0.14</v>
      </c>
      <c r="AD11" s="68" t="n">
        <f aca="false">IF($O$46&gt;$P$46,Hypothèses!$D$10,Hypothèses!$E$10)</f>
        <v>0.19</v>
      </c>
    </row>
    <row r="12" customFormat="false" ht="15" hidden="false" customHeight="false" outlineLevel="0" collapsed="false">
      <c r="A12" s="20" t="s">
        <v>894</v>
      </c>
      <c r="B12" s="5" t="s">
        <v>895</v>
      </c>
      <c r="C12" s="20" t="s">
        <v>270</v>
      </c>
      <c r="D12" s="66" t="n">
        <f aca="false">Hypothèses!$C$11</f>
        <v>0.08</v>
      </c>
      <c r="E12" s="54" t="n">
        <f aca="false">$D12</f>
        <v>0.08</v>
      </c>
      <c r="F12" s="54" t="n">
        <f aca="false">$D12</f>
        <v>0.08</v>
      </c>
      <c r="G12" s="54" t="n">
        <f aca="false">$D12</f>
        <v>0.08</v>
      </c>
      <c r="H12" s="54" t="n">
        <f aca="false">$D12</f>
        <v>0.08</v>
      </c>
      <c r="I12" s="54" t="n">
        <f aca="false">$D12</f>
        <v>0.08</v>
      </c>
      <c r="J12" s="54" t="n">
        <f aca="false">$D12</f>
        <v>0.08</v>
      </c>
      <c r="K12" s="54" t="n">
        <f aca="false">$D12</f>
        <v>0.08</v>
      </c>
      <c r="L12" s="54" t="n">
        <f aca="false">$D12</f>
        <v>0.08</v>
      </c>
      <c r="M12" s="54" t="n">
        <f aca="false">$D12</f>
        <v>0.08</v>
      </c>
      <c r="N12" s="54" t="n">
        <f aca="false">$D12</f>
        <v>0.08</v>
      </c>
      <c r="O12" s="54" t="n">
        <f aca="false">$D12</f>
        <v>0.08</v>
      </c>
      <c r="P12" s="54" t="n">
        <f aca="false">$D12</f>
        <v>0.08</v>
      </c>
      <c r="Q12" s="67" t="n">
        <f aca="false">Hypothèses!$D$11</f>
        <v>0.04</v>
      </c>
      <c r="R12" s="67" t="n">
        <f aca="false">Hypothèses!$E$11</f>
        <v>0.12</v>
      </c>
      <c r="S12" s="54" t="n">
        <f aca="false">$D12</f>
        <v>0.08</v>
      </c>
      <c r="T12" s="54" t="n">
        <f aca="false">$D12</f>
        <v>0.08</v>
      </c>
      <c r="U12" s="54" t="n">
        <f aca="false">$D12</f>
        <v>0.08</v>
      </c>
      <c r="V12" s="54" t="n">
        <f aca="false">$D12</f>
        <v>0.08</v>
      </c>
      <c r="W12" s="54" t="n">
        <f aca="false">$D12</f>
        <v>0.08</v>
      </c>
      <c r="X12" s="54" t="n">
        <f aca="false">$D12</f>
        <v>0.08</v>
      </c>
      <c r="Y12" s="54" t="n">
        <f aca="false">$D12</f>
        <v>0.08</v>
      </c>
      <c r="Z12" s="54" t="n">
        <f aca="false">$D12</f>
        <v>0.08</v>
      </c>
      <c r="AA12" s="54" t="n">
        <f aca="false">$D12</f>
        <v>0.08</v>
      </c>
      <c r="AB12" s="54" t="n">
        <f aca="false">$D12</f>
        <v>0.08</v>
      </c>
      <c r="AC12" s="68" t="n">
        <f aca="false">IF($Q$46&lt;=$R$46,Hypothèses!$D$11,Hypothèses!$E$11)</f>
        <v>0.12</v>
      </c>
      <c r="AD12" s="68" t="n">
        <f aca="false">IF($Q$46&gt;$R$46,Hypothèses!$D$11,Hypothèses!$E$11)</f>
        <v>0.04</v>
      </c>
    </row>
    <row r="13" customFormat="false" ht="15" hidden="false" customHeight="false" outlineLevel="0" collapsed="false">
      <c r="A13" s="20" t="s">
        <v>897</v>
      </c>
      <c r="B13" s="5" t="s">
        <v>898</v>
      </c>
      <c r="C13" s="20" t="s">
        <v>270</v>
      </c>
      <c r="D13" s="66" t="n">
        <f aca="false">Hypothèses!$C$12</f>
        <v>0.5</v>
      </c>
      <c r="E13" s="54" t="n">
        <f aca="false">$D13</f>
        <v>0.5</v>
      </c>
      <c r="F13" s="54" t="n">
        <f aca="false">$D13</f>
        <v>0.5</v>
      </c>
      <c r="G13" s="54" t="n">
        <f aca="false">$D13</f>
        <v>0.5</v>
      </c>
      <c r="H13" s="54" t="n">
        <f aca="false">$D13</f>
        <v>0.5</v>
      </c>
      <c r="I13" s="54" t="n">
        <f aca="false">$D13</f>
        <v>0.5</v>
      </c>
      <c r="J13" s="54" t="n">
        <f aca="false">$D13</f>
        <v>0.5</v>
      </c>
      <c r="K13" s="54" t="n">
        <f aca="false">$D13</f>
        <v>0.5</v>
      </c>
      <c r="L13" s="54" t="n">
        <f aca="false">$D13</f>
        <v>0.5</v>
      </c>
      <c r="M13" s="54" t="n">
        <f aca="false">$D13</f>
        <v>0.5</v>
      </c>
      <c r="N13" s="54" t="n">
        <f aca="false">$D13</f>
        <v>0.5</v>
      </c>
      <c r="O13" s="54" t="n">
        <f aca="false">$D13</f>
        <v>0.5</v>
      </c>
      <c r="P13" s="54" t="n">
        <f aca="false">$D13</f>
        <v>0.5</v>
      </c>
      <c r="Q13" s="54" t="n">
        <f aca="false">$D13</f>
        <v>0.5</v>
      </c>
      <c r="R13" s="54" t="n">
        <f aca="false">$D13</f>
        <v>0.5</v>
      </c>
      <c r="S13" s="67" t="n">
        <f aca="false">Hypothèses!$D$12</f>
        <v>0</v>
      </c>
      <c r="T13" s="67" t="n">
        <f aca="false">Hypothèses!$E$12</f>
        <v>1</v>
      </c>
      <c r="U13" s="54" t="n">
        <f aca="false">$D13</f>
        <v>0.5</v>
      </c>
      <c r="V13" s="54" t="n">
        <f aca="false">$D13</f>
        <v>0.5</v>
      </c>
      <c r="W13" s="54" t="n">
        <f aca="false">$D13</f>
        <v>0.5</v>
      </c>
      <c r="X13" s="54" t="n">
        <f aca="false">$D13</f>
        <v>0.5</v>
      </c>
      <c r="Y13" s="54" t="n">
        <f aca="false">$D13</f>
        <v>0.5</v>
      </c>
      <c r="Z13" s="54" t="n">
        <f aca="false">$D13</f>
        <v>0.5</v>
      </c>
      <c r="AA13" s="54" t="n">
        <f aca="false">$D13</f>
        <v>0.5</v>
      </c>
      <c r="AB13" s="54" t="n">
        <f aca="false">$D13</f>
        <v>0.5</v>
      </c>
      <c r="AC13" s="68" t="n">
        <f aca="false">IF($S$46&lt;=$T$46,Hypothèses!$D$12,Hypothèses!$E$12)</f>
        <v>1</v>
      </c>
      <c r="AD13" s="68" t="n">
        <f aca="false">IF($S$46&gt;$T$46,Hypothèses!$D$12,Hypothèses!$E$12)</f>
        <v>0</v>
      </c>
    </row>
    <row r="14" customFormat="false" ht="15" hidden="false" customHeight="false" outlineLevel="0" collapsed="false">
      <c r="A14" s="20" t="s">
        <v>900</v>
      </c>
      <c r="B14" s="5" t="s">
        <v>901</v>
      </c>
      <c r="C14" s="20" t="s">
        <v>270</v>
      </c>
      <c r="D14" s="66" t="n">
        <f aca="false">Hypothèses!$C$13</f>
        <v>0.5</v>
      </c>
      <c r="E14" s="54" t="n">
        <f aca="false">$D14</f>
        <v>0.5</v>
      </c>
      <c r="F14" s="54" t="n">
        <f aca="false">$D14</f>
        <v>0.5</v>
      </c>
      <c r="G14" s="54" t="n">
        <f aca="false">$D14</f>
        <v>0.5</v>
      </c>
      <c r="H14" s="54" t="n">
        <f aca="false">$D14</f>
        <v>0.5</v>
      </c>
      <c r="I14" s="54" t="n">
        <f aca="false">$D14</f>
        <v>0.5</v>
      </c>
      <c r="J14" s="54" t="n">
        <f aca="false">$D14</f>
        <v>0.5</v>
      </c>
      <c r="K14" s="54" t="n">
        <f aca="false">$D14</f>
        <v>0.5</v>
      </c>
      <c r="L14" s="54" t="n">
        <f aca="false">$D14</f>
        <v>0.5</v>
      </c>
      <c r="M14" s="54" t="n">
        <f aca="false">$D14</f>
        <v>0.5</v>
      </c>
      <c r="N14" s="54" t="n">
        <f aca="false">$D14</f>
        <v>0.5</v>
      </c>
      <c r="O14" s="54" t="n">
        <f aca="false">$D14</f>
        <v>0.5</v>
      </c>
      <c r="P14" s="54" t="n">
        <f aca="false">$D14</f>
        <v>0.5</v>
      </c>
      <c r="Q14" s="54" t="n">
        <f aca="false">$D14</f>
        <v>0.5</v>
      </c>
      <c r="R14" s="54" t="n">
        <f aca="false">$D14</f>
        <v>0.5</v>
      </c>
      <c r="S14" s="54" t="n">
        <f aca="false">$D14</f>
        <v>0.5</v>
      </c>
      <c r="T14" s="54" t="n">
        <f aca="false">$D14</f>
        <v>0.5</v>
      </c>
      <c r="U14" s="67" t="n">
        <f aca="false">Hypothèses!$D$13</f>
        <v>0</v>
      </c>
      <c r="V14" s="67" t="n">
        <f aca="false">Hypothèses!$E$13</f>
        <v>1</v>
      </c>
      <c r="W14" s="54" t="n">
        <f aca="false">$D14</f>
        <v>0.5</v>
      </c>
      <c r="X14" s="54" t="n">
        <f aca="false">$D14</f>
        <v>0.5</v>
      </c>
      <c r="Y14" s="54" t="n">
        <f aca="false">$D14</f>
        <v>0.5</v>
      </c>
      <c r="Z14" s="54" t="n">
        <f aca="false">$D14</f>
        <v>0.5</v>
      </c>
      <c r="AA14" s="54" t="n">
        <f aca="false">$D14</f>
        <v>0.5</v>
      </c>
      <c r="AB14" s="54" t="n">
        <f aca="false">$D14</f>
        <v>0.5</v>
      </c>
      <c r="AC14" s="68" t="n">
        <f aca="false">IF($U$46&lt;=$V$46,Hypothèses!$D$13,Hypothèses!$E$13)</f>
        <v>0</v>
      </c>
      <c r="AD14" s="68" t="n">
        <f aca="false">IF($U$46&gt;$V$46,Hypothèses!$D$13,Hypothèses!$E$13)</f>
        <v>1</v>
      </c>
    </row>
    <row r="15" customFormat="false" ht="15" hidden="false" customHeight="false" outlineLevel="0" collapsed="false">
      <c r="A15" s="20" t="s">
        <v>903</v>
      </c>
      <c r="B15" s="5" t="s">
        <v>904</v>
      </c>
      <c r="C15" s="20" t="s">
        <v>104</v>
      </c>
      <c r="D15" s="71" t="n">
        <f aca="false">Hypothèses!$C$14</f>
        <v>10</v>
      </c>
      <c r="E15" s="72" t="n">
        <f aca="false">$D15</f>
        <v>10</v>
      </c>
      <c r="F15" s="72" t="n">
        <f aca="false">$D15</f>
        <v>10</v>
      </c>
      <c r="G15" s="72" t="n">
        <f aca="false">$D15</f>
        <v>10</v>
      </c>
      <c r="H15" s="72" t="n">
        <f aca="false">$D15</f>
        <v>10</v>
      </c>
      <c r="I15" s="72" t="n">
        <f aca="false">$D15</f>
        <v>10</v>
      </c>
      <c r="J15" s="72" t="n">
        <f aca="false">$D15</f>
        <v>10</v>
      </c>
      <c r="K15" s="72" t="n">
        <f aca="false">$D15</f>
        <v>10</v>
      </c>
      <c r="L15" s="72" t="n">
        <f aca="false">$D15</f>
        <v>10</v>
      </c>
      <c r="M15" s="72" t="n">
        <f aca="false">$D15</f>
        <v>10</v>
      </c>
      <c r="N15" s="72" t="n">
        <f aca="false">$D15</f>
        <v>10</v>
      </c>
      <c r="O15" s="72" t="n">
        <f aca="false">$D15</f>
        <v>10</v>
      </c>
      <c r="P15" s="72" t="n">
        <f aca="false">$D15</f>
        <v>10</v>
      </c>
      <c r="Q15" s="72" t="n">
        <f aca="false">$D15</f>
        <v>10</v>
      </c>
      <c r="R15" s="72" t="n">
        <f aca="false">$D15</f>
        <v>10</v>
      </c>
      <c r="S15" s="72" t="n">
        <f aca="false">$D15</f>
        <v>10</v>
      </c>
      <c r="T15" s="72" t="n">
        <f aca="false">$D15</f>
        <v>10</v>
      </c>
      <c r="U15" s="72" t="n">
        <f aca="false">$D15</f>
        <v>10</v>
      </c>
      <c r="V15" s="72" t="n">
        <f aca="false">$D15</f>
        <v>10</v>
      </c>
      <c r="W15" s="73" t="n">
        <f aca="false">Hypothèses!$D$14</f>
        <v>8</v>
      </c>
      <c r="X15" s="73" t="n">
        <f aca="false">Hypothèses!$E$14</f>
        <v>12</v>
      </c>
      <c r="Y15" s="72" t="n">
        <f aca="false">$D15</f>
        <v>10</v>
      </c>
      <c r="Z15" s="72" t="n">
        <f aca="false">$D15</f>
        <v>10</v>
      </c>
      <c r="AA15" s="72" t="n">
        <f aca="false">$D15</f>
        <v>10</v>
      </c>
      <c r="AB15" s="72" t="n">
        <f aca="false">$D15</f>
        <v>10</v>
      </c>
      <c r="AC15" s="74" t="n">
        <f aca="false">IF($W$46&lt;=$X$46,Hypothèses!$D$14,Hypothèses!$E$14)</f>
        <v>8</v>
      </c>
      <c r="AD15" s="74" t="n">
        <f aca="false">IF($W$46&gt;$X$46,Hypothèses!$D$14,Hypothèses!$E$14)</f>
        <v>12</v>
      </c>
    </row>
    <row r="16" customFormat="false" ht="15" hidden="false" customHeight="false" outlineLevel="0" collapsed="false">
      <c r="A16" s="20" t="s">
        <v>906</v>
      </c>
      <c r="B16" s="5" t="s">
        <v>907</v>
      </c>
      <c r="C16" s="20" t="s">
        <v>101</v>
      </c>
      <c r="D16" s="60" t="n">
        <f aca="false">Hypothèses!$C$15</f>
        <v>0.5</v>
      </c>
      <c r="E16" s="61" t="n">
        <f aca="false">$D16</f>
        <v>0.5</v>
      </c>
      <c r="F16" s="61" t="n">
        <f aca="false">$D16</f>
        <v>0.5</v>
      </c>
      <c r="G16" s="61" t="n">
        <f aca="false">$D16</f>
        <v>0.5</v>
      </c>
      <c r="H16" s="61" t="n">
        <f aca="false">$D16</f>
        <v>0.5</v>
      </c>
      <c r="I16" s="61" t="n">
        <f aca="false">$D16</f>
        <v>0.5</v>
      </c>
      <c r="J16" s="61" t="n">
        <f aca="false">$D16</f>
        <v>0.5</v>
      </c>
      <c r="K16" s="61" t="n">
        <f aca="false">$D16</f>
        <v>0.5</v>
      </c>
      <c r="L16" s="61" t="n">
        <f aca="false">$D16</f>
        <v>0.5</v>
      </c>
      <c r="M16" s="61" t="n">
        <f aca="false">$D16</f>
        <v>0.5</v>
      </c>
      <c r="N16" s="61" t="n">
        <f aca="false">$D16</f>
        <v>0.5</v>
      </c>
      <c r="O16" s="61" t="n">
        <f aca="false">$D16</f>
        <v>0.5</v>
      </c>
      <c r="P16" s="61" t="n">
        <f aca="false">$D16</f>
        <v>0.5</v>
      </c>
      <c r="Q16" s="61" t="n">
        <f aca="false">$D16</f>
        <v>0.5</v>
      </c>
      <c r="R16" s="61" t="n">
        <f aca="false">$D16</f>
        <v>0.5</v>
      </c>
      <c r="S16" s="61" t="n">
        <f aca="false">$D16</f>
        <v>0.5</v>
      </c>
      <c r="T16" s="61" t="n">
        <f aca="false">$D16</f>
        <v>0.5</v>
      </c>
      <c r="U16" s="61" t="n">
        <f aca="false">$D16</f>
        <v>0.5</v>
      </c>
      <c r="V16" s="61" t="n">
        <f aca="false">$D16</f>
        <v>0.5</v>
      </c>
      <c r="W16" s="61" t="n">
        <f aca="false">$D16</f>
        <v>0.5</v>
      </c>
      <c r="X16" s="61" t="n">
        <f aca="false">$D16</f>
        <v>0.5</v>
      </c>
      <c r="Y16" s="75" t="n">
        <f aca="false">Hypothèses!$D$15</f>
        <v>0</v>
      </c>
      <c r="Z16" s="75" t="n">
        <f aca="false">Hypothèses!$E$15</f>
        <v>1</v>
      </c>
      <c r="AA16" s="61" t="n">
        <f aca="false">$D16</f>
        <v>0.5</v>
      </c>
      <c r="AB16" s="61" t="n">
        <f aca="false">$D16</f>
        <v>0.5</v>
      </c>
      <c r="AC16" s="76" t="n">
        <f aca="false">IF($Y$46&lt;=$Z$46,Hypothèses!$D$15,Hypothèses!$E$15)</f>
        <v>1</v>
      </c>
      <c r="AD16" s="76" t="n">
        <f aca="false">IF($Y$46&gt;$Z$46,Hypothèses!$D$15,Hypothèses!$E$15)</f>
        <v>0</v>
      </c>
    </row>
    <row r="17" customFormat="false" ht="15" hidden="false" customHeight="false" outlineLevel="0" collapsed="false">
      <c r="A17" s="20" t="s">
        <v>910</v>
      </c>
      <c r="B17" s="5" t="s">
        <v>911</v>
      </c>
      <c r="C17" s="20" t="s">
        <v>270</v>
      </c>
      <c r="D17" s="66" t="n">
        <f aca="false">Hypothèses!$C$16</f>
        <v>0.731914893617021</v>
      </c>
      <c r="E17" s="54" t="n">
        <f aca="false">$D17</f>
        <v>0.731914893617021</v>
      </c>
      <c r="F17" s="54" t="n">
        <f aca="false">$D17</f>
        <v>0.731914893617021</v>
      </c>
      <c r="G17" s="54" t="n">
        <f aca="false">$D17</f>
        <v>0.731914893617021</v>
      </c>
      <c r="H17" s="54" t="n">
        <f aca="false">$D17</f>
        <v>0.731914893617021</v>
      </c>
      <c r="I17" s="54" t="n">
        <f aca="false">$D17</f>
        <v>0.731914893617021</v>
      </c>
      <c r="J17" s="54" t="n">
        <f aca="false">$D17</f>
        <v>0.731914893617021</v>
      </c>
      <c r="K17" s="54" t="n">
        <f aca="false">$D17</f>
        <v>0.731914893617021</v>
      </c>
      <c r="L17" s="54" t="n">
        <f aca="false">$D17</f>
        <v>0.731914893617021</v>
      </c>
      <c r="M17" s="54" t="n">
        <f aca="false">$D17</f>
        <v>0.731914893617021</v>
      </c>
      <c r="N17" s="54" t="n">
        <f aca="false">$D17</f>
        <v>0.731914893617021</v>
      </c>
      <c r="O17" s="54" t="n">
        <f aca="false">$D17</f>
        <v>0.731914893617021</v>
      </c>
      <c r="P17" s="54" t="n">
        <f aca="false">$D17</f>
        <v>0.731914893617021</v>
      </c>
      <c r="Q17" s="54" t="n">
        <f aca="false">$D17</f>
        <v>0.731914893617021</v>
      </c>
      <c r="R17" s="54" t="n">
        <f aca="false">$D17</f>
        <v>0.731914893617021</v>
      </c>
      <c r="S17" s="54" t="n">
        <f aca="false">$D17</f>
        <v>0.731914893617021</v>
      </c>
      <c r="T17" s="54" t="n">
        <f aca="false">$D17</f>
        <v>0.731914893617021</v>
      </c>
      <c r="U17" s="54" t="n">
        <f aca="false">$D17</f>
        <v>0.731914893617021</v>
      </c>
      <c r="V17" s="54" t="n">
        <f aca="false">$D17</f>
        <v>0.731914893617021</v>
      </c>
      <c r="W17" s="54" t="n">
        <f aca="false">$D17</f>
        <v>0.731914893617021</v>
      </c>
      <c r="X17" s="54" t="n">
        <f aca="false">$D17</f>
        <v>0.731914893617021</v>
      </c>
      <c r="Y17" s="54" t="n">
        <f aca="false">$D17</f>
        <v>0.731914893617021</v>
      </c>
      <c r="Z17" s="54" t="n">
        <f aca="false">$D17</f>
        <v>0.731914893617021</v>
      </c>
      <c r="AA17" s="67" t="n">
        <f aca="false">Hypothèses!$D$16</f>
        <v>0.69531914893617</v>
      </c>
      <c r="AB17" s="67" t="n">
        <f aca="false">Hypothèses!$E$16</f>
        <v>0.753872340425532</v>
      </c>
      <c r="AC17" s="68" t="n">
        <f aca="false">IF($AA$46&lt;=$AB$46,Hypothèses!$D$16,Hypothèses!$E$16)</f>
        <v>0.69531914893617</v>
      </c>
      <c r="AD17" s="68" t="n">
        <f aca="false">IF($AA$46&gt;$AB$46,Hypothèses!$D$16,Hypothèses!$E$16)</f>
        <v>0.753872340425532</v>
      </c>
    </row>
    <row r="18" customFormat="false" ht="15" hidden="false" customHeight="false" outlineLevel="0" collapsed="false">
      <c r="A18" s="20" t="s">
        <v>915</v>
      </c>
      <c r="B18" s="5" t="s">
        <v>916</v>
      </c>
      <c r="C18" s="20" t="s">
        <v>917</v>
      </c>
      <c r="D18" s="77" t="n">
        <f aca="false">Hypothèses!$C$19</f>
        <v>1.17584579071597</v>
      </c>
      <c r="E18" s="78" t="n">
        <f aca="false">$D18</f>
        <v>1.17584579071597</v>
      </c>
      <c r="F18" s="78" t="n">
        <f aca="false">$D18</f>
        <v>1.17584579071597</v>
      </c>
      <c r="G18" s="78" t="n">
        <f aca="false">$D18</f>
        <v>1.17584579071597</v>
      </c>
      <c r="H18" s="78" t="n">
        <f aca="false">$D18</f>
        <v>1.17584579071597</v>
      </c>
      <c r="I18" s="78" t="n">
        <f aca="false">$D18</f>
        <v>1.17584579071597</v>
      </c>
      <c r="J18" s="78" t="n">
        <f aca="false">$D18</f>
        <v>1.17584579071597</v>
      </c>
      <c r="K18" s="78" t="n">
        <f aca="false">$D18</f>
        <v>1.17584579071597</v>
      </c>
      <c r="L18" s="78" t="n">
        <f aca="false">$D18</f>
        <v>1.17584579071597</v>
      </c>
      <c r="M18" s="78" t="n">
        <f aca="false">$D18</f>
        <v>1.17584579071597</v>
      </c>
      <c r="N18" s="78" t="n">
        <f aca="false">$D18</f>
        <v>1.17584579071597</v>
      </c>
      <c r="O18" s="78" t="n">
        <f aca="false">$D18</f>
        <v>1.17584579071597</v>
      </c>
      <c r="P18" s="78" t="n">
        <f aca="false">$D18</f>
        <v>1.17584579071597</v>
      </c>
      <c r="Q18" s="78" t="n">
        <f aca="false">$D18</f>
        <v>1.17584579071597</v>
      </c>
      <c r="R18" s="78" t="n">
        <f aca="false">$D18</f>
        <v>1.17584579071597</v>
      </c>
      <c r="S18" s="78" t="n">
        <f aca="false">$D18</f>
        <v>1.17584579071597</v>
      </c>
      <c r="T18" s="78" t="n">
        <f aca="false">$D18</f>
        <v>1.17584579071597</v>
      </c>
      <c r="U18" s="78" t="n">
        <f aca="false">$D18</f>
        <v>1.17584579071597</v>
      </c>
      <c r="V18" s="78" t="n">
        <f aca="false">$D18</f>
        <v>1.17584579071597</v>
      </c>
      <c r="W18" s="78" t="n">
        <f aca="false">$D18</f>
        <v>1.17584579071597</v>
      </c>
      <c r="X18" s="78" t="n">
        <f aca="false">$D18</f>
        <v>1.17584579071597</v>
      </c>
      <c r="Y18" s="78" t="n">
        <f aca="false">$D18</f>
        <v>1.17584579071597</v>
      </c>
      <c r="Z18" s="78" t="n">
        <f aca="false">$D18</f>
        <v>1.17584579071597</v>
      </c>
      <c r="AA18" s="78" t="n">
        <f aca="false">$D18</f>
        <v>1.17584579071597</v>
      </c>
      <c r="AB18" s="78" t="n">
        <f aca="false">$D18</f>
        <v>1.17584579071597</v>
      </c>
      <c r="AC18" s="78" t="n">
        <f aca="false">$D18</f>
        <v>1.17584579071597</v>
      </c>
      <c r="AD18" s="78" t="n">
        <f aca="false">$D18</f>
        <v>1.17584579071597</v>
      </c>
    </row>
    <row r="19" customFormat="false" ht="15" hidden="false" customHeight="false" outlineLevel="0" collapsed="false">
      <c r="A19" s="20" t="s">
        <v>920</v>
      </c>
      <c r="B19" s="5" t="s">
        <v>921</v>
      </c>
      <c r="C19" s="20" t="s">
        <v>74</v>
      </c>
      <c r="D19" s="48" t="n">
        <f aca="false">Hypothèses!$C$20</f>
        <v>295</v>
      </c>
      <c r="E19" s="52" t="n">
        <f aca="false">$D19</f>
        <v>295</v>
      </c>
      <c r="F19" s="52" t="n">
        <f aca="false">$D19</f>
        <v>295</v>
      </c>
      <c r="G19" s="52" t="n">
        <f aca="false">$D19</f>
        <v>295</v>
      </c>
      <c r="H19" s="52" t="n">
        <f aca="false">$D19</f>
        <v>295</v>
      </c>
      <c r="I19" s="52" t="n">
        <f aca="false">$D19</f>
        <v>295</v>
      </c>
      <c r="J19" s="52" t="n">
        <f aca="false">$D19</f>
        <v>295</v>
      </c>
      <c r="K19" s="52" t="n">
        <f aca="false">$D19</f>
        <v>295</v>
      </c>
      <c r="L19" s="52" t="n">
        <f aca="false">$D19</f>
        <v>295</v>
      </c>
      <c r="M19" s="52" t="n">
        <f aca="false">$D19</f>
        <v>295</v>
      </c>
      <c r="N19" s="52" t="n">
        <f aca="false">$D19</f>
        <v>295</v>
      </c>
      <c r="O19" s="52" t="n">
        <f aca="false">$D19</f>
        <v>295</v>
      </c>
      <c r="P19" s="52" t="n">
        <f aca="false">$D19</f>
        <v>295</v>
      </c>
      <c r="Q19" s="52" t="n">
        <f aca="false">$D19</f>
        <v>295</v>
      </c>
      <c r="R19" s="52" t="n">
        <f aca="false">$D19</f>
        <v>295</v>
      </c>
      <c r="S19" s="52" t="n">
        <f aca="false">$D19</f>
        <v>295</v>
      </c>
      <c r="T19" s="52" t="n">
        <f aca="false">$D19</f>
        <v>295</v>
      </c>
      <c r="U19" s="52" t="n">
        <f aca="false">$D19</f>
        <v>295</v>
      </c>
      <c r="V19" s="52" t="n">
        <f aca="false">$D19</f>
        <v>295</v>
      </c>
      <c r="W19" s="52" t="n">
        <f aca="false">$D19</f>
        <v>295</v>
      </c>
      <c r="X19" s="52" t="n">
        <f aca="false">$D19</f>
        <v>295</v>
      </c>
      <c r="Y19" s="52" t="n">
        <f aca="false">$D19</f>
        <v>295</v>
      </c>
      <c r="Z19" s="52" t="n">
        <f aca="false">$D19</f>
        <v>295</v>
      </c>
      <c r="AA19" s="52" t="n">
        <f aca="false">$D19</f>
        <v>295</v>
      </c>
      <c r="AB19" s="52" t="n">
        <f aca="false">$D19</f>
        <v>295</v>
      </c>
      <c r="AC19" s="52" t="n">
        <f aca="false">$D19</f>
        <v>295</v>
      </c>
      <c r="AD19" s="52" t="n">
        <f aca="false">$D19</f>
        <v>295</v>
      </c>
    </row>
    <row r="20" customFormat="false" ht="15" hidden="false" customHeight="false" outlineLevel="0" collapsed="false">
      <c r="A20" s="20" t="s">
        <v>924</v>
      </c>
      <c r="B20" s="5" t="s">
        <v>925</v>
      </c>
      <c r="C20" s="20" t="s">
        <v>104</v>
      </c>
      <c r="D20" s="71" t="n">
        <f aca="false">Hypothèses!$C$21</f>
        <v>9.8</v>
      </c>
      <c r="E20" s="72" t="n">
        <f aca="false">$D20</f>
        <v>9.8</v>
      </c>
      <c r="F20" s="72" t="n">
        <f aca="false">$D20</f>
        <v>9.8</v>
      </c>
      <c r="G20" s="72" t="n">
        <f aca="false">$D20</f>
        <v>9.8</v>
      </c>
      <c r="H20" s="72" t="n">
        <f aca="false">$D20</f>
        <v>9.8</v>
      </c>
      <c r="I20" s="72" t="n">
        <f aca="false">$D20</f>
        <v>9.8</v>
      </c>
      <c r="J20" s="72" t="n">
        <f aca="false">$D20</f>
        <v>9.8</v>
      </c>
      <c r="K20" s="72" t="n">
        <f aca="false">$D20</f>
        <v>9.8</v>
      </c>
      <c r="L20" s="72" t="n">
        <f aca="false">$D20</f>
        <v>9.8</v>
      </c>
      <c r="M20" s="72" t="n">
        <f aca="false">$D20</f>
        <v>9.8</v>
      </c>
      <c r="N20" s="72" t="n">
        <f aca="false">$D20</f>
        <v>9.8</v>
      </c>
      <c r="O20" s="72" t="n">
        <f aca="false">$D20</f>
        <v>9.8</v>
      </c>
      <c r="P20" s="72" t="n">
        <f aca="false">$D20</f>
        <v>9.8</v>
      </c>
      <c r="Q20" s="72" t="n">
        <f aca="false">$D20</f>
        <v>9.8</v>
      </c>
      <c r="R20" s="72" t="n">
        <f aca="false">$D20</f>
        <v>9.8</v>
      </c>
      <c r="S20" s="72" t="n">
        <f aca="false">$D20</f>
        <v>9.8</v>
      </c>
      <c r="T20" s="72" t="n">
        <f aca="false">$D20</f>
        <v>9.8</v>
      </c>
      <c r="U20" s="72" t="n">
        <f aca="false">$D20</f>
        <v>9.8</v>
      </c>
      <c r="V20" s="72" t="n">
        <f aca="false">$D20</f>
        <v>9.8</v>
      </c>
      <c r="W20" s="72" t="n">
        <f aca="false">$D20</f>
        <v>9.8</v>
      </c>
      <c r="X20" s="72" t="n">
        <f aca="false">$D20</f>
        <v>9.8</v>
      </c>
      <c r="Y20" s="72" t="n">
        <f aca="false">$D20</f>
        <v>9.8</v>
      </c>
      <c r="Z20" s="72" t="n">
        <f aca="false">$D20</f>
        <v>9.8</v>
      </c>
      <c r="AA20" s="72" t="n">
        <f aca="false">$D20</f>
        <v>9.8</v>
      </c>
      <c r="AB20" s="72" t="n">
        <f aca="false">$D20</f>
        <v>9.8</v>
      </c>
      <c r="AC20" s="72" t="n">
        <f aca="false">$D20</f>
        <v>9.8</v>
      </c>
      <c r="AD20" s="72" t="n">
        <f aca="false">$D20</f>
        <v>9.8</v>
      </c>
    </row>
    <row r="21" customFormat="false" ht="15" hidden="false" customHeight="false" outlineLevel="0" collapsed="false">
      <c r="A21" s="20" t="s">
        <v>927</v>
      </c>
      <c r="B21" s="5" t="s">
        <v>928</v>
      </c>
      <c r="C21" s="20" t="s">
        <v>101</v>
      </c>
      <c r="D21" s="60" t="n">
        <f aca="false">Hypothèses!$C$22</f>
        <v>0</v>
      </c>
      <c r="E21" s="61" t="n">
        <f aca="false">$D21</f>
        <v>0</v>
      </c>
      <c r="F21" s="61" t="n">
        <f aca="false">$D21</f>
        <v>0</v>
      </c>
      <c r="G21" s="61" t="n">
        <f aca="false">$D21</f>
        <v>0</v>
      </c>
      <c r="H21" s="61" t="n">
        <f aca="false">$D21</f>
        <v>0</v>
      </c>
      <c r="I21" s="61" t="n">
        <f aca="false">$D21</f>
        <v>0</v>
      </c>
      <c r="J21" s="61" t="n">
        <f aca="false">$D21</f>
        <v>0</v>
      </c>
      <c r="K21" s="61" t="n">
        <f aca="false">$D21</f>
        <v>0</v>
      </c>
      <c r="L21" s="61" t="n">
        <f aca="false">$D21</f>
        <v>0</v>
      </c>
      <c r="M21" s="61" t="n">
        <f aca="false">$D21</f>
        <v>0</v>
      </c>
      <c r="N21" s="61" t="n">
        <f aca="false">$D21</f>
        <v>0</v>
      </c>
      <c r="O21" s="61" t="n">
        <f aca="false">$D21</f>
        <v>0</v>
      </c>
      <c r="P21" s="61" t="n">
        <f aca="false">$D21</f>
        <v>0</v>
      </c>
      <c r="Q21" s="61" t="n">
        <f aca="false">$D21</f>
        <v>0</v>
      </c>
      <c r="R21" s="61" t="n">
        <f aca="false">$D21</f>
        <v>0</v>
      </c>
      <c r="S21" s="61" t="n">
        <f aca="false">$D21</f>
        <v>0</v>
      </c>
      <c r="T21" s="61" t="n">
        <f aca="false">$D21</f>
        <v>0</v>
      </c>
      <c r="U21" s="61" t="n">
        <f aca="false">$D21</f>
        <v>0</v>
      </c>
      <c r="V21" s="61" t="n">
        <f aca="false">$D21</f>
        <v>0</v>
      </c>
      <c r="W21" s="61" t="n">
        <f aca="false">$D21</f>
        <v>0</v>
      </c>
      <c r="X21" s="61" t="n">
        <f aca="false">$D21</f>
        <v>0</v>
      </c>
      <c r="Y21" s="61" t="n">
        <f aca="false">$D21</f>
        <v>0</v>
      </c>
      <c r="Z21" s="61" t="n">
        <f aca="false">$D21</f>
        <v>0</v>
      </c>
      <c r="AA21" s="61" t="n">
        <f aca="false">$D21</f>
        <v>0</v>
      </c>
      <c r="AB21" s="61" t="n">
        <f aca="false">$D21</f>
        <v>0</v>
      </c>
      <c r="AC21" s="61" t="n">
        <f aca="false">$D21</f>
        <v>0</v>
      </c>
      <c r="AD21" s="61" t="n">
        <f aca="false">$D21</f>
        <v>0</v>
      </c>
    </row>
    <row r="22" customFormat="false" ht="15" hidden="false" customHeight="false" outlineLevel="0" collapsed="false">
      <c r="A22" s="20" t="s">
        <v>930</v>
      </c>
      <c r="B22" s="5" t="s">
        <v>931</v>
      </c>
      <c r="C22" s="20" t="s">
        <v>74</v>
      </c>
      <c r="D22" s="48" t="n">
        <f aca="false">Hypothèses!$C$23</f>
        <v>0</v>
      </c>
      <c r="E22" s="52" t="n">
        <f aca="false">$D22</f>
        <v>0</v>
      </c>
      <c r="F22" s="52" t="n">
        <f aca="false">$D22</f>
        <v>0</v>
      </c>
      <c r="G22" s="52" t="n">
        <f aca="false">$D22</f>
        <v>0</v>
      </c>
      <c r="H22" s="52" t="n">
        <f aca="false">$D22</f>
        <v>0</v>
      </c>
      <c r="I22" s="52" t="n">
        <f aca="false">$D22</f>
        <v>0</v>
      </c>
      <c r="J22" s="52" t="n">
        <f aca="false">$D22</f>
        <v>0</v>
      </c>
      <c r="K22" s="52" t="n">
        <f aca="false">$D22</f>
        <v>0</v>
      </c>
      <c r="L22" s="52" t="n">
        <f aca="false">$D22</f>
        <v>0</v>
      </c>
      <c r="M22" s="52" t="n">
        <f aca="false">$D22</f>
        <v>0</v>
      </c>
      <c r="N22" s="52" t="n">
        <f aca="false">$D22</f>
        <v>0</v>
      </c>
      <c r="O22" s="52" t="n">
        <f aca="false">$D22</f>
        <v>0</v>
      </c>
      <c r="P22" s="52" t="n">
        <f aca="false">$D22</f>
        <v>0</v>
      </c>
      <c r="Q22" s="52" t="n">
        <f aca="false">$D22</f>
        <v>0</v>
      </c>
      <c r="R22" s="52" t="n">
        <f aca="false">$D22</f>
        <v>0</v>
      </c>
      <c r="S22" s="52" t="n">
        <f aca="false">$D22</f>
        <v>0</v>
      </c>
      <c r="T22" s="52" t="n">
        <f aca="false">$D22</f>
        <v>0</v>
      </c>
      <c r="U22" s="52" t="n">
        <f aca="false">$D22</f>
        <v>0</v>
      </c>
      <c r="V22" s="52" t="n">
        <f aca="false">$D22</f>
        <v>0</v>
      </c>
      <c r="W22" s="52" t="n">
        <f aca="false">$D22</f>
        <v>0</v>
      </c>
      <c r="X22" s="52" t="n">
        <f aca="false">$D22</f>
        <v>0</v>
      </c>
      <c r="Y22" s="52" t="n">
        <f aca="false">$D22</f>
        <v>0</v>
      </c>
      <c r="Z22" s="52" t="n">
        <f aca="false">$D22</f>
        <v>0</v>
      </c>
      <c r="AA22" s="52" t="n">
        <f aca="false">$D22</f>
        <v>0</v>
      </c>
      <c r="AB22" s="52" t="n">
        <f aca="false">$D22</f>
        <v>0</v>
      </c>
      <c r="AC22" s="52" t="n">
        <f aca="false">$D22</f>
        <v>0</v>
      </c>
      <c r="AD22" s="52" t="n">
        <f aca="false">$D22</f>
        <v>0</v>
      </c>
    </row>
    <row r="23" customFormat="false" ht="15" hidden="false" customHeight="false" outlineLevel="0" collapsed="false">
      <c r="A23" s="20" t="s">
        <v>933</v>
      </c>
      <c r="B23" s="5" t="s">
        <v>934</v>
      </c>
      <c r="C23" s="20" t="s">
        <v>935</v>
      </c>
      <c r="D23" s="79" t="n">
        <f aca="false">Hypothèses!$C$24</f>
        <v>7</v>
      </c>
      <c r="E23" s="80" t="n">
        <f aca="false">$D23</f>
        <v>7</v>
      </c>
      <c r="F23" s="80" t="n">
        <f aca="false">$D23</f>
        <v>7</v>
      </c>
      <c r="G23" s="80" t="n">
        <f aca="false">$D23</f>
        <v>7</v>
      </c>
      <c r="H23" s="80" t="n">
        <f aca="false">$D23</f>
        <v>7</v>
      </c>
      <c r="I23" s="80" t="n">
        <f aca="false">$D23</f>
        <v>7</v>
      </c>
      <c r="J23" s="80" t="n">
        <f aca="false">$D23</f>
        <v>7</v>
      </c>
      <c r="K23" s="80" t="n">
        <f aca="false">$D23</f>
        <v>7</v>
      </c>
      <c r="L23" s="80" t="n">
        <f aca="false">$D23</f>
        <v>7</v>
      </c>
      <c r="M23" s="80" t="n">
        <f aca="false">$D23</f>
        <v>7</v>
      </c>
      <c r="N23" s="80" t="n">
        <f aca="false">$D23</f>
        <v>7</v>
      </c>
      <c r="O23" s="80" t="n">
        <f aca="false">$D23</f>
        <v>7</v>
      </c>
      <c r="P23" s="80" t="n">
        <f aca="false">$D23</f>
        <v>7</v>
      </c>
      <c r="Q23" s="80" t="n">
        <f aca="false">$D23</f>
        <v>7</v>
      </c>
      <c r="R23" s="80" t="n">
        <f aca="false">$D23</f>
        <v>7</v>
      </c>
      <c r="S23" s="80" t="n">
        <f aca="false">$D23</f>
        <v>7</v>
      </c>
      <c r="T23" s="80" t="n">
        <f aca="false">$D23</f>
        <v>7</v>
      </c>
      <c r="U23" s="80" t="n">
        <f aca="false">$D23</f>
        <v>7</v>
      </c>
      <c r="V23" s="80" t="n">
        <f aca="false">$D23</f>
        <v>7</v>
      </c>
      <c r="W23" s="80" t="n">
        <f aca="false">$D23</f>
        <v>7</v>
      </c>
      <c r="X23" s="80" t="n">
        <f aca="false">$D23</f>
        <v>7</v>
      </c>
      <c r="Y23" s="80" t="n">
        <f aca="false">$D23</f>
        <v>7</v>
      </c>
      <c r="Z23" s="80" t="n">
        <f aca="false">$D23</f>
        <v>7</v>
      </c>
      <c r="AA23" s="80" t="n">
        <f aca="false">$D23</f>
        <v>7</v>
      </c>
      <c r="AB23" s="80" t="n">
        <f aca="false">$D23</f>
        <v>7</v>
      </c>
      <c r="AC23" s="80" t="n">
        <f aca="false">$D23</f>
        <v>7</v>
      </c>
      <c r="AD23" s="80" t="n">
        <f aca="false">$D23</f>
        <v>7</v>
      </c>
    </row>
    <row r="24" customFormat="false" ht="15" hidden="false" customHeight="false" outlineLevel="0" collapsed="false">
      <c r="A24" s="20" t="s">
        <v>937</v>
      </c>
      <c r="B24" s="5" t="s">
        <v>938</v>
      </c>
      <c r="C24" s="20" t="s">
        <v>220</v>
      </c>
      <c r="D24" s="81" t="n">
        <f aca="false">Hypothèses!$C$25</f>
        <v>22.5</v>
      </c>
      <c r="E24" s="82" t="n">
        <f aca="false">$D24</f>
        <v>22.5</v>
      </c>
      <c r="F24" s="82" t="n">
        <f aca="false">$D24</f>
        <v>22.5</v>
      </c>
      <c r="G24" s="82" t="n">
        <f aca="false">$D24</f>
        <v>22.5</v>
      </c>
      <c r="H24" s="82" t="n">
        <f aca="false">$D24</f>
        <v>22.5</v>
      </c>
      <c r="I24" s="82" t="n">
        <f aca="false">$D24</f>
        <v>22.5</v>
      </c>
      <c r="J24" s="82" t="n">
        <f aca="false">$D24</f>
        <v>22.5</v>
      </c>
      <c r="K24" s="82" t="n">
        <f aca="false">$D24</f>
        <v>22.5</v>
      </c>
      <c r="L24" s="82" t="n">
        <f aca="false">$D24</f>
        <v>22.5</v>
      </c>
      <c r="M24" s="82" t="n">
        <f aca="false">$D24</f>
        <v>22.5</v>
      </c>
      <c r="N24" s="82" t="n">
        <f aca="false">$D24</f>
        <v>22.5</v>
      </c>
      <c r="O24" s="82" t="n">
        <f aca="false">$D24</f>
        <v>22.5</v>
      </c>
      <c r="P24" s="82" t="n">
        <f aca="false">$D24</f>
        <v>22.5</v>
      </c>
      <c r="Q24" s="82" t="n">
        <f aca="false">$D24</f>
        <v>22.5</v>
      </c>
      <c r="R24" s="82" t="n">
        <f aca="false">$D24</f>
        <v>22.5</v>
      </c>
      <c r="S24" s="82" t="n">
        <f aca="false">$D24</f>
        <v>22.5</v>
      </c>
      <c r="T24" s="82" t="n">
        <f aca="false">$D24</f>
        <v>22.5</v>
      </c>
      <c r="U24" s="82" t="n">
        <f aca="false">$D24</f>
        <v>22.5</v>
      </c>
      <c r="V24" s="82" t="n">
        <f aca="false">$D24</f>
        <v>22.5</v>
      </c>
      <c r="W24" s="82" t="n">
        <f aca="false">$D24</f>
        <v>22.5</v>
      </c>
      <c r="X24" s="82" t="n">
        <f aca="false">$D24</f>
        <v>22.5</v>
      </c>
      <c r="Y24" s="82" t="n">
        <f aca="false">$D24</f>
        <v>22.5</v>
      </c>
      <c r="Z24" s="82" t="n">
        <f aca="false">$D24</f>
        <v>22.5</v>
      </c>
      <c r="AA24" s="82" t="n">
        <f aca="false">$D24</f>
        <v>22.5</v>
      </c>
      <c r="AB24" s="82" t="n">
        <f aca="false">$D24</f>
        <v>22.5</v>
      </c>
      <c r="AC24" s="82" t="n">
        <f aca="false">$D24</f>
        <v>22.5</v>
      </c>
      <c r="AD24" s="82" t="n">
        <f aca="false">$D24</f>
        <v>22.5</v>
      </c>
    </row>
    <row r="25" customFormat="false" ht="15" hidden="false" customHeight="false" outlineLevel="0" collapsed="false">
      <c r="A25" s="20" t="s">
        <v>940</v>
      </c>
      <c r="B25" s="5" t="s">
        <v>941</v>
      </c>
      <c r="C25" s="20" t="s">
        <v>104</v>
      </c>
      <c r="D25" s="71" t="n">
        <f aca="false">Hypothèses!$C$26</f>
        <v>3</v>
      </c>
      <c r="E25" s="72" t="n">
        <f aca="false">$D25</f>
        <v>3</v>
      </c>
      <c r="F25" s="72" t="n">
        <f aca="false">$D25</f>
        <v>3</v>
      </c>
      <c r="G25" s="72" t="n">
        <f aca="false">$D25</f>
        <v>3</v>
      </c>
      <c r="H25" s="72" t="n">
        <f aca="false">$D25</f>
        <v>3</v>
      </c>
      <c r="I25" s="72" t="n">
        <f aca="false">$D25</f>
        <v>3</v>
      </c>
      <c r="J25" s="72" t="n">
        <f aca="false">$D25</f>
        <v>3</v>
      </c>
      <c r="K25" s="72" t="n">
        <f aca="false">$D25</f>
        <v>3</v>
      </c>
      <c r="L25" s="72" t="n">
        <f aca="false">$D25</f>
        <v>3</v>
      </c>
      <c r="M25" s="72" t="n">
        <f aca="false">$D25</f>
        <v>3</v>
      </c>
      <c r="N25" s="72" t="n">
        <f aca="false">$D25</f>
        <v>3</v>
      </c>
      <c r="O25" s="72" t="n">
        <f aca="false">$D25</f>
        <v>3</v>
      </c>
      <c r="P25" s="72" t="n">
        <f aca="false">$D25</f>
        <v>3</v>
      </c>
      <c r="Q25" s="72" t="n">
        <f aca="false">$D25</f>
        <v>3</v>
      </c>
      <c r="R25" s="72" t="n">
        <f aca="false">$D25</f>
        <v>3</v>
      </c>
      <c r="S25" s="72" t="n">
        <f aca="false">$D25</f>
        <v>3</v>
      </c>
      <c r="T25" s="72" t="n">
        <f aca="false">$D25</f>
        <v>3</v>
      </c>
      <c r="U25" s="72" t="n">
        <f aca="false">$D25</f>
        <v>3</v>
      </c>
      <c r="V25" s="72" t="n">
        <f aca="false">$D25</f>
        <v>3</v>
      </c>
      <c r="W25" s="72" t="n">
        <f aca="false">$D25</f>
        <v>3</v>
      </c>
      <c r="X25" s="72" t="n">
        <f aca="false">$D25</f>
        <v>3</v>
      </c>
      <c r="Y25" s="72" t="n">
        <f aca="false">$D25</f>
        <v>3</v>
      </c>
      <c r="Z25" s="72" t="n">
        <f aca="false">$D25</f>
        <v>3</v>
      </c>
      <c r="AA25" s="72" t="n">
        <f aca="false">$D25</f>
        <v>3</v>
      </c>
      <c r="AB25" s="72" t="n">
        <f aca="false">$D25</f>
        <v>3</v>
      </c>
      <c r="AC25" s="72" t="n">
        <f aca="false">$D25</f>
        <v>3</v>
      </c>
      <c r="AD25" s="72" t="n">
        <f aca="false">$D25</f>
        <v>3</v>
      </c>
    </row>
    <row r="26" customFormat="false" ht="15" hidden="false" customHeight="false" outlineLevel="0" collapsed="false">
      <c r="A26" s="2"/>
      <c r="B26" s="18" t="s">
        <v>1193</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customFormat="false" ht="15" hidden="false" customHeight="false" outlineLevel="0" collapsed="false">
      <c r="A27" s="20" t="s">
        <v>1194</v>
      </c>
      <c r="B27" s="5" t="s">
        <v>1195</v>
      </c>
      <c r="C27" s="20" t="s">
        <v>74</v>
      </c>
      <c r="D27" s="52" t="n">
        <f aca="false">Entrées!$C$8*(1+D6)</f>
        <v>7437.75</v>
      </c>
      <c r="E27" s="52" t="n">
        <f aca="false">Entrées!$C$8*(1+E6)</f>
        <v>7402.5</v>
      </c>
      <c r="F27" s="52" t="n">
        <f aca="false">Entrées!$C$8*(1+F6)</f>
        <v>7473</v>
      </c>
      <c r="G27" s="52" t="n">
        <f aca="false">Entrées!$C$8*(1+G6)</f>
        <v>7437.75</v>
      </c>
      <c r="H27" s="52" t="n">
        <f aca="false">Entrées!$C$8*(1+H6)</f>
        <v>7437.75</v>
      </c>
      <c r="I27" s="52" t="n">
        <f aca="false">Entrées!$C$8*(1+I6)</f>
        <v>7437.75</v>
      </c>
      <c r="J27" s="52" t="n">
        <f aca="false">Entrées!$C$8*(1+J6)</f>
        <v>7437.75</v>
      </c>
      <c r="K27" s="52" t="n">
        <f aca="false">Entrées!$C$8*(1+K6)</f>
        <v>7437.75</v>
      </c>
      <c r="L27" s="52" t="n">
        <f aca="false">Entrées!$C$8*(1+L6)</f>
        <v>7437.75</v>
      </c>
      <c r="M27" s="52" t="n">
        <f aca="false">Entrées!$C$8*(1+M6)</f>
        <v>7437.75</v>
      </c>
      <c r="N27" s="52" t="n">
        <f aca="false">Entrées!$C$8*(1+N6)</f>
        <v>7437.75</v>
      </c>
      <c r="O27" s="52" t="n">
        <f aca="false">Entrées!$C$8*(1+O6)</f>
        <v>7437.75</v>
      </c>
      <c r="P27" s="52" t="n">
        <f aca="false">Entrées!$C$8*(1+P6)</f>
        <v>7437.75</v>
      </c>
      <c r="Q27" s="52" t="n">
        <f aca="false">Entrées!$C$8*(1+Q6)</f>
        <v>7437.75</v>
      </c>
      <c r="R27" s="52" t="n">
        <f aca="false">Entrées!$C$8*(1+R6)</f>
        <v>7437.75</v>
      </c>
      <c r="S27" s="52" t="n">
        <f aca="false">Entrées!$C$8*(1+S6)</f>
        <v>7437.75</v>
      </c>
      <c r="T27" s="52" t="n">
        <f aca="false">Entrées!$C$8*(1+T6)</f>
        <v>7437.75</v>
      </c>
      <c r="U27" s="52" t="n">
        <f aca="false">Entrées!$C$8*(1+U6)</f>
        <v>7437.75</v>
      </c>
      <c r="V27" s="52" t="n">
        <f aca="false">Entrées!$C$8*(1+V6)</f>
        <v>7437.75</v>
      </c>
      <c r="W27" s="52" t="n">
        <f aca="false">Entrées!$C$8*(1+W6)</f>
        <v>7437.75</v>
      </c>
      <c r="X27" s="52" t="n">
        <f aca="false">Entrées!$C$8*(1+X6)</f>
        <v>7437.75</v>
      </c>
      <c r="Y27" s="52" t="n">
        <f aca="false">Entrées!$C$8*(1+Y6)</f>
        <v>7437.75</v>
      </c>
      <c r="Z27" s="52" t="n">
        <f aca="false">Entrées!$C$8*(1+Z6)</f>
        <v>7437.75</v>
      </c>
      <c r="AA27" s="52" t="n">
        <f aca="false">Entrées!$C$8*(1+AA6)</f>
        <v>7437.75</v>
      </c>
      <c r="AB27" s="52" t="n">
        <f aca="false">Entrées!$C$8*(1+AB6)</f>
        <v>7437.75</v>
      </c>
      <c r="AC27" s="52" t="n">
        <f aca="false">Entrées!$C$8*(1+AC6)</f>
        <v>7402.5</v>
      </c>
      <c r="AD27" s="52" t="n">
        <f aca="false">Entrées!$C$8*(1+AD6)</f>
        <v>7473</v>
      </c>
    </row>
    <row r="28" customFormat="false" ht="15" hidden="false" customHeight="false" outlineLevel="0" collapsed="false">
      <c r="A28" s="20" t="s">
        <v>1196</v>
      </c>
      <c r="B28" s="5" t="s">
        <v>1197</v>
      </c>
      <c r="C28" s="20" t="s">
        <v>74</v>
      </c>
      <c r="D28" s="52" t="n">
        <f aca="false">D8*D23/12/D18</f>
        <v>99.2193598750976</v>
      </c>
      <c r="E28" s="52" t="n">
        <f aca="false">E8*E23/12/E18</f>
        <v>99.2193598750976</v>
      </c>
      <c r="F28" s="52" t="n">
        <f aca="false">F8*F23/12/F18</f>
        <v>99.2193598750976</v>
      </c>
      <c r="G28" s="52" t="n">
        <f aca="false">G8*G23/12/G18</f>
        <v>99.2193598750976</v>
      </c>
      <c r="H28" s="52" t="n">
        <f aca="false">H8*H23/12/H18</f>
        <v>99.2193598750976</v>
      </c>
      <c r="I28" s="52" t="n">
        <f aca="false">I8*I23/12/I18</f>
        <v>89.2974238875878</v>
      </c>
      <c r="J28" s="52" t="n">
        <f aca="false">J8*J23/12/J18</f>
        <v>109.141295862607</v>
      </c>
      <c r="K28" s="52" t="n">
        <f aca="false">K8*K23/12/K18</f>
        <v>99.2193598750976</v>
      </c>
      <c r="L28" s="52" t="n">
        <f aca="false">L8*L23/12/L18</f>
        <v>99.2193598750976</v>
      </c>
      <c r="M28" s="52" t="n">
        <f aca="false">M8*M23/12/M18</f>
        <v>99.2193598750976</v>
      </c>
      <c r="N28" s="52" t="n">
        <f aca="false">N8*N23/12/N18</f>
        <v>99.2193598750976</v>
      </c>
      <c r="O28" s="52" t="n">
        <f aca="false">O8*O23/12/O18</f>
        <v>99.2193598750976</v>
      </c>
      <c r="P28" s="52" t="n">
        <f aca="false">P8*P23/12/P18</f>
        <v>99.2193598750976</v>
      </c>
      <c r="Q28" s="52" t="n">
        <f aca="false">Q8*Q23/12/Q18</f>
        <v>99.2193598750976</v>
      </c>
      <c r="R28" s="52" t="n">
        <f aca="false">R8*R23/12/R18</f>
        <v>99.2193598750976</v>
      </c>
      <c r="S28" s="52" t="n">
        <f aca="false">S8*S23/12/S18</f>
        <v>99.2193598750976</v>
      </c>
      <c r="T28" s="52" t="n">
        <f aca="false">T8*T23/12/T18</f>
        <v>99.2193598750976</v>
      </c>
      <c r="U28" s="52" t="n">
        <f aca="false">U8*U23/12/U18</f>
        <v>99.2193598750976</v>
      </c>
      <c r="V28" s="52" t="n">
        <f aca="false">V8*V23/12/V18</f>
        <v>99.2193598750976</v>
      </c>
      <c r="W28" s="52" t="n">
        <f aca="false">W8*W23/12/W18</f>
        <v>99.2193598750976</v>
      </c>
      <c r="X28" s="52" t="n">
        <f aca="false">X8*X23/12/X18</f>
        <v>99.2193598750976</v>
      </c>
      <c r="Y28" s="52" t="n">
        <f aca="false">Y8*Y23/12/Y18</f>
        <v>99.2193598750976</v>
      </c>
      <c r="Z28" s="52" t="n">
        <f aca="false">Z8*Z23/12/Z18</f>
        <v>99.2193598750976</v>
      </c>
      <c r="AA28" s="52" t="n">
        <f aca="false">AA8*AA23/12/AA18</f>
        <v>99.2193598750976</v>
      </c>
      <c r="AB28" s="52" t="n">
        <f aca="false">AB8*AB23/12/AB18</f>
        <v>99.2193598750976</v>
      </c>
      <c r="AC28" s="52" t="n">
        <f aca="false">AC8*AC23/12/AC18</f>
        <v>89.2974238875878</v>
      </c>
      <c r="AD28" s="52" t="n">
        <f aca="false">AD8*AD23/12/AD18</f>
        <v>109.141295862607</v>
      </c>
    </row>
    <row r="29" customFormat="false" ht="15" hidden="false" customHeight="false" outlineLevel="0" collapsed="false">
      <c r="A29" s="20" t="s">
        <v>1198</v>
      </c>
      <c r="B29" s="5" t="s">
        <v>1199</v>
      </c>
      <c r="C29" s="20" t="s">
        <v>74</v>
      </c>
      <c r="D29" s="52" t="n">
        <f aca="false">Entrées!$C$36*D13*1000</f>
        <v>250</v>
      </c>
      <c r="E29" s="52" t="n">
        <f aca="false">Entrées!$C$36*E13*1000</f>
        <v>250</v>
      </c>
      <c r="F29" s="52" t="n">
        <f aca="false">Entrées!$C$36*F13*1000</f>
        <v>250</v>
      </c>
      <c r="G29" s="52" t="n">
        <f aca="false">Entrées!$C$36*G13*1000</f>
        <v>250</v>
      </c>
      <c r="H29" s="52" t="n">
        <f aca="false">Entrées!$C$36*H13*1000</f>
        <v>250</v>
      </c>
      <c r="I29" s="52" t="n">
        <f aca="false">Entrées!$C$36*I13*1000</f>
        <v>250</v>
      </c>
      <c r="J29" s="52" t="n">
        <f aca="false">Entrées!$C$36*J13*1000</f>
        <v>250</v>
      </c>
      <c r="K29" s="52" t="n">
        <f aca="false">Entrées!$C$36*K13*1000</f>
        <v>250</v>
      </c>
      <c r="L29" s="52" t="n">
        <f aca="false">Entrées!$C$36*L13*1000</f>
        <v>250</v>
      </c>
      <c r="M29" s="52" t="n">
        <f aca="false">Entrées!$C$36*M13*1000</f>
        <v>250</v>
      </c>
      <c r="N29" s="52" t="n">
        <f aca="false">Entrées!$C$36*N13*1000</f>
        <v>250</v>
      </c>
      <c r="O29" s="52" t="n">
        <f aca="false">Entrées!$C$36*O13*1000</f>
        <v>250</v>
      </c>
      <c r="P29" s="52" t="n">
        <f aca="false">Entrées!$C$36*P13*1000</f>
        <v>250</v>
      </c>
      <c r="Q29" s="52" t="n">
        <f aca="false">Entrées!$C$36*Q13*1000</f>
        <v>250</v>
      </c>
      <c r="R29" s="52" t="n">
        <f aca="false">Entrées!$C$36*R13*1000</f>
        <v>250</v>
      </c>
      <c r="S29" s="52" t="n">
        <f aca="false">Entrées!$C$36*S13*1000</f>
        <v>0</v>
      </c>
      <c r="T29" s="52" t="n">
        <f aca="false">Entrées!$C$36*T13*1000</f>
        <v>500</v>
      </c>
      <c r="U29" s="52" t="n">
        <f aca="false">Entrées!$C$36*U13*1000</f>
        <v>250</v>
      </c>
      <c r="V29" s="52" t="n">
        <f aca="false">Entrées!$C$36*V13*1000</f>
        <v>250</v>
      </c>
      <c r="W29" s="52" t="n">
        <f aca="false">Entrées!$C$36*W13*1000</f>
        <v>250</v>
      </c>
      <c r="X29" s="52" t="n">
        <f aca="false">Entrées!$C$36*X13*1000</f>
        <v>250</v>
      </c>
      <c r="Y29" s="52" t="n">
        <f aca="false">Entrées!$C$36*Y13*1000</f>
        <v>250</v>
      </c>
      <c r="Z29" s="52" t="n">
        <f aca="false">Entrées!$C$36*Z13*1000</f>
        <v>250</v>
      </c>
      <c r="AA29" s="52" t="n">
        <f aca="false">Entrées!$C$36*AA13*1000</f>
        <v>250</v>
      </c>
      <c r="AB29" s="52" t="n">
        <f aca="false">Entrées!$C$36*AB13*1000</f>
        <v>250</v>
      </c>
      <c r="AC29" s="52" t="n">
        <f aca="false">Entrées!$C$36*AC13*1000</f>
        <v>500</v>
      </c>
      <c r="AD29" s="52" t="n">
        <f aca="false">Entrées!$C$36*AD13*1000</f>
        <v>0</v>
      </c>
    </row>
    <row r="30" customFormat="false" ht="15" hidden="false" customHeight="false" outlineLevel="0" collapsed="false">
      <c r="A30" s="20" t="s">
        <v>1200</v>
      </c>
      <c r="B30" s="5" t="s">
        <v>1201</v>
      </c>
      <c r="C30" s="20" t="s">
        <v>74</v>
      </c>
      <c r="D30" s="52" t="n">
        <f aca="false">-D29/D15</f>
        <v>-25</v>
      </c>
      <c r="E30" s="52" t="n">
        <f aca="false">-E29/E15</f>
        <v>-25</v>
      </c>
      <c r="F30" s="52" t="n">
        <f aca="false">-F29/F15</f>
        <v>-25</v>
      </c>
      <c r="G30" s="52" t="n">
        <f aca="false">-G29/G15</f>
        <v>-25</v>
      </c>
      <c r="H30" s="52" t="n">
        <f aca="false">-H29/H15</f>
        <v>-25</v>
      </c>
      <c r="I30" s="52" t="n">
        <f aca="false">-I29/I15</f>
        <v>-25</v>
      </c>
      <c r="J30" s="52" t="n">
        <f aca="false">-J29/J15</f>
        <v>-25</v>
      </c>
      <c r="K30" s="52" t="n">
        <f aca="false">-K29/K15</f>
        <v>-25</v>
      </c>
      <c r="L30" s="52" t="n">
        <f aca="false">-L29/L15</f>
        <v>-25</v>
      </c>
      <c r="M30" s="52" t="n">
        <f aca="false">-M29/M15</f>
        <v>-25</v>
      </c>
      <c r="N30" s="52" t="n">
        <f aca="false">-N29/N15</f>
        <v>-25</v>
      </c>
      <c r="O30" s="52" t="n">
        <f aca="false">-O29/O15</f>
        <v>-25</v>
      </c>
      <c r="P30" s="52" t="n">
        <f aca="false">-P29/P15</f>
        <v>-25</v>
      </c>
      <c r="Q30" s="52" t="n">
        <f aca="false">-Q29/Q15</f>
        <v>-25</v>
      </c>
      <c r="R30" s="52" t="n">
        <f aca="false">-R29/R15</f>
        <v>-25</v>
      </c>
      <c r="S30" s="52" t="n">
        <f aca="false">-S29/S15</f>
        <v>-0</v>
      </c>
      <c r="T30" s="52" t="n">
        <f aca="false">-T29/T15</f>
        <v>-50</v>
      </c>
      <c r="U30" s="52" t="n">
        <f aca="false">-U29/U15</f>
        <v>-25</v>
      </c>
      <c r="V30" s="52" t="n">
        <f aca="false">-V29/V15</f>
        <v>-25</v>
      </c>
      <c r="W30" s="52" t="n">
        <f aca="false">-W29/W15</f>
        <v>-31.25</v>
      </c>
      <c r="X30" s="52" t="n">
        <f aca="false">-X29/X15</f>
        <v>-20.8333333333333</v>
      </c>
      <c r="Y30" s="52" t="n">
        <f aca="false">-Y29/Y15</f>
        <v>-25</v>
      </c>
      <c r="Z30" s="52" t="n">
        <f aca="false">-Z29/Z15</f>
        <v>-25</v>
      </c>
      <c r="AA30" s="52" t="n">
        <f aca="false">-AA29/AA15</f>
        <v>-25</v>
      </c>
      <c r="AB30" s="52" t="n">
        <f aca="false">-AB29/AB15</f>
        <v>-25</v>
      </c>
      <c r="AC30" s="52" t="n">
        <f aca="false">-AC29/AC15</f>
        <v>-62.5</v>
      </c>
      <c r="AD30" s="52" t="n">
        <f aca="false">-AD29/AD15</f>
        <v>-0</v>
      </c>
    </row>
    <row r="31" customFormat="false" ht="15" hidden="false" customHeight="false" outlineLevel="0" collapsed="false">
      <c r="A31" s="20" t="s">
        <v>1202</v>
      </c>
      <c r="B31" s="18" t="s">
        <v>1203</v>
      </c>
      <c r="C31" s="20" t="s">
        <v>74</v>
      </c>
      <c r="D31" s="83" t="n">
        <f aca="false">D27+D28+D30</f>
        <v>7511.9693598751</v>
      </c>
      <c r="E31" s="83" t="n">
        <f aca="false">E27+E28+E30</f>
        <v>7476.7193598751</v>
      </c>
      <c r="F31" s="83" t="n">
        <f aca="false">F27+F28+F30</f>
        <v>7547.2193598751</v>
      </c>
      <c r="G31" s="83" t="n">
        <f aca="false">G27+G28+G30</f>
        <v>7511.9693598751</v>
      </c>
      <c r="H31" s="83" t="n">
        <f aca="false">H27+H28+H30</f>
        <v>7511.9693598751</v>
      </c>
      <c r="I31" s="83" t="n">
        <f aca="false">I27+I28+I30</f>
        <v>7502.04742388759</v>
      </c>
      <c r="J31" s="83" t="n">
        <f aca="false">J27+J28+J30</f>
        <v>7521.89129586261</v>
      </c>
      <c r="K31" s="83" t="n">
        <f aca="false">K27+K28+K30</f>
        <v>7511.9693598751</v>
      </c>
      <c r="L31" s="83" t="n">
        <f aca="false">L27+L28+L30</f>
        <v>7511.9693598751</v>
      </c>
      <c r="M31" s="83" t="n">
        <f aca="false">M27+M28+M30</f>
        <v>7511.9693598751</v>
      </c>
      <c r="N31" s="83" t="n">
        <f aca="false">N27+N28+N30</f>
        <v>7511.9693598751</v>
      </c>
      <c r="O31" s="83" t="n">
        <f aca="false">O27+O28+O30</f>
        <v>7511.9693598751</v>
      </c>
      <c r="P31" s="83" t="n">
        <f aca="false">P27+P28+P30</f>
        <v>7511.9693598751</v>
      </c>
      <c r="Q31" s="83" t="n">
        <f aca="false">Q27+Q28+Q30</f>
        <v>7511.9693598751</v>
      </c>
      <c r="R31" s="83" t="n">
        <f aca="false">R27+R28+R30</f>
        <v>7511.9693598751</v>
      </c>
      <c r="S31" s="83" t="n">
        <f aca="false">S27+S28+S30</f>
        <v>7536.9693598751</v>
      </c>
      <c r="T31" s="83" t="n">
        <f aca="false">T27+T28+T30</f>
        <v>7486.9693598751</v>
      </c>
      <c r="U31" s="83" t="n">
        <f aca="false">U27+U28+U30</f>
        <v>7511.9693598751</v>
      </c>
      <c r="V31" s="83" t="n">
        <f aca="false">V27+V28+V30</f>
        <v>7511.9693598751</v>
      </c>
      <c r="W31" s="83" t="n">
        <f aca="false">W27+W28+W30</f>
        <v>7505.7193598751</v>
      </c>
      <c r="X31" s="83" t="n">
        <f aca="false">X27+X28+X30</f>
        <v>7516.13602654176</v>
      </c>
      <c r="Y31" s="83" t="n">
        <f aca="false">Y27+Y28+Y30</f>
        <v>7511.9693598751</v>
      </c>
      <c r="Z31" s="83" t="n">
        <f aca="false">Z27+Z28+Z30</f>
        <v>7511.9693598751</v>
      </c>
      <c r="AA31" s="83" t="n">
        <f aca="false">AA27+AA28+AA30</f>
        <v>7511.9693598751</v>
      </c>
      <c r="AB31" s="83" t="n">
        <f aca="false">AB27+AB28+AB30</f>
        <v>7511.9693598751</v>
      </c>
      <c r="AC31" s="83" t="n">
        <f aca="false">AC27+AC28+AC30</f>
        <v>7429.29742388759</v>
      </c>
      <c r="AD31" s="83" t="n">
        <f aca="false">AD27+AD28+AD30</f>
        <v>7582.14129586261</v>
      </c>
    </row>
    <row r="32" customFormat="false" ht="15" hidden="false" customHeight="false" outlineLevel="0" collapsed="false">
      <c r="A32" s="20" t="s">
        <v>1204</v>
      </c>
      <c r="B32" s="18" t="s">
        <v>1205</v>
      </c>
      <c r="C32" s="20" t="s">
        <v>74</v>
      </c>
      <c r="D32" s="84" t="n">
        <f aca="false">Entrées!$C$16-D10+D21*1000-D29+D22</f>
        <v>22669</v>
      </c>
      <c r="E32" s="84" t="n">
        <f aca="false">Entrées!$C$16-E10+E21*1000-E29+E22</f>
        <v>22669</v>
      </c>
      <c r="F32" s="84" t="n">
        <f aca="false">Entrées!$C$16-F10+F21*1000-F29+F22</f>
        <v>22669</v>
      </c>
      <c r="G32" s="84" t="n">
        <f aca="false">Entrées!$C$16-G10+G21*1000-G29+G22</f>
        <v>22669</v>
      </c>
      <c r="H32" s="84" t="n">
        <f aca="false">Entrées!$C$16-H10+H21*1000-H29+H22</f>
        <v>22669</v>
      </c>
      <c r="I32" s="84" t="n">
        <f aca="false">Entrées!$C$16-I10+I21*1000-I29+I22</f>
        <v>22669</v>
      </c>
      <c r="J32" s="84" t="n">
        <f aca="false">Entrées!$C$16-J10+J21*1000-J29+J22</f>
        <v>22669</v>
      </c>
      <c r="K32" s="84" t="n">
        <f aca="false">Entrées!$C$16-K10+K21*1000-K29+K22</f>
        <v>22669</v>
      </c>
      <c r="L32" s="84" t="n">
        <f aca="false">Entrées!$C$16-L10+L21*1000-L29+L22</f>
        <v>22669</v>
      </c>
      <c r="M32" s="84" t="n">
        <f aca="false">Entrées!$C$16-M10+M21*1000-M29+M22</f>
        <v>22994.8</v>
      </c>
      <c r="N32" s="84" t="n">
        <f aca="false">Entrées!$C$16-N10+N21*1000-N29+N22</f>
        <v>22506.1</v>
      </c>
      <c r="O32" s="84" t="n">
        <f aca="false">Entrées!$C$16-O10+O21*1000-O29+O22</f>
        <v>22669</v>
      </c>
      <c r="P32" s="84" t="n">
        <f aca="false">Entrées!$C$16-P10+P21*1000-P29+P22</f>
        <v>22669</v>
      </c>
      <c r="Q32" s="84" t="n">
        <f aca="false">Entrées!$C$16-Q10+Q21*1000-Q29+Q22</f>
        <v>22669</v>
      </c>
      <c r="R32" s="84" t="n">
        <f aca="false">Entrées!$C$16-R10+R21*1000-R29+R22</f>
        <v>22669</v>
      </c>
      <c r="S32" s="84" t="n">
        <f aca="false">Entrées!$C$16-S10+S21*1000-S29+S22</f>
        <v>22919</v>
      </c>
      <c r="T32" s="84" t="n">
        <f aca="false">Entrées!$C$16-T10+T21*1000-T29+T22</f>
        <v>22419</v>
      </c>
      <c r="U32" s="84" t="n">
        <f aca="false">Entrées!$C$16-U10+U21*1000-U29+U22</f>
        <v>22669</v>
      </c>
      <c r="V32" s="84" t="n">
        <f aca="false">Entrées!$C$16-V10+V21*1000-V29+V22</f>
        <v>22669</v>
      </c>
      <c r="W32" s="84" t="n">
        <f aca="false">Entrées!$C$16-W10+W21*1000-W29+W22</f>
        <v>22669</v>
      </c>
      <c r="X32" s="84" t="n">
        <f aca="false">Entrées!$C$16-X10+X21*1000-X29+X22</f>
        <v>22669</v>
      </c>
      <c r="Y32" s="84" t="n">
        <f aca="false">Entrées!$C$16-Y10+Y21*1000-Y29+Y22</f>
        <v>22669</v>
      </c>
      <c r="Z32" s="84" t="n">
        <f aca="false">Entrées!$C$16-Z10+Z21*1000-Z29+Z22</f>
        <v>22669</v>
      </c>
      <c r="AA32" s="84" t="n">
        <f aca="false">Entrées!$C$16-AA10+AA21*1000-AA29+AA22</f>
        <v>22669</v>
      </c>
      <c r="AB32" s="84" t="n">
        <f aca="false">Entrées!$C$16-AB10+AB21*1000-AB29+AB22</f>
        <v>22669</v>
      </c>
      <c r="AC32" s="84" t="n">
        <f aca="false">Entrées!$C$16-AC10+AC21*1000-AC29+AC22</f>
        <v>22744.8</v>
      </c>
      <c r="AD32" s="84" t="n">
        <f aca="false">Entrées!$C$16-AD10+AD21*1000-AD29+AD22</f>
        <v>22756.1</v>
      </c>
    </row>
    <row r="33" customFormat="false" ht="15" hidden="false" customHeight="false" outlineLevel="0" collapsed="false">
      <c r="A33" s="20" t="s">
        <v>1206</v>
      </c>
      <c r="B33" s="18" t="s">
        <v>1207</v>
      </c>
      <c r="C33" s="20" t="s">
        <v>104</v>
      </c>
      <c r="D33" s="85" t="n">
        <f aca="false">D32/D31</f>
        <v>3.01771731406222</v>
      </c>
      <c r="E33" s="85" t="n">
        <f aca="false">E32/E31</f>
        <v>3.03194474860946</v>
      </c>
      <c r="F33" s="85" t="n">
        <f aca="false">F32/F31</f>
        <v>3.00362278066543</v>
      </c>
      <c r="G33" s="85" t="n">
        <f aca="false">G32/G31</f>
        <v>3.01771731406222</v>
      </c>
      <c r="H33" s="85" t="n">
        <f aca="false">H32/H31</f>
        <v>3.01771731406222</v>
      </c>
      <c r="I33" s="85" t="n">
        <f aca="false">I32/I31</f>
        <v>3.02170843759514</v>
      </c>
      <c r="J33" s="85" t="n">
        <f aca="false">J32/J31</f>
        <v>3.01373671970891</v>
      </c>
      <c r="K33" s="85" t="n">
        <f aca="false">K32/K31</f>
        <v>3.01771731406222</v>
      </c>
      <c r="L33" s="85" t="n">
        <f aca="false">L32/L31</f>
        <v>3.01771731406222</v>
      </c>
      <c r="M33" s="85" t="n">
        <f aca="false">M32/M31</f>
        <v>3.06108809799277</v>
      </c>
      <c r="N33" s="85" t="n">
        <f aca="false">N32/N31</f>
        <v>2.99603192209695</v>
      </c>
      <c r="O33" s="85" t="n">
        <f aca="false">O32/O31</f>
        <v>3.01771731406222</v>
      </c>
      <c r="P33" s="85" t="n">
        <f aca="false">P32/P31</f>
        <v>3.01771731406222</v>
      </c>
      <c r="Q33" s="85" t="n">
        <f aca="false">Q32/Q31</f>
        <v>3.01771731406222</v>
      </c>
      <c r="R33" s="85" t="n">
        <f aca="false">R32/R31</f>
        <v>3.01771731406222</v>
      </c>
      <c r="S33" s="85" t="n">
        <f aca="false">S32/S31</f>
        <v>3.04087742773838</v>
      </c>
      <c r="T33" s="85" t="n">
        <f aca="false">T32/T31</f>
        <v>2.99440253090257</v>
      </c>
      <c r="U33" s="85" t="n">
        <f aca="false">U32/U31</f>
        <v>3.01771731406222</v>
      </c>
      <c r="V33" s="85" t="n">
        <f aca="false">V32/V31</f>
        <v>3.01771731406222</v>
      </c>
      <c r="W33" s="85" t="n">
        <f aca="false">W32/W31</f>
        <v>3.02023016223954</v>
      </c>
      <c r="X33" s="85" t="n">
        <f aca="false">X32/X31</f>
        <v>3.01604440366019</v>
      </c>
      <c r="Y33" s="85" t="n">
        <f aca="false">Y32/Y31</f>
        <v>3.01771731406222</v>
      </c>
      <c r="Z33" s="85" t="n">
        <f aca="false">Z32/Z31</f>
        <v>3.01771731406222</v>
      </c>
      <c r="AA33" s="85" t="n">
        <f aca="false">AA32/AA31</f>
        <v>3.01771731406222</v>
      </c>
      <c r="AB33" s="85" t="n">
        <f aca="false">AB32/AB31</f>
        <v>3.01771731406222</v>
      </c>
      <c r="AC33" s="85" t="n">
        <f aca="false">AC32/AC31</f>
        <v>3.06150079910223</v>
      </c>
      <c r="AD33" s="85" t="n">
        <f aca="false">AD32/AD31</f>
        <v>3.00127617147117</v>
      </c>
    </row>
    <row r="34" customFormat="false" ht="15" hidden="false" customHeight="false" outlineLevel="0" collapsed="false">
      <c r="A34" s="20" t="s">
        <v>1208</v>
      </c>
      <c r="B34" s="5" t="s">
        <v>1209</v>
      </c>
      <c r="C34" s="20" t="s">
        <v>104</v>
      </c>
      <c r="D34" s="59" t="n">
        <f aca="false">D32/(D31+D8*(12-D23)/12/D18)</f>
        <v>2.98951303335295</v>
      </c>
      <c r="E34" s="59" t="n">
        <f aca="false">E32/(E31+E8*(12-E23)/12/E18)</f>
        <v>3.00347514971078</v>
      </c>
      <c r="F34" s="59" t="n">
        <f aca="false">F32/(F31+F8*(12-F23)/12/F18)</f>
        <v>2.97568012643743</v>
      </c>
      <c r="G34" s="59" t="n">
        <f aca="false">G32/(G31+G8*(12-G23)/12/G18)</f>
        <v>2.98951303335295</v>
      </c>
      <c r="H34" s="59" t="n">
        <f aca="false">H32/(H31+H8*(12-H23)/12/H18)</f>
        <v>2.98951303335295</v>
      </c>
      <c r="I34" s="59" t="n">
        <f aca="false">I32/(I31+I8*(12-I23)/12/I18)</f>
        <v>2.99623387131481</v>
      </c>
      <c r="J34" s="59" t="n">
        <f aca="false">J32/(J31+J8*(12-J23)/12/J18)</f>
        <v>2.98282227887038</v>
      </c>
      <c r="K34" s="59" t="n">
        <f aca="false">K32/(K31+K8*(12-K23)/12/K18)</f>
        <v>2.98951303335295</v>
      </c>
      <c r="L34" s="59" t="n">
        <f aca="false">L32/(L31+L8*(12-L23)/12/L18)</f>
        <v>2.98951303335295</v>
      </c>
      <c r="M34" s="59" t="n">
        <f aca="false">M32/(M31+M8*(12-M23)/12/M18)</f>
        <v>3.03247846395273</v>
      </c>
      <c r="N34" s="59" t="n">
        <f aca="false">N32/(N31+N8*(12-N23)/12/N18)</f>
        <v>2.96803031805306</v>
      </c>
      <c r="O34" s="59" t="n">
        <f aca="false">O32/(O31+O8*(12-O23)/12/O18)</f>
        <v>2.98951303335295</v>
      </c>
      <c r="P34" s="59" t="n">
        <f aca="false">P32/(P31+P8*(12-P23)/12/P18)</f>
        <v>2.98951303335295</v>
      </c>
      <c r="Q34" s="59" t="n">
        <f aca="false">Q32/(Q31+Q8*(12-Q23)/12/Q18)</f>
        <v>2.98951303335295</v>
      </c>
      <c r="R34" s="59" t="n">
        <f aca="false">R32/(R31+R8*(12-R23)/12/R18)</f>
        <v>2.98951303335295</v>
      </c>
      <c r="S34" s="59" t="n">
        <f aca="false">S32/(S31+S8*(12-S23)/12/S18)</f>
        <v>3.01255008020672</v>
      </c>
      <c r="T34" s="59" t="n">
        <f aca="false">T32/(T31+T8*(12-T23)/12/T18)</f>
        <v>2.96632358154059</v>
      </c>
      <c r="U34" s="59" t="n">
        <f aca="false">U32/(U31+U8*(12-U23)/12/U18)</f>
        <v>2.98951303335295</v>
      </c>
      <c r="V34" s="59" t="n">
        <f aca="false">V32/(V31+V8*(12-V23)/12/V18)</f>
        <v>2.98951303335295</v>
      </c>
      <c r="W34" s="59" t="n">
        <f aca="false">W32/(W31+W8*(12-W23)/12/W18)</f>
        <v>2.99197911052509</v>
      </c>
      <c r="X34" s="59" t="n">
        <f aca="false">X32/(X31+X8*(12-X23)/12/X18)</f>
        <v>2.9878712391238</v>
      </c>
      <c r="Y34" s="59" t="n">
        <f aca="false">Y32/(Y31+Y8*(12-Y23)/12/Y18)</f>
        <v>2.98951303335295</v>
      </c>
      <c r="Z34" s="59" t="n">
        <f aca="false">Z32/(Z31+Z8*(12-Z23)/12/Z18)</f>
        <v>2.98951303335295</v>
      </c>
      <c r="AA34" s="59" t="n">
        <f aca="false">AA32/(AA31+AA8*(12-AA23)/12/AA18)</f>
        <v>2.98951303335295</v>
      </c>
      <c r="AB34" s="59" t="n">
        <f aca="false">AB32/(AB31+AB8*(12-AB23)/12/AB18)</f>
        <v>2.98951303335295</v>
      </c>
      <c r="AC34" s="59" t="n">
        <f aca="false">AC32/(AC31+AC8*(12-AC23)/12/AC18)</f>
        <v>3.03544017409614</v>
      </c>
      <c r="AD34" s="59" t="n">
        <f aca="false">AD32/(AD31+AD8*(12-AD23)/12/AD18)</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customFormat="false" ht="15" hidden="false" customHeight="false" outlineLevel="0" collapsed="false">
      <c r="A36" s="20" t="s">
        <v>1210</v>
      </c>
      <c r="B36" s="5" t="s">
        <v>1211</v>
      </c>
      <c r="C36" s="20" t="s">
        <v>74</v>
      </c>
      <c r="D36" s="52" t="n">
        <f aca="false">(D27+D30+D8/D18)*(1+D7)</f>
        <v>7999.89654943125</v>
      </c>
      <c r="E36" s="52" t="n">
        <f aca="false">(E27+E30+E8/E18)*(1+E7)</f>
        <v>7962.70779943125</v>
      </c>
      <c r="F36" s="52" t="n">
        <f aca="false">(F27+F30+F8/F18)*(1+F7)</f>
        <v>8037.08529943125</v>
      </c>
      <c r="G36" s="52" t="n">
        <f aca="false">(G27+G30+G8/G18)*(1+G7)</f>
        <v>7886.15394446303</v>
      </c>
      <c r="H36" s="52" t="n">
        <f aca="false">(H27+H30+H8/H18)*(1+H7)</f>
        <v>8113.63915439947</v>
      </c>
      <c r="I36" s="52" t="n">
        <f aca="false">(I27+I30+I8/I18)*(1+I7)</f>
        <v>7981.95201948812</v>
      </c>
      <c r="J36" s="52" t="n">
        <f aca="false">(J27+J30+J8/J18)*(1+J7)</f>
        <v>8017.84107937437</v>
      </c>
      <c r="K36" s="52" t="n">
        <f aca="false">(K27+K30+K8/K18)*(1+K7)</f>
        <v>7999.89654943125</v>
      </c>
      <c r="L36" s="52" t="n">
        <f aca="false">(L27+L30+L8/L18)*(1+L7)</f>
        <v>7999.89654943125</v>
      </c>
      <c r="M36" s="52" t="n">
        <f aca="false">(M27+M30+M8/M18)*(1+M7)</f>
        <v>7999.89654943125</v>
      </c>
      <c r="N36" s="52" t="n">
        <f aca="false">(N27+N30+N8/N18)*(1+N7)</f>
        <v>7999.89654943125</v>
      </c>
      <c r="O36" s="52" t="n">
        <f aca="false">(O27+O30+O8/O18)*(1+O7)</f>
        <v>7999.89654943125</v>
      </c>
      <c r="P36" s="52" t="n">
        <f aca="false">(P27+P30+P8/P18)*(1+P7)</f>
        <v>7999.89654943125</v>
      </c>
      <c r="Q36" s="52" t="n">
        <f aca="false">(Q27+Q30+Q8/Q18)*(1+Q7)</f>
        <v>7999.89654943125</v>
      </c>
      <c r="R36" s="52" t="n">
        <f aca="false">(R27+R30+R8/R18)*(1+R7)</f>
        <v>7999.89654943125</v>
      </c>
      <c r="S36" s="52" t="n">
        <f aca="false">(S27+S30+S8/S18)*(1+S7)</f>
        <v>8026.27154943125</v>
      </c>
      <c r="T36" s="52" t="n">
        <f aca="false">(T27+T30+T8/T18)*(1+T7)</f>
        <v>7973.52154943125</v>
      </c>
      <c r="U36" s="52" t="n">
        <f aca="false">(U27+U30+U8/U18)*(1+U7)</f>
        <v>7999.89654943125</v>
      </c>
      <c r="V36" s="52" t="n">
        <f aca="false">(V27+V30+V8/V18)*(1+V7)</f>
        <v>7999.89654943125</v>
      </c>
      <c r="W36" s="52" t="n">
        <f aca="false">(W27+W30+W8/W18)*(1+W7)</f>
        <v>7993.30279943125</v>
      </c>
      <c r="X36" s="52" t="n">
        <f aca="false">(X27+X30+X8/X18)*(1+X7)</f>
        <v>8004.29238276458</v>
      </c>
      <c r="Y36" s="52" t="n">
        <f aca="false">(Y27+Y30+Y8/Y18)*(1+Y7)</f>
        <v>7999.89654943125</v>
      </c>
      <c r="Z36" s="52" t="n">
        <f aca="false">(Z27+Z30+Z8/Z18)*(1+Z7)</f>
        <v>7999.89654943125</v>
      </c>
      <c r="AA36" s="52" t="n">
        <f aca="false">(AA27+AA30+AA8/AA18)*(1+AA7)</f>
        <v>7999.89654943125</v>
      </c>
      <c r="AB36" s="52" t="n">
        <f aca="false">(AB27+AB30+AB8/AB18)*(1+AB7)</f>
        <v>7999.89654943125</v>
      </c>
      <c r="AC36" s="52" t="n">
        <f aca="false">(AC27+AC30+AC8/AC18)*(1+AC7)</f>
        <v>7792.80455001673</v>
      </c>
      <c r="AD36" s="52" t="n">
        <f aca="false">(AD27+AD30+AD8/AD18)*(1+AD7)</f>
        <v>8196.30631983941</v>
      </c>
    </row>
    <row r="37" customFormat="false" ht="15" hidden="false" customHeight="false" outlineLevel="0" collapsed="false">
      <c r="A37" s="20" t="s">
        <v>1212</v>
      </c>
      <c r="B37" s="5" t="s">
        <v>1213</v>
      </c>
      <c r="C37" s="20" t="s">
        <v>74</v>
      </c>
      <c r="D37" s="52" t="n">
        <f aca="false">Entrées!$C$54*D9/D18</f>
        <v>25.513549682168</v>
      </c>
      <c r="E37" s="52" t="n">
        <f aca="false">Entrées!$C$54*E9/E18</f>
        <v>25.513549682168</v>
      </c>
      <c r="F37" s="52" t="n">
        <f aca="false">Entrées!$C$54*F9/F18</f>
        <v>25.513549682168</v>
      </c>
      <c r="G37" s="52" t="n">
        <f aca="false">Entrées!$C$54*G9/G18</f>
        <v>25.513549682168</v>
      </c>
      <c r="H37" s="52" t="n">
        <f aca="false">Entrées!$C$54*H9/H18</f>
        <v>25.513549682168</v>
      </c>
      <c r="I37" s="52" t="n">
        <f aca="false">Entrées!$C$54*I9/I18</f>
        <v>25.513549682168</v>
      </c>
      <c r="J37" s="52" t="n">
        <f aca="false">Entrées!$C$54*J9/J18</f>
        <v>25.513549682168</v>
      </c>
      <c r="K37" s="52" t="n">
        <f aca="false">Entrées!$C$54*K9/K18</f>
        <v>0</v>
      </c>
      <c r="L37" s="52" t="n">
        <f aca="false">Entrées!$C$54*L9/L18</f>
        <v>51.0270993643359</v>
      </c>
      <c r="M37" s="52" t="n">
        <f aca="false">Entrées!$C$54*M9/M18</f>
        <v>25.513549682168</v>
      </c>
      <c r="N37" s="52" t="n">
        <f aca="false">Entrées!$C$54*N9/N18</f>
        <v>25.513549682168</v>
      </c>
      <c r="O37" s="52" t="n">
        <f aca="false">Entrées!$C$54*O9/O18</f>
        <v>25.513549682168</v>
      </c>
      <c r="P37" s="52" t="n">
        <f aca="false">Entrées!$C$54*P9/P18</f>
        <v>25.513549682168</v>
      </c>
      <c r="Q37" s="52" t="n">
        <f aca="false">Entrées!$C$54*Q9/Q18</f>
        <v>25.513549682168</v>
      </c>
      <c r="R37" s="52" t="n">
        <f aca="false">Entrées!$C$54*R9/R18</f>
        <v>25.513549682168</v>
      </c>
      <c r="S37" s="52" t="n">
        <f aca="false">Entrées!$C$54*S9/S18</f>
        <v>25.513549682168</v>
      </c>
      <c r="T37" s="52" t="n">
        <f aca="false">Entrées!$C$54*T9/T18</f>
        <v>25.513549682168</v>
      </c>
      <c r="U37" s="52" t="n">
        <f aca="false">Entrées!$C$54*U9/U18</f>
        <v>25.513549682168</v>
      </c>
      <c r="V37" s="52" t="n">
        <f aca="false">Entrées!$C$54*V9/V18</f>
        <v>25.513549682168</v>
      </c>
      <c r="W37" s="52" t="n">
        <f aca="false">Entrées!$C$54*W9/W18</f>
        <v>25.513549682168</v>
      </c>
      <c r="X37" s="52" t="n">
        <f aca="false">Entrées!$C$54*X9/X18</f>
        <v>25.513549682168</v>
      </c>
      <c r="Y37" s="52" t="n">
        <f aca="false">Entrées!$C$54*Y9/Y18</f>
        <v>25.513549682168</v>
      </c>
      <c r="Z37" s="52" t="n">
        <f aca="false">Entrées!$C$54*Z9/Z18</f>
        <v>25.513549682168</v>
      </c>
      <c r="AA37" s="52" t="n">
        <f aca="false">Entrées!$C$54*AA9/AA18</f>
        <v>25.513549682168</v>
      </c>
      <c r="AB37" s="52" t="n">
        <f aca="false">Entrées!$C$54*AB9/AB18</f>
        <v>25.513549682168</v>
      </c>
      <c r="AC37" s="52" t="n">
        <f aca="false">Entrées!$C$54*AC9/AC18</f>
        <v>0</v>
      </c>
      <c r="AD37" s="52" t="n">
        <f aca="false">Entrées!$C$54*AD9/AD18</f>
        <v>51.0270993643359</v>
      </c>
    </row>
    <row r="38" customFormat="false" ht="15" hidden="false" customHeight="false" outlineLevel="0" collapsed="false">
      <c r="A38" s="20" t="s">
        <v>1214</v>
      </c>
      <c r="B38" s="5" t="s">
        <v>1215</v>
      </c>
      <c r="C38" s="20" t="s">
        <v>74</v>
      </c>
      <c r="D38" s="52" t="n">
        <f aca="false">D16*1000/D20</f>
        <v>51.0204081632653</v>
      </c>
      <c r="E38" s="52" t="n">
        <f aca="false">E16*1000/E20</f>
        <v>51.0204081632653</v>
      </c>
      <c r="F38" s="52" t="n">
        <f aca="false">F16*1000/F20</f>
        <v>51.0204081632653</v>
      </c>
      <c r="G38" s="52" t="n">
        <f aca="false">G16*1000/G20</f>
        <v>51.0204081632653</v>
      </c>
      <c r="H38" s="52" t="n">
        <f aca="false">H16*1000/H20</f>
        <v>51.0204081632653</v>
      </c>
      <c r="I38" s="52" t="n">
        <f aca="false">I16*1000/I20</f>
        <v>51.0204081632653</v>
      </c>
      <c r="J38" s="52" t="n">
        <f aca="false">J16*1000/J20</f>
        <v>51.0204081632653</v>
      </c>
      <c r="K38" s="52" t="n">
        <f aca="false">K16*1000/K20</f>
        <v>51.0204081632653</v>
      </c>
      <c r="L38" s="52" t="n">
        <f aca="false">L16*1000/L20</f>
        <v>51.0204081632653</v>
      </c>
      <c r="M38" s="52" t="n">
        <f aca="false">M16*1000/M20</f>
        <v>51.0204081632653</v>
      </c>
      <c r="N38" s="52" t="n">
        <f aca="false">N16*1000/N20</f>
        <v>51.0204081632653</v>
      </c>
      <c r="O38" s="52" t="n">
        <f aca="false">O16*1000/O20</f>
        <v>51.0204081632653</v>
      </c>
      <c r="P38" s="52" t="n">
        <f aca="false">P16*1000/P20</f>
        <v>51.0204081632653</v>
      </c>
      <c r="Q38" s="52" t="n">
        <f aca="false">Q16*1000/Q20</f>
        <v>51.0204081632653</v>
      </c>
      <c r="R38" s="52" t="n">
        <f aca="false">R16*1000/R20</f>
        <v>51.0204081632653</v>
      </c>
      <c r="S38" s="52" t="n">
        <f aca="false">S16*1000/S20</f>
        <v>51.0204081632653</v>
      </c>
      <c r="T38" s="52" t="n">
        <f aca="false">T16*1000/T20</f>
        <v>51.0204081632653</v>
      </c>
      <c r="U38" s="52" t="n">
        <f aca="false">U16*1000/U20</f>
        <v>51.0204081632653</v>
      </c>
      <c r="V38" s="52" t="n">
        <f aca="false">V16*1000/V20</f>
        <v>51.0204081632653</v>
      </c>
      <c r="W38" s="52" t="n">
        <f aca="false">W16*1000/W20</f>
        <v>51.0204081632653</v>
      </c>
      <c r="X38" s="52" t="n">
        <f aca="false">X16*1000/X20</f>
        <v>51.0204081632653</v>
      </c>
      <c r="Y38" s="52" t="n">
        <f aca="false">Y16*1000/Y20</f>
        <v>0</v>
      </c>
      <c r="Z38" s="52" t="n">
        <f aca="false">Z16*1000/Z20</f>
        <v>102.040816326531</v>
      </c>
      <c r="AA38" s="52" t="n">
        <f aca="false">AA16*1000/AA20</f>
        <v>51.0204081632653</v>
      </c>
      <c r="AB38" s="52" t="n">
        <f aca="false">AB16*1000/AB20</f>
        <v>51.0204081632653</v>
      </c>
      <c r="AC38" s="52" t="n">
        <f aca="false">AC16*1000/AC20</f>
        <v>102.040816326531</v>
      </c>
      <c r="AD38" s="52" t="n">
        <f aca="false">AD16*1000/AD20</f>
        <v>0</v>
      </c>
    </row>
    <row r="39" customFormat="false" ht="15" hidden="false" customHeight="false" outlineLevel="0" collapsed="false">
      <c r="A39" s="20" t="s">
        <v>1216</v>
      </c>
      <c r="B39" s="5" t="s">
        <v>1217</v>
      </c>
      <c r="C39" s="20" t="s">
        <v>74</v>
      </c>
      <c r="D39" s="52" t="n">
        <f aca="false">(Entrées!$C$36*(1-D13)+MAX(0,Entrées!$C$30-Entrées!$C$35-Entrées!$C$36)*D14)*1000</f>
        <v>950</v>
      </c>
      <c r="E39" s="52" t="n">
        <f aca="false">(Entrées!$C$36*(1-E13)+MAX(0,Entrées!$C$30-Entrées!$C$35-Entrées!$C$36)*E14)*1000</f>
        <v>950</v>
      </c>
      <c r="F39" s="52" t="n">
        <f aca="false">(Entrées!$C$36*(1-F13)+MAX(0,Entrées!$C$30-Entrées!$C$35-Entrées!$C$36)*F14)*1000</f>
        <v>950</v>
      </c>
      <c r="G39" s="52" t="n">
        <f aca="false">(Entrées!$C$36*(1-G13)+MAX(0,Entrées!$C$30-Entrées!$C$35-Entrées!$C$36)*G14)*1000</f>
        <v>950</v>
      </c>
      <c r="H39" s="52" t="n">
        <f aca="false">(Entrées!$C$36*(1-H13)+MAX(0,Entrées!$C$30-Entrées!$C$35-Entrées!$C$36)*H14)*1000</f>
        <v>950</v>
      </c>
      <c r="I39" s="52" t="n">
        <f aca="false">(Entrées!$C$36*(1-I13)+MAX(0,Entrées!$C$30-Entrées!$C$35-Entrées!$C$36)*I14)*1000</f>
        <v>950</v>
      </c>
      <c r="J39" s="52" t="n">
        <f aca="false">(Entrées!$C$36*(1-J13)+MAX(0,Entrées!$C$30-Entrées!$C$35-Entrées!$C$36)*J14)*1000</f>
        <v>950</v>
      </c>
      <c r="K39" s="52" t="n">
        <f aca="false">(Entrées!$C$36*(1-K13)+MAX(0,Entrées!$C$30-Entrées!$C$35-Entrées!$C$36)*K14)*1000</f>
        <v>950</v>
      </c>
      <c r="L39" s="52" t="n">
        <f aca="false">(Entrées!$C$36*(1-L13)+MAX(0,Entrées!$C$30-Entrées!$C$35-Entrées!$C$36)*L14)*1000</f>
        <v>950</v>
      </c>
      <c r="M39" s="52" t="n">
        <f aca="false">(Entrées!$C$36*(1-M13)+MAX(0,Entrées!$C$30-Entrées!$C$35-Entrées!$C$36)*M14)*1000</f>
        <v>950</v>
      </c>
      <c r="N39" s="52" t="n">
        <f aca="false">(Entrées!$C$36*(1-N13)+MAX(0,Entrées!$C$30-Entrées!$C$35-Entrées!$C$36)*N14)*1000</f>
        <v>950</v>
      </c>
      <c r="O39" s="52" t="n">
        <f aca="false">(Entrées!$C$36*(1-O13)+MAX(0,Entrées!$C$30-Entrées!$C$35-Entrées!$C$36)*O14)*1000</f>
        <v>950</v>
      </c>
      <c r="P39" s="52" t="n">
        <f aca="false">(Entrées!$C$36*(1-P13)+MAX(0,Entrées!$C$30-Entrées!$C$35-Entrées!$C$36)*P14)*1000</f>
        <v>950</v>
      </c>
      <c r="Q39" s="52" t="n">
        <f aca="false">(Entrées!$C$36*(1-Q13)+MAX(0,Entrées!$C$30-Entrées!$C$35-Entrées!$C$36)*Q14)*1000</f>
        <v>950</v>
      </c>
      <c r="R39" s="52" t="n">
        <f aca="false">(Entrées!$C$36*(1-R13)+MAX(0,Entrées!$C$30-Entrées!$C$35-Entrées!$C$36)*R14)*1000</f>
        <v>950</v>
      </c>
      <c r="S39" s="52" t="n">
        <f aca="false">(Entrées!$C$36*(1-S13)+MAX(0,Entrées!$C$30-Entrées!$C$35-Entrées!$C$36)*S14)*1000</f>
        <v>1200</v>
      </c>
      <c r="T39" s="52" t="n">
        <f aca="false">(Entrées!$C$36*(1-T13)+MAX(0,Entrées!$C$30-Entrées!$C$35-Entrées!$C$36)*T14)*1000</f>
        <v>700</v>
      </c>
      <c r="U39" s="52" t="n">
        <f aca="false">(Entrées!$C$36*(1-U13)+MAX(0,Entrées!$C$30-Entrées!$C$35-Entrées!$C$36)*U14)*1000</f>
        <v>250</v>
      </c>
      <c r="V39" s="52" t="n">
        <f aca="false">(Entrées!$C$36*(1-V13)+MAX(0,Entrées!$C$30-Entrées!$C$35-Entrées!$C$36)*V14)*1000</f>
        <v>1650</v>
      </c>
      <c r="W39" s="52" t="n">
        <f aca="false">(Entrées!$C$36*(1-W13)+MAX(0,Entrées!$C$30-Entrées!$C$35-Entrées!$C$36)*W14)*1000</f>
        <v>950</v>
      </c>
      <c r="X39" s="52" t="n">
        <f aca="false">(Entrées!$C$36*(1-X13)+MAX(0,Entrées!$C$30-Entrées!$C$35-Entrées!$C$36)*X14)*1000</f>
        <v>950</v>
      </c>
      <c r="Y39" s="52" t="n">
        <f aca="false">(Entrées!$C$36*(1-Y13)+MAX(0,Entrées!$C$30-Entrées!$C$35-Entrées!$C$36)*Y14)*1000</f>
        <v>950</v>
      </c>
      <c r="Z39" s="52" t="n">
        <f aca="false">(Entrées!$C$36*(1-Z13)+MAX(0,Entrées!$C$30-Entrées!$C$35-Entrées!$C$36)*Z14)*1000</f>
        <v>950</v>
      </c>
      <c r="AA39" s="52" t="n">
        <f aca="false">(Entrées!$C$36*(1-AA13)+MAX(0,Entrées!$C$30-Entrées!$C$35-Entrées!$C$36)*AA14)*1000</f>
        <v>950</v>
      </c>
      <c r="AB39" s="52" t="n">
        <f aca="false">(Entrées!$C$36*(1-AB13)+MAX(0,Entrées!$C$30-Entrées!$C$35-Entrées!$C$36)*AB14)*1000</f>
        <v>950</v>
      </c>
      <c r="AC39" s="52" t="n">
        <f aca="false">(Entrées!$C$36*(1-AC13)+MAX(0,Entrées!$C$30-Entrées!$C$35-Entrées!$C$36)*AC14)*1000</f>
        <v>0</v>
      </c>
      <c r="AD39" s="52" t="n">
        <f aca="false">(Entrées!$C$36*(1-AD13)+MAX(0,Entrées!$C$30-Entrées!$C$35-Entrées!$C$36)*AD14)*1000</f>
        <v>1900</v>
      </c>
    </row>
    <row r="40" customFormat="false" ht="15" hidden="false" customHeight="false" outlineLevel="0" collapsed="false">
      <c r="A40" s="20" t="s">
        <v>1218</v>
      </c>
      <c r="B40" s="5" t="s">
        <v>1219</v>
      </c>
      <c r="C40" s="20" t="s">
        <v>74</v>
      </c>
      <c r="D40" s="52" t="n">
        <f aca="false">-D39/D15</f>
        <v>-95</v>
      </c>
      <c r="E40" s="52" t="n">
        <f aca="false">-E39/E15</f>
        <v>-95</v>
      </c>
      <c r="F40" s="52" t="n">
        <f aca="false">-F39/F15</f>
        <v>-95</v>
      </c>
      <c r="G40" s="52" t="n">
        <f aca="false">-G39/G15</f>
        <v>-95</v>
      </c>
      <c r="H40" s="52" t="n">
        <f aca="false">-H39/H15</f>
        <v>-95</v>
      </c>
      <c r="I40" s="52" t="n">
        <f aca="false">-I39/I15</f>
        <v>-95</v>
      </c>
      <c r="J40" s="52" t="n">
        <f aca="false">-J39/J15</f>
        <v>-95</v>
      </c>
      <c r="K40" s="52" t="n">
        <f aca="false">-K39/K15</f>
        <v>-95</v>
      </c>
      <c r="L40" s="52" t="n">
        <f aca="false">-L39/L15</f>
        <v>-95</v>
      </c>
      <c r="M40" s="52" t="n">
        <f aca="false">-M39/M15</f>
        <v>-95</v>
      </c>
      <c r="N40" s="52" t="n">
        <f aca="false">-N39/N15</f>
        <v>-95</v>
      </c>
      <c r="O40" s="52" t="n">
        <f aca="false">-O39/O15</f>
        <v>-95</v>
      </c>
      <c r="P40" s="52" t="n">
        <f aca="false">-P39/P15</f>
        <v>-95</v>
      </c>
      <c r="Q40" s="52" t="n">
        <f aca="false">-Q39/Q15</f>
        <v>-95</v>
      </c>
      <c r="R40" s="52" t="n">
        <f aca="false">-R39/R15</f>
        <v>-95</v>
      </c>
      <c r="S40" s="52" t="n">
        <f aca="false">-S39/S15</f>
        <v>-120</v>
      </c>
      <c r="T40" s="52" t="n">
        <f aca="false">-T39/T15</f>
        <v>-70</v>
      </c>
      <c r="U40" s="52" t="n">
        <f aca="false">-U39/U15</f>
        <v>-25</v>
      </c>
      <c r="V40" s="52" t="n">
        <f aca="false">-V39/V15</f>
        <v>-165</v>
      </c>
      <c r="W40" s="52" t="n">
        <f aca="false">-W39/W15</f>
        <v>-118.75</v>
      </c>
      <c r="X40" s="52" t="n">
        <f aca="false">-X39/X15</f>
        <v>-79.1666666666667</v>
      </c>
      <c r="Y40" s="52" t="n">
        <f aca="false">-Y39/Y15</f>
        <v>-95</v>
      </c>
      <c r="Z40" s="52" t="n">
        <f aca="false">-Z39/Z15</f>
        <v>-95</v>
      </c>
      <c r="AA40" s="52" t="n">
        <f aca="false">-AA39/AA15</f>
        <v>-95</v>
      </c>
      <c r="AB40" s="52" t="n">
        <f aca="false">-AB39/AB15</f>
        <v>-95</v>
      </c>
      <c r="AC40" s="52" t="n">
        <f aca="false">-AC39/AC15</f>
        <v>-0</v>
      </c>
      <c r="AD40" s="52" t="n">
        <f aca="false">-AD39/AD15</f>
        <v>-158.333333333333</v>
      </c>
    </row>
    <row r="41" customFormat="false" ht="15" hidden="false" customHeight="false" outlineLevel="0" collapsed="false">
      <c r="A41" s="20" t="s">
        <v>1220</v>
      </c>
      <c r="B41" s="18" t="s">
        <v>1221</v>
      </c>
      <c r="C41" s="20" t="s">
        <v>74</v>
      </c>
      <c r="D41" s="83" t="n">
        <f aca="false">D36+D37+D38+D40</f>
        <v>7981.43050727668</v>
      </c>
      <c r="E41" s="83" t="n">
        <f aca="false">E36+E37+E38+E40</f>
        <v>7944.24175727668</v>
      </c>
      <c r="F41" s="83" t="n">
        <f aca="false">F36+F37+F38+F40</f>
        <v>8018.61925727668</v>
      </c>
      <c r="G41" s="83" t="n">
        <f aca="false">G36+G37+G38+G40</f>
        <v>7867.68790230847</v>
      </c>
      <c r="H41" s="83" t="n">
        <f aca="false">H36+H37+H38+H40</f>
        <v>8095.1731122449</v>
      </c>
      <c r="I41" s="83" t="n">
        <f aca="false">I36+I37+I38+I40</f>
        <v>7963.48597733356</v>
      </c>
      <c r="J41" s="83" t="n">
        <f aca="false">J36+J37+J38+J40</f>
        <v>7999.37503721981</v>
      </c>
      <c r="K41" s="83" t="n">
        <f aca="false">K36+K37+K38+K40</f>
        <v>7955.91695759451</v>
      </c>
      <c r="L41" s="83" t="n">
        <f aca="false">L36+L37+L38+L40</f>
        <v>8006.94405695885</v>
      </c>
      <c r="M41" s="83" t="n">
        <f aca="false">M36+M37+M38+M40</f>
        <v>7981.43050727668</v>
      </c>
      <c r="N41" s="83" t="n">
        <f aca="false">N36+N37+N38+N40</f>
        <v>7981.43050727668</v>
      </c>
      <c r="O41" s="83" t="n">
        <f aca="false">O36+O37+O38+O40</f>
        <v>7981.43050727668</v>
      </c>
      <c r="P41" s="83" t="n">
        <f aca="false">P36+P37+P38+P40</f>
        <v>7981.43050727668</v>
      </c>
      <c r="Q41" s="83" t="n">
        <f aca="false">Q36+Q37+Q38+Q40</f>
        <v>7981.43050727668</v>
      </c>
      <c r="R41" s="83" t="n">
        <f aca="false">R36+R37+R38+R40</f>
        <v>7981.43050727668</v>
      </c>
      <c r="S41" s="83" t="n">
        <f aca="false">S36+S37+S38+S40</f>
        <v>7982.80550727668</v>
      </c>
      <c r="T41" s="83" t="n">
        <f aca="false">T36+T37+T38+T40</f>
        <v>7980.05550727668</v>
      </c>
      <c r="U41" s="83" t="n">
        <f aca="false">U36+U37+U38+U40</f>
        <v>8051.43050727668</v>
      </c>
      <c r="V41" s="83" t="n">
        <f aca="false">V36+V37+V38+V40</f>
        <v>7911.43050727668</v>
      </c>
      <c r="W41" s="83" t="n">
        <f aca="false">W36+W37+W38+W40</f>
        <v>7951.08675727668</v>
      </c>
      <c r="X41" s="83" t="n">
        <f aca="false">X36+X37+X38+X40</f>
        <v>8001.65967394335</v>
      </c>
      <c r="Y41" s="83" t="n">
        <f aca="false">Y36+Y37+Y38+Y40</f>
        <v>7930.41009911342</v>
      </c>
      <c r="Z41" s="83" t="n">
        <f aca="false">Z36+Z37+Z38+Z40</f>
        <v>8032.45091543995</v>
      </c>
      <c r="AA41" s="83" t="n">
        <f aca="false">AA36+AA37+AA38+AA40</f>
        <v>7981.43050727668</v>
      </c>
      <c r="AB41" s="83" t="n">
        <f aca="false">AB36+AB37+AB38+AB40</f>
        <v>7981.43050727668</v>
      </c>
      <c r="AC41" s="83" t="n">
        <f aca="false">AC36+AC37+AC38+AC40</f>
        <v>7894.84536634326</v>
      </c>
      <c r="AD41" s="83" t="n">
        <f aca="false">AD36+AD37+AD38+AD40</f>
        <v>8089.00008587041</v>
      </c>
    </row>
    <row r="42" customFormat="false" ht="15" hidden="false" customHeight="false" outlineLevel="0" collapsed="false">
      <c r="A42" s="20" t="s">
        <v>1222</v>
      </c>
      <c r="B42" s="5" t="s">
        <v>1223</v>
      </c>
      <c r="C42" s="20" t="s">
        <v>74</v>
      </c>
      <c r="D42" s="52" t="n">
        <f aca="false">D11*D41-D24/D18</f>
        <v>1327.30314754293</v>
      </c>
      <c r="E42" s="52" t="n">
        <f aca="false">E11*E41-E24/E18</f>
        <v>1321.02954061895</v>
      </c>
      <c r="F42" s="52" t="n">
        <f aca="false">F11*F41-F24/F18</f>
        <v>1333.57675446691</v>
      </c>
      <c r="G42" s="52" t="n">
        <f aca="false">G11*G41-G24/G18</f>
        <v>1308.11518360006</v>
      </c>
      <c r="H42" s="52" t="n">
        <f aca="false">H11*H41-H24/H18</f>
        <v>1346.4911114858</v>
      </c>
      <c r="I42" s="52" t="n">
        <f aca="false">I11*I41-I24/I18</f>
        <v>1324.2759705795</v>
      </c>
      <c r="J42" s="52" t="n">
        <f aca="false">J11*J41-J24/J18</f>
        <v>1330.33032450636</v>
      </c>
      <c r="K42" s="52" t="n">
        <f aca="false">K11*K41-K24/K18</f>
        <v>1322.99910446696</v>
      </c>
      <c r="L42" s="52" t="n">
        <f aca="false">L11*L41-L24/L18</f>
        <v>1331.6071906189</v>
      </c>
      <c r="M42" s="52" t="n">
        <f aca="false">M11*M41-M24/M18</f>
        <v>1327.30314754293</v>
      </c>
      <c r="N42" s="52" t="n">
        <f aca="false">N11*N41-N24/N18</f>
        <v>1327.30314754293</v>
      </c>
      <c r="O42" s="52" t="n">
        <f aca="false">O11*O41-O24/O18</f>
        <v>1098.26510875711</v>
      </c>
      <c r="P42" s="52" t="n">
        <f aca="false">P11*P41-P24/P18</f>
        <v>1497.33663412094</v>
      </c>
      <c r="Q42" s="52" t="n">
        <f aca="false">Q11*Q41-Q24/Q18</f>
        <v>1327.30314754293</v>
      </c>
      <c r="R42" s="52" t="n">
        <f aca="false">R11*R41-R24/R18</f>
        <v>1327.30314754293</v>
      </c>
      <c r="S42" s="52" t="n">
        <f aca="false">S11*S41-S24/S18</f>
        <v>1327.53510504407</v>
      </c>
      <c r="T42" s="52" t="n">
        <f aca="false">T11*T41-T24/T18</f>
        <v>1327.07119004179</v>
      </c>
      <c r="U42" s="52" t="n">
        <f aca="false">U11*U41-U24/U18</f>
        <v>1339.11189305545</v>
      </c>
      <c r="V42" s="52" t="n">
        <f aca="false">V11*V41-V24/V18</f>
        <v>1315.49440203041</v>
      </c>
      <c r="W42" s="52" t="n">
        <f aca="false">W11*W41-W24/W18</f>
        <v>1322.18426723371</v>
      </c>
      <c r="X42" s="52" t="n">
        <f aca="false">X11*X41-X24/X18</f>
        <v>1330.71573441574</v>
      </c>
      <c r="Y42" s="52" t="n">
        <f aca="false">Y11*Y41-Y24/Y18</f>
        <v>1318.69619017228</v>
      </c>
      <c r="Z42" s="52" t="n">
        <f aca="false">Z11*Z41-Z24/Z18</f>
        <v>1335.91010491357</v>
      </c>
      <c r="AA42" s="52" t="n">
        <f aca="false">AA11*AA41-AA24/AA18</f>
        <v>1327.30314754293</v>
      </c>
      <c r="AB42" s="52" t="n">
        <f aca="false">AB11*AB41-AB24/AB18</f>
        <v>1327.30314754293</v>
      </c>
      <c r="AC42" s="52" t="n">
        <f aca="false">AC11*AC41-AC24/AC18</f>
        <v>1086.14318902643</v>
      </c>
      <c r="AD42" s="52" t="n">
        <f aca="false">AD11*AD41-AD24/AD18</f>
        <v>1517.77485405375</v>
      </c>
    </row>
    <row r="43" customFormat="false" ht="15" hidden="false" customHeight="false" outlineLevel="0" collapsed="false">
      <c r="A43" s="20" t="s">
        <v>1224</v>
      </c>
      <c r="B43" s="5" t="s">
        <v>1225</v>
      </c>
      <c r="C43" s="20" t="s">
        <v>74</v>
      </c>
      <c r="D43" s="52" t="n">
        <f aca="false">Entrées!$C$79*(1+D12)+D19</f>
        <v>1481.92</v>
      </c>
      <c r="E43" s="52" t="n">
        <f aca="false">Entrées!$C$79*(1+E12)+E19</f>
        <v>1481.92</v>
      </c>
      <c r="F43" s="52" t="n">
        <f aca="false">Entrées!$C$79*(1+F12)+F19</f>
        <v>1481.92</v>
      </c>
      <c r="G43" s="52" t="n">
        <f aca="false">Entrées!$C$79*(1+G12)+G19</f>
        <v>1481.92</v>
      </c>
      <c r="H43" s="52" t="n">
        <f aca="false">Entrées!$C$79*(1+H12)+H19</f>
        <v>1481.92</v>
      </c>
      <c r="I43" s="52" t="n">
        <f aca="false">Entrées!$C$79*(1+I12)+I19</f>
        <v>1481.92</v>
      </c>
      <c r="J43" s="52" t="n">
        <f aca="false">Entrées!$C$79*(1+J12)+J19</f>
        <v>1481.92</v>
      </c>
      <c r="K43" s="52" t="n">
        <f aca="false">Entrées!$C$79*(1+K12)+K19</f>
        <v>1481.92</v>
      </c>
      <c r="L43" s="52" t="n">
        <f aca="false">Entrées!$C$79*(1+L12)+L19</f>
        <v>1481.92</v>
      </c>
      <c r="M43" s="52" t="n">
        <f aca="false">Entrées!$C$79*(1+M12)+M19</f>
        <v>1481.92</v>
      </c>
      <c r="N43" s="52" t="n">
        <f aca="false">Entrées!$C$79*(1+N12)+N19</f>
        <v>1481.92</v>
      </c>
      <c r="O43" s="52" t="n">
        <f aca="false">Entrées!$C$79*(1+O12)+O19</f>
        <v>1481.92</v>
      </c>
      <c r="P43" s="52" t="n">
        <f aca="false">Entrées!$C$79*(1+P12)+P19</f>
        <v>1481.92</v>
      </c>
      <c r="Q43" s="52" t="n">
        <f aca="false">Entrées!$C$79*(1+Q12)+Q19</f>
        <v>1437.96</v>
      </c>
      <c r="R43" s="52" t="n">
        <f aca="false">Entrées!$C$79*(1+R12)+R19</f>
        <v>1525.88</v>
      </c>
      <c r="S43" s="52" t="n">
        <f aca="false">Entrées!$C$79*(1+S12)+S19</f>
        <v>1481.92</v>
      </c>
      <c r="T43" s="52" t="n">
        <f aca="false">Entrées!$C$79*(1+T12)+T19</f>
        <v>1481.92</v>
      </c>
      <c r="U43" s="52" t="n">
        <f aca="false">Entrées!$C$79*(1+U12)+U19</f>
        <v>1481.92</v>
      </c>
      <c r="V43" s="52" t="n">
        <f aca="false">Entrées!$C$79*(1+V12)+V19</f>
        <v>1481.92</v>
      </c>
      <c r="W43" s="52" t="n">
        <f aca="false">Entrées!$C$79*(1+W12)+W19</f>
        <v>1481.92</v>
      </c>
      <c r="X43" s="52" t="n">
        <f aca="false">Entrées!$C$79*(1+X12)+X19</f>
        <v>1481.92</v>
      </c>
      <c r="Y43" s="52" t="n">
        <f aca="false">Entrées!$C$79*(1+Y12)+Y19</f>
        <v>1481.92</v>
      </c>
      <c r="Z43" s="52" t="n">
        <f aca="false">Entrées!$C$79*(1+Z12)+Z19</f>
        <v>1481.92</v>
      </c>
      <c r="AA43" s="52" t="n">
        <f aca="false">Entrées!$C$79*(1+AA12)+AA19</f>
        <v>1481.92</v>
      </c>
      <c r="AB43" s="52" t="n">
        <f aca="false">Entrées!$C$79*(1+AB12)+AB19</f>
        <v>1481.92</v>
      </c>
      <c r="AC43" s="52" t="n">
        <f aca="false">Entrées!$C$79*(1+AC12)+AC19</f>
        <v>1525.88</v>
      </c>
      <c r="AD43" s="52" t="n">
        <f aca="false">Entrées!$C$79*(1+AD12)+AD19</f>
        <v>1437.96</v>
      </c>
    </row>
    <row r="44" customFormat="false" ht="15" hidden="false" customHeight="false" outlineLevel="0" collapsed="false">
      <c r="A44" s="20" t="s">
        <v>1226</v>
      </c>
      <c r="B44" s="18" t="s">
        <v>1227</v>
      </c>
      <c r="C44" s="20" t="s">
        <v>74</v>
      </c>
      <c r="D44" s="83" t="n">
        <f aca="false">D32-D42+D43+D16*1000-D39+D22</f>
        <v>22373.6168524571</v>
      </c>
      <c r="E44" s="83" t="n">
        <f aca="false">E32-E42+E43+E16*1000-E39+E22</f>
        <v>22379.8904593811</v>
      </c>
      <c r="F44" s="83" t="n">
        <f aca="false">F32-F42+F43+F16*1000-F39+F22</f>
        <v>22367.3432455331</v>
      </c>
      <c r="G44" s="83" t="n">
        <f aca="false">G32-G42+G43+G16*1000-G39+G22</f>
        <v>22392.8048163999</v>
      </c>
      <c r="H44" s="83" t="n">
        <f aca="false">H32-H42+H43+H16*1000-H39+H22</f>
        <v>22354.4288885142</v>
      </c>
      <c r="I44" s="83" t="n">
        <f aca="false">I32-I42+I43+I16*1000-I39+I22</f>
        <v>22376.6440294205</v>
      </c>
      <c r="J44" s="83" t="n">
        <f aca="false">J32-J42+J43+J16*1000-J39+J22</f>
        <v>22370.5896754936</v>
      </c>
      <c r="K44" s="83" t="n">
        <f aca="false">K32-K42+K43+K16*1000-K39+K22</f>
        <v>22377.920895533</v>
      </c>
      <c r="L44" s="83" t="n">
        <f aca="false">L32-L42+L43+L16*1000-L39+L22</f>
        <v>22369.3128093811</v>
      </c>
      <c r="M44" s="83" t="n">
        <f aca="false">M32-M42+M43+M16*1000-M39+M22</f>
        <v>22699.4168524571</v>
      </c>
      <c r="N44" s="83" t="n">
        <f aca="false">N32-N42+N43+N16*1000-N39+N22</f>
        <v>22210.7168524571</v>
      </c>
      <c r="O44" s="83" t="n">
        <f aca="false">O32-O42+O43+O16*1000-O39+O22</f>
        <v>22602.6548912429</v>
      </c>
      <c r="P44" s="83" t="n">
        <f aca="false">P32-P42+P43+P16*1000-P39+P22</f>
        <v>22203.5833658791</v>
      </c>
      <c r="Q44" s="83" t="n">
        <f aca="false">Q32-Q42+Q43+Q16*1000-Q39+Q22</f>
        <v>22329.6568524571</v>
      </c>
      <c r="R44" s="83" t="n">
        <f aca="false">R32-R42+R43+R16*1000-R39+R22</f>
        <v>22417.5768524571</v>
      </c>
      <c r="S44" s="83" t="n">
        <f aca="false">S32-S42+S43+S16*1000-S39+S22</f>
        <v>22373.3848949559</v>
      </c>
      <c r="T44" s="83" t="n">
        <f aca="false">T32-T42+T43+T16*1000-T39+T22</f>
        <v>22373.8488099582</v>
      </c>
      <c r="U44" s="83" t="n">
        <f aca="false">U32-U42+U43+U16*1000-U39+U22</f>
        <v>23061.8081069445</v>
      </c>
      <c r="V44" s="83" t="n">
        <f aca="false">V32-V42+V43+V16*1000-V39+V22</f>
        <v>21685.4255979696</v>
      </c>
      <c r="W44" s="83" t="n">
        <f aca="false">W32-W42+W43+W16*1000-W39+W22</f>
        <v>22378.7357327663</v>
      </c>
      <c r="X44" s="83" t="n">
        <f aca="false">X32-X42+X43+X16*1000-X39+X22</f>
        <v>22370.2042655843</v>
      </c>
      <c r="Y44" s="83" t="n">
        <f aca="false">Y32-Y42+Y43+Y16*1000-Y39+Y22</f>
        <v>21882.2238098277</v>
      </c>
      <c r="Z44" s="83" t="n">
        <f aca="false">Z32-Z42+Z43+Z16*1000-Z39+Z22</f>
        <v>22865.0098950864</v>
      </c>
      <c r="AA44" s="83" t="n">
        <f aca="false">AA32-AA42+AA43+AA16*1000-AA39+AA22</f>
        <v>22373.6168524571</v>
      </c>
      <c r="AB44" s="83" t="n">
        <f aca="false">AB32-AB42+AB43+AB16*1000-AB39+AB22</f>
        <v>22373.6168524571</v>
      </c>
      <c r="AC44" s="83" t="n">
        <f aca="false">AC32-AC42+AC43+AC16*1000-AC39+AC22</f>
        <v>24184.5368109736</v>
      </c>
      <c r="AD44" s="83" t="n">
        <f aca="false">AD32-AD42+AD43+AD16*1000-AD39+AD22</f>
        <v>20776.2851459462</v>
      </c>
    </row>
    <row r="45" customFormat="false" ht="15" hidden="false" customHeight="false" outlineLevel="0" collapsed="false">
      <c r="A45" s="20" t="s">
        <v>1228</v>
      </c>
      <c r="B45" s="18" t="s">
        <v>1229</v>
      </c>
      <c r="C45" s="20" t="s">
        <v>104</v>
      </c>
      <c r="D45" s="85" t="n">
        <f aca="false">D44/D41</f>
        <v>2.80320887741352</v>
      </c>
      <c r="E45" s="85" t="n">
        <f aca="false">E44/E41</f>
        <v>2.81712102213931</v>
      </c>
      <c r="F45" s="85" t="n">
        <f aca="false">F44/F41</f>
        <v>2.78942577616905</v>
      </c>
      <c r="G45" s="85" t="n">
        <f aca="false">G44/G41</f>
        <v>2.8461735003278</v>
      </c>
      <c r="H45" s="85" t="n">
        <f aca="false">H44/H41</f>
        <v>2.76145161796485</v>
      </c>
      <c r="I45" s="85" t="n">
        <f aca="false">I44/I41</f>
        <v>2.8099056233804</v>
      </c>
      <c r="J45" s="85" t="n">
        <f aca="false">J44/J41</f>
        <v>2.79654217628338</v>
      </c>
      <c r="K45" s="85" t="n">
        <f aca="false">K44/K41</f>
        <v>2.81273937558783</v>
      </c>
      <c r="L45" s="85" t="n">
        <f aca="false">L44/L41</f>
        <v>2.79373911572916</v>
      </c>
      <c r="M45" s="85" t="n">
        <f aca="false">M44/M41</f>
        <v>2.84402862767044</v>
      </c>
      <c r="N45" s="85" t="n">
        <f aca="false">N44/N41</f>
        <v>2.78279900228506</v>
      </c>
      <c r="O45" s="85" t="n">
        <f aca="false">O44/O41</f>
        <v>2.83190524187813</v>
      </c>
      <c r="P45" s="85" t="n">
        <f aca="false">P44/P41</f>
        <v>2.78190524187814</v>
      </c>
      <c r="Q45" s="85" t="n">
        <f aca="false">Q44/Q41</f>
        <v>2.79770109281777</v>
      </c>
      <c r="R45" s="85" t="n">
        <f aca="false">R44/R41</f>
        <v>2.80871666200927</v>
      </c>
      <c r="S45" s="85" t="n">
        <f aca="false">S44/S41</f>
        <v>2.80269698097512</v>
      </c>
      <c r="T45" s="85" t="n">
        <f aca="false">T44/T41</f>
        <v>2.8037209502561</v>
      </c>
      <c r="U45" s="85" t="n">
        <f aca="false">U44/U41</f>
        <v>2.86431188670161</v>
      </c>
      <c r="V45" s="85" t="n">
        <f aca="false">V44/V41</f>
        <v>2.74102459448061</v>
      </c>
      <c r="W45" s="85" t="n">
        <f aca="false">W44/W41</f>
        <v>2.81455056596958</v>
      </c>
      <c r="X45" s="85" t="n">
        <f aca="false">X44/X41</f>
        <v>2.79569554031781</v>
      </c>
      <c r="Y45" s="85" t="n">
        <f aca="false">Y44/Y41</f>
        <v>2.75928023095225</v>
      </c>
      <c r="Z45" s="85" t="n">
        <f aca="false">Z44/Z41</f>
        <v>2.84657947316371</v>
      </c>
      <c r="AA45" s="85" t="n">
        <f aca="false">AA44/AA41</f>
        <v>2.80320887741352</v>
      </c>
      <c r="AB45" s="85" t="n">
        <f aca="false">AB44/AB41</f>
        <v>2.80320887741352</v>
      </c>
      <c r="AC45" s="85" t="n">
        <f aca="false">AC44/AC41</f>
        <v>3.06333255291805</v>
      </c>
      <c r="AD45" s="85" t="n">
        <f aca="false">AD44/AD41</f>
        <v>2.56846148169012</v>
      </c>
    </row>
    <row r="46" customFormat="false" ht="15" hidden="false" customHeight="false" outlineLevel="0" collapsed="false">
      <c r="A46" s="20" t="s">
        <v>1230</v>
      </c>
      <c r="B46" s="18" t="s">
        <v>1231</v>
      </c>
      <c r="C46" s="20" t="s">
        <v>74</v>
      </c>
      <c r="D46" s="84" t="n">
        <f aca="false">D25*D41-D44</f>
        <v>1570.67466937297</v>
      </c>
      <c r="E46" s="84" t="n">
        <f aca="false">E25*E41-E44</f>
        <v>1452.83481244899</v>
      </c>
      <c r="F46" s="84" t="n">
        <f aca="false">F25*F41-F44</f>
        <v>1688.51452629695</v>
      </c>
      <c r="G46" s="84" t="n">
        <f aca="false">G25*G41-G44</f>
        <v>1210.25889052545</v>
      </c>
      <c r="H46" s="84" t="n">
        <f aca="false">H25*H41-H44</f>
        <v>1931.09044822049</v>
      </c>
      <c r="I46" s="84" t="n">
        <f aca="false">I25*I41-I44</f>
        <v>1513.81390258016</v>
      </c>
      <c r="J46" s="84" t="n">
        <f aca="false">J25*J41-J44</f>
        <v>1627.53543616577</v>
      </c>
      <c r="K46" s="84" t="n">
        <f aca="false">K25*K41-K44</f>
        <v>1489.8299772505</v>
      </c>
      <c r="L46" s="84" t="n">
        <f aca="false">L25*L41-L44</f>
        <v>1651.51936149544</v>
      </c>
      <c r="M46" s="84" t="n">
        <f aca="false">M25*M41-M44</f>
        <v>1244.87466937297</v>
      </c>
      <c r="N46" s="84" t="n">
        <f aca="false">N25*N41-N44</f>
        <v>1733.57466937297</v>
      </c>
      <c r="O46" s="84" t="n">
        <f aca="false">O25*O41-O44</f>
        <v>1341.63663058715</v>
      </c>
      <c r="P46" s="84" t="n">
        <f aca="false">P25*P41-P44</f>
        <v>1740.70815595098</v>
      </c>
      <c r="Q46" s="84" t="n">
        <f aca="false">Q25*Q41-Q44</f>
        <v>1614.63466937297</v>
      </c>
      <c r="R46" s="84" t="n">
        <f aca="false">R25*R41-R44</f>
        <v>1526.71466937297</v>
      </c>
      <c r="S46" s="84" t="n">
        <f aca="false">S25*S41-S44</f>
        <v>1575.03162687411</v>
      </c>
      <c r="T46" s="84" t="n">
        <f aca="false">T25*T41-T44</f>
        <v>1566.31771187183</v>
      </c>
      <c r="U46" s="84" t="n">
        <f aca="false">U25*U41-U44</f>
        <v>1092.48341488549</v>
      </c>
      <c r="V46" s="84" t="n">
        <f aca="false">V25*V41-V44</f>
        <v>2048.86592386045</v>
      </c>
      <c r="W46" s="84" t="n">
        <f aca="false">W25*W41-W44</f>
        <v>1474.52453906374</v>
      </c>
      <c r="X46" s="84" t="n">
        <f aca="false">X25*X41-X44</f>
        <v>1634.77475624579</v>
      </c>
      <c r="Y46" s="84" t="n">
        <f aca="false">Y25*Y41-Y44</f>
        <v>1909.00648751253</v>
      </c>
      <c r="Z46" s="84" t="n">
        <f aca="false">Z25*Z41-Z44</f>
        <v>1232.34285123341</v>
      </c>
      <c r="AA46" s="84" t="n">
        <f aca="false">AA25*AA41-AA44</f>
        <v>1570.67466937297</v>
      </c>
      <c r="AB46" s="84" t="n">
        <f aca="false">AB25*AB41-AB44</f>
        <v>1570.67466937297</v>
      </c>
      <c r="AC46" s="84" t="n">
        <f aca="false">AC25*AC41-AC44</f>
        <v>-500.000711943791</v>
      </c>
      <c r="AD46" s="84" t="n">
        <f aca="false">AD25*AD41-AD44</f>
        <v>3490.715111665</v>
      </c>
    </row>
    <row r="47" customFormat="false" ht="15" hidden="false" customHeight="false" outlineLevel="0" collapsed="false">
      <c r="A47" s="20" t="s">
        <v>1232</v>
      </c>
      <c r="B47" s="18" t="s">
        <v>1233</v>
      </c>
      <c r="C47" s="20" t="s">
        <v>74</v>
      </c>
      <c r="D47" s="84" t="n">
        <f aca="false">IF(D20&gt;D25,MAX(0,D46)/(1-D25/D20),0)</f>
        <v>2263.61937644927</v>
      </c>
      <c r="E47" s="84" t="n">
        <f aca="false">IF(E20&gt;E25,MAX(0,E46)/(1-E25/E20),0)</f>
        <v>2093.79134735295</v>
      </c>
      <c r="F47" s="84" t="n">
        <f aca="false">IF(F20&gt;F25,MAX(0,F46)/(1-F25/F20),0)</f>
        <v>2433.4474055456</v>
      </c>
      <c r="G47" s="84" t="n">
        <f aca="false">IF(G20&gt;G25,MAX(0,G46)/(1-G25/G20),0)</f>
        <v>1744.1966363455</v>
      </c>
      <c r="H47" s="84" t="n">
        <f aca="false">IF(H20&gt;H25,MAX(0,H46)/(1-H25/H20),0)</f>
        <v>2783.04211655306</v>
      </c>
      <c r="I47" s="84" t="n">
        <f aca="false">IF(I20&gt;I25,MAX(0,I46)/(1-I25/I20),0)</f>
        <v>2181.67297724788</v>
      </c>
      <c r="J47" s="84" t="n">
        <f aca="false">IF(J20&gt;J25,MAX(0,J46)/(1-J25/J20),0)</f>
        <v>2345.56577565067</v>
      </c>
      <c r="K47" s="84" t="n">
        <f aca="false">IF(K20&gt;K25,MAX(0,K46)/(1-K25/K20),0)</f>
        <v>2147.10790839042</v>
      </c>
      <c r="L47" s="84" t="n">
        <f aca="false">IF(L20&gt;L25,MAX(0,L46)/(1-L25/L20),0)</f>
        <v>2380.13084450814</v>
      </c>
      <c r="M47" s="84" t="n">
        <f aca="false">IF(M20&gt;M25,MAX(0,M46)/(1-M25/M20),0)</f>
        <v>1794.08408233163</v>
      </c>
      <c r="N47" s="84" t="n">
        <f aca="false">IF(N20&gt;N25,MAX(0,N46)/(1-N25/N20),0)</f>
        <v>2498.3870235081</v>
      </c>
      <c r="O47" s="84" t="n">
        <f aca="false">IF(O20&gt;O25,MAX(0,O46)/(1-O25/O20),0)</f>
        <v>1933.53514408148</v>
      </c>
      <c r="P47" s="84" t="n">
        <f aca="false">IF(P20&gt;P25,MAX(0,P46)/(1-P25/P20),0)</f>
        <v>2508.66763651759</v>
      </c>
      <c r="Q47" s="84" t="n">
        <f aca="false">IF(Q20&gt;Q25,MAX(0,Q46)/(1-Q25/Q20),0)</f>
        <v>2326.97349409634</v>
      </c>
      <c r="R47" s="84" t="n">
        <f aca="false">IF(R20&gt;R25,MAX(0,R46)/(1-R25/R20),0)</f>
        <v>2200.26525880222</v>
      </c>
      <c r="S47" s="84" t="n">
        <f aca="false">IF(S20&gt;S25,MAX(0,S46)/(1-S25/S20),0)</f>
        <v>2269.89852108327</v>
      </c>
      <c r="T47" s="84" t="n">
        <f aca="false">IF(T20&gt;T25,MAX(0,T46)/(1-T25/T20),0)</f>
        <v>2257.34023181529</v>
      </c>
      <c r="U47" s="84" t="n">
        <f aca="false">IF(U20&gt;U25,MAX(0,U46)/(1-U25/U20),0)</f>
        <v>1574.46139204086</v>
      </c>
      <c r="V47" s="84" t="n">
        <f aca="false">IF(V20&gt;V25,MAX(0,V46)/(1-V25/V20),0)</f>
        <v>2952.7773608577</v>
      </c>
      <c r="W47" s="84" t="n">
        <f aca="false">IF(W20&gt;W25,MAX(0,W46)/(1-W25/W20),0)</f>
        <v>2125.05007100363</v>
      </c>
      <c r="X47" s="84" t="n">
        <f aca="false">IF(X20&gt;X25,MAX(0,X46)/(1-X25/X20),0)</f>
        <v>2355.99891341305</v>
      </c>
      <c r="Y47" s="84" t="n">
        <f aca="false">IF(Y20&gt;Y25,MAX(0,Y46)/(1-Y25/Y20),0)</f>
        <v>2751.21523200335</v>
      </c>
      <c r="Z47" s="84" t="n">
        <f aca="false">IF(Z20&gt;Z25,MAX(0,Z46)/(1-Z25/Z20),0)</f>
        <v>1776.02352089521</v>
      </c>
      <c r="AA47" s="84" t="n">
        <f aca="false">IF(AA20&gt;AA25,MAX(0,AA46)/(1-AA25/AA20),0)</f>
        <v>2263.61937644927</v>
      </c>
      <c r="AB47" s="84" t="n">
        <f aca="false">IF(AB20&gt;AB25,MAX(0,AB46)/(1-AB25/AB20),0)</f>
        <v>2263.61937644927</v>
      </c>
      <c r="AC47" s="84" t="n">
        <f aca="false">IF(AC20&gt;AC25,MAX(0,AC46)/(1-AC25/AC20),0)</f>
        <v>0</v>
      </c>
      <c r="AD47" s="84" t="n">
        <f aca="false">IF(AD20&gt;AD25,MAX(0,AD46)/(1-AD25/AD20),0)</f>
        <v>5030.73648445838</v>
      </c>
    </row>
    <row r="48" customFormat="false" ht="15" hidden="false" customHeight="false" outlineLevel="0" collapsed="false">
      <c r="A48" s="20" t="s">
        <v>1234</v>
      </c>
      <c r="B48" s="5" t="s">
        <v>1235</v>
      </c>
      <c r="C48" s="20" t="s">
        <v>74</v>
      </c>
      <c r="D48" s="52" t="n">
        <f aca="false">D41-Entrées!$C$17*1000</f>
        <v>-18.5694927233199</v>
      </c>
      <c r="E48" s="52" t="n">
        <f aca="false">E41-Entrées!$C$17*1000</f>
        <v>-55.7582427233192</v>
      </c>
      <c r="F48" s="52" t="n">
        <f aca="false">F41-Entrées!$C$17*1000</f>
        <v>18.6192572766804</v>
      </c>
      <c r="G48" s="52" t="n">
        <f aca="false">G41-Entrées!$C$17*1000</f>
        <v>-132.312097691535</v>
      </c>
      <c r="H48" s="52" t="n">
        <f aca="false">H41-Entrées!$C$17*1000</f>
        <v>95.1731122448982</v>
      </c>
      <c r="I48" s="52" t="n">
        <f aca="false">I41-Entrées!$C$17*1000</f>
        <v>-36.5140226664444</v>
      </c>
      <c r="J48" s="52" t="n">
        <f aca="false">J41-Entrées!$C$17*1000</f>
        <v>-0.624962780195347</v>
      </c>
      <c r="K48" s="52" t="n">
        <f aca="false">K41-Entrées!$C$17*1000</f>
        <v>-44.0830424054875</v>
      </c>
      <c r="L48" s="52" t="n">
        <f aca="false">L41-Entrées!$C$17*1000</f>
        <v>6.94405695884871</v>
      </c>
      <c r="M48" s="52" t="n">
        <f aca="false">M41-Entrées!$C$17*1000</f>
        <v>-18.5694927233199</v>
      </c>
      <c r="N48" s="52" t="n">
        <f aca="false">N41-Entrées!$C$17*1000</f>
        <v>-18.5694927233199</v>
      </c>
      <c r="O48" s="52" t="n">
        <f aca="false">O41-Entrées!$C$17*1000</f>
        <v>-18.5694927233199</v>
      </c>
      <c r="P48" s="52" t="n">
        <f aca="false">P41-Entrées!$C$17*1000</f>
        <v>-18.5694927233199</v>
      </c>
      <c r="Q48" s="52" t="n">
        <f aca="false">Q41-Entrées!$C$17*1000</f>
        <v>-18.5694927233199</v>
      </c>
      <c r="R48" s="52" t="n">
        <f aca="false">R41-Entrées!$C$17*1000</f>
        <v>-18.5694927233199</v>
      </c>
      <c r="S48" s="52" t="n">
        <f aca="false">S41-Entrées!$C$17*1000</f>
        <v>-17.1944927233199</v>
      </c>
      <c r="T48" s="52" t="n">
        <f aca="false">T41-Entrées!$C$17*1000</f>
        <v>-19.9444927233199</v>
      </c>
      <c r="U48" s="52" t="n">
        <f aca="false">U41-Entrées!$C$17*1000</f>
        <v>51.4305072766801</v>
      </c>
      <c r="V48" s="52" t="n">
        <f aca="false">V41-Entrées!$C$17*1000</f>
        <v>-88.5694927233199</v>
      </c>
      <c r="W48" s="52" t="n">
        <f aca="false">W41-Entrées!$C$17*1000</f>
        <v>-48.9132427233199</v>
      </c>
      <c r="X48" s="52" t="n">
        <f aca="false">X41-Entrées!$C$17*1000</f>
        <v>1.65967394334712</v>
      </c>
      <c r="Y48" s="52" t="n">
        <f aca="false">Y41-Entrées!$C$17*1000</f>
        <v>-69.5899008865854</v>
      </c>
      <c r="Z48" s="52" t="n">
        <f aca="false">Z41-Entrées!$C$17*1000</f>
        <v>32.4509154399457</v>
      </c>
      <c r="AA48" s="52" t="n">
        <f aca="false">AA41-Entrées!$C$17*1000</f>
        <v>-18.5694927233199</v>
      </c>
      <c r="AB48" s="52" t="n">
        <f aca="false">AB41-Entrées!$C$17*1000</f>
        <v>-18.5694927233199</v>
      </c>
      <c r="AC48" s="52" t="n">
        <f aca="false">AC41-Entrées!$C$17*1000</f>
        <v>-105.154633656741</v>
      </c>
      <c r="AD48" s="52" t="n">
        <f aca="false">AD41-Entrées!$C$17*1000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customFormat="false" ht="15" hidden="false" customHeight="false" outlineLevel="0" collapsed="false">
      <c r="A50" s="20" t="s">
        <v>1236</v>
      </c>
      <c r="B50" s="5" t="s">
        <v>1237</v>
      </c>
      <c r="C50" s="20" t="s">
        <v>74</v>
      </c>
      <c r="D50" s="52" t="n">
        <f aca="false">D32+(Entrées!$C$244-Entrées!$C$13)</f>
        <v>28416</v>
      </c>
      <c r="E50" s="52" t="n">
        <f aca="false">E32+(Entrées!$C$244-Entrées!$C$13)</f>
        <v>28416</v>
      </c>
      <c r="F50" s="52" t="n">
        <f aca="false">F32+(Entrées!$C$244-Entrées!$C$13)</f>
        <v>28416</v>
      </c>
      <c r="G50" s="52" t="n">
        <f aca="false">G32+(Entrées!$C$244-Entrées!$C$13)</f>
        <v>28416</v>
      </c>
      <c r="H50" s="52" t="n">
        <f aca="false">H32+(Entrées!$C$244-Entrées!$C$13)</f>
        <v>28416</v>
      </c>
      <c r="I50" s="52" t="n">
        <f aca="false">I32+(Entrées!$C$244-Entrées!$C$13)</f>
        <v>28416</v>
      </c>
      <c r="J50" s="52" t="n">
        <f aca="false">J32+(Entrées!$C$244-Entrées!$C$13)</f>
        <v>28416</v>
      </c>
      <c r="K50" s="52" t="n">
        <f aca="false">K32+(Entrées!$C$244-Entrées!$C$13)</f>
        <v>28416</v>
      </c>
      <c r="L50" s="52" t="n">
        <f aca="false">L32+(Entrées!$C$244-Entrées!$C$13)</f>
        <v>28416</v>
      </c>
      <c r="M50" s="52" t="n">
        <f aca="false">M32+(Entrées!$C$244-Entrées!$C$13)</f>
        <v>28741.8</v>
      </c>
      <c r="N50" s="52" t="n">
        <f aca="false">N32+(Entrées!$C$244-Entrées!$C$13)</f>
        <v>28253.1</v>
      </c>
      <c r="O50" s="52" t="n">
        <f aca="false">O32+(Entrées!$C$244-Entrées!$C$13)</f>
        <v>28416</v>
      </c>
      <c r="P50" s="52" t="n">
        <f aca="false">P32+(Entrées!$C$244-Entrées!$C$13)</f>
        <v>28416</v>
      </c>
      <c r="Q50" s="52" t="n">
        <f aca="false">Q32+(Entrées!$C$244-Entrées!$C$13)</f>
        <v>28416</v>
      </c>
      <c r="R50" s="52" t="n">
        <f aca="false">R32+(Entrées!$C$244-Entrées!$C$13)</f>
        <v>28416</v>
      </c>
      <c r="S50" s="52" t="n">
        <f aca="false">S32+(Entrées!$C$244-Entrées!$C$13)</f>
        <v>28666</v>
      </c>
      <c r="T50" s="52" t="n">
        <f aca="false">T32+(Entrées!$C$244-Entrées!$C$13)</f>
        <v>28166</v>
      </c>
      <c r="U50" s="52" t="n">
        <f aca="false">U32+(Entrées!$C$244-Entrées!$C$13)</f>
        <v>28416</v>
      </c>
      <c r="V50" s="52" t="n">
        <f aca="false">V32+(Entrées!$C$244-Entrées!$C$13)</f>
        <v>28416</v>
      </c>
      <c r="W50" s="52" t="n">
        <f aca="false">W32+(Entrées!$C$244-Entrées!$C$13)</f>
        <v>28416</v>
      </c>
      <c r="X50" s="52" t="n">
        <f aca="false">X32+(Entrées!$C$244-Entrées!$C$13)</f>
        <v>28416</v>
      </c>
      <c r="Y50" s="52" t="n">
        <f aca="false">Y32+(Entrées!$C$244-Entrées!$C$13)</f>
        <v>28416</v>
      </c>
      <c r="Z50" s="52" t="n">
        <f aca="false">Z32+(Entrées!$C$244-Entrées!$C$13)</f>
        <v>28416</v>
      </c>
      <c r="AA50" s="52" t="n">
        <f aca="false">AA32+(Entrées!$C$244-Entrées!$C$13)</f>
        <v>28416</v>
      </c>
      <c r="AB50" s="52" t="n">
        <f aca="false">AB32+(Entrées!$C$244-Entrées!$C$13)</f>
        <v>28416</v>
      </c>
      <c r="AC50" s="52" t="n">
        <f aca="false">AC32+(Entrées!$C$244-Entrées!$C$13)</f>
        <v>28491.8</v>
      </c>
      <c r="AD50" s="52" t="n">
        <f aca="false">AD32+(Entrées!$C$244-Entrées!$C$13)</f>
        <v>28503.1</v>
      </c>
    </row>
    <row r="51" customFormat="false" ht="15" hidden="false" customHeight="false" outlineLevel="0" collapsed="false">
      <c r="A51" s="20" t="s">
        <v>1238</v>
      </c>
      <c r="B51" s="5" t="s">
        <v>1239</v>
      </c>
      <c r="C51" s="20" t="s">
        <v>74</v>
      </c>
      <c r="D51" s="52" t="n">
        <f aca="false">D17*D31</f>
        <v>5498.12225488731</v>
      </c>
      <c r="E51" s="52" t="n">
        <f aca="false">E17*E31</f>
        <v>5472.32225488731</v>
      </c>
      <c r="F51" s="52" t="n">
        <f aca="false">F17*F31</f>
        <v>5523.92225488731</v>
      </c>
      <c r="G51" s="52" t="n">
        <f aca="false">G17*G31</f>
        <v>5498.12225488731</v>
      </c>
      <c r="H51" s="52" t="n">
        <f aca="false">H17*H31</f>
        <v>5498.12225488731</v>
      </c>
      <c r="I51" s="52" t="n">
        <f aca="false">I17*I31</f>
        <v>5490.86024216453</v>
      </c>
      <c r="J51" s="52" t="n">
        <f aca="false">J17*J31</f>
        <v>5505.38426761008</v>
      </c>
      <c r="K51" s="52" t="n">
        <f aca="false">K17*K31</f>
        <v>5498.12225488731</v>
      </c>
      <c r="L51" s="52" t="n">
        <f aca="false">L17*L31</f>
        <v>5498.12225488731</v>
      </c>
      <c r="M51" s="52" t="n">
        <f aca="false">M17*M31</f>
        <v>5498.12225488731</v>
      </c>
      <c r="N51" s="52" t="n">
        <f aca="false">N17*N31</f>
        <v>5498.12225488731</v>
      </c>
      <c r="O51" s="52" t="n">
        <f aca="false">O17*O31</f>
        <v>5498.12225488731</v>
      </c>
      <c r="P51" s="52" t="n">
        <f aca="false">P17*P31</f>
        <v>5498.12225488731</v>
      </c>
      <c r="Q51" s="52" t="n">
        <f aca="false">Q17*Q31</f>
        <v>5498.12225488731</v>
      </c>
      <c r="R51" s="52" t="n">
        <f aca="false">R17*R31</f>
        <v>5498.12225488731</v>
      </c>
      <c r="S51" s="52" t="n">
        <f aca="false">S17*S31</f>
        <v>5516.42012722773</v>
      </c>
      <c r="T51" s="52" t="n">
        <f aca="false">T17*T31</f>
        <v>5479.82438254688</v>
      </c>
      <c r="U51" s="52" t="n">
        <f aca="false">U17*U31</f>
        <v>5498.12225488731</v>
      </c>
      <c r="V51" s="52" t="n">
        <f aca="false">V17*V31</f>
        <v>5498.12225488731</v>
      </c>
      <c r="W51" s="52" t="n">
        <f aca="false">W17*W31</f>
        <v>5493.5477868022</v>
      </c>
      <c r="X51" s="52" t="n">
        <f aca="false">X17*X31</f>
        <v>5501.17190027738</v>
      </c>
      <c r="Y51" s="52" t="n">
        <f aca="false">Y17*Y31</f>
        <v>5498.12225488731</v>
      </c>
      <c r="Z51" s="52" t="n">
        <f aca="false">Z17*Z31</f>
        <v>5498.12225488731</v>
      </c>
      <c r="AA51" s="52" t="n">
        <f aca="false">AA17*AA31</f>
        <v>5223.21614214294</v>
      </c>
      <c r="AB51" s="52" t="n">
        <f aca="false">AB17*AB31</f>
        <v>5663.06592253392</v>
      </c>
      <c r="AC51" s="52" t="n">
        <f aca="false">AC17*AC31</f>
        <v>5165.7327619712</v>
      </c>
      <c r="AD51" s="52" t="n">
        <f aca="false">AD17*AD31</f>
        <v>5715.96660414902</v>
      </c>
    </row>
    <row r="52" customFormat="false" ht="15" hidden="false" customHeight="false" outlineLevel="0" collapsed="false">
      <c r="A52" s="20" t="s">
        <v>1240</v>
      </c>
      <c r="B52" s="18" t="s">
        <v>1241</v>
      </c>
      <c r="C52" s="20" t="s">
        <v>270</v>
      </c>
      <c r="D52" s="86" t="n">
        <f aca="false">D51/D50</f>
        <v>0.193486847370753</v>
      </c>
      <c r="E52" s="86" t="n">
        <f aca="false">E51/E50</f>
        <v>0.192578908181563</v>
      </c>
      <c r="F52" s="86" t="n">
        <f aca="false">F51/F50</f>
        <v>0.194394786559942</v>
      </c>
      <c r="G52" s="86" t="n">
        <f aca="false">G51/G50</f>
        <v>0.193486847370753</v>
      </c>
      <c r="H52" s="86" t="n">
        <f aca="false">H51/H50</f>
        <v>0.193486847370753</v>
      </c>
      <c r="I52" s="86" t="n">
        <f aca="false">I51/I50</f>
        <v>0.193231286675272</v>
      </c>
      <c r="J52" s="86" t="n">
        <f aca="false">J51/J50</f>
        <v>0.193742408066233</v>
      </c>
      <c r="K52" s="86" t="n">
        <f aca="false">K51/K50</f>
        <v>0.193486847370753</v>
      </c>
      <c r="L52" s="86" t="n">
        <f aca="false">L51/L50</f>
        <v>0.193486847370753</v>
      </c>
      <c r="M52" s="86" t="n">
        <f aca="false">M51/M50</f>
        <v>0.191293595212802</v>
      </c>
      <c r="N52" s="86" t="n">
        <f aca="false">N51/N50</f>
        <v>0.194602442028921</v>
      </c>
      <c r="O52" s="86" t="n">
        <f aca="false">O51/O50</f>
        <v>0.193486847370753</v>
      </c>
      <c r="P52" s="86" t="n">
        <f aca="false">P51/P50</f>
        <v>0.193486847370753</v>
      </c>
      <c r="Q52" s="86" t="n">
        <f aca="false">Q51/Q50</f>
        <v>0.193486847370753</v>
      </c>
      <c r="R52" s="86" t="n">
        <f aca="false">R51/R50</f>
        <v>0.193486847370753</v>
      </c>
      <c r="S52" s="86" t="n">
        <f aca="false">S51/S50</f>
        <v>0.192437735548306</v>
      </c>
      <c r="T52" s="86" t="n">
        <f aca="false">T51/T50</f>
        <v>0.194554582920787</v>
      </c>
      <c r="U52" s="86" t="n">
        <f aca="false">U51/U50</f>
        <v>0.193486847370753</v>
      </c>
      <c r="V52" s="86" t="n">
        <f aca="false">V51/V50</f>
        <v>0.193486847370753</v>
      </c>
      <c r="W52" s="86" t="n">
        <f aca="false">W51/W50</f>
        <v>0.19332586524501</v>
      </c>
      <c r="X52" s="86" t="n">
        <f aca="false">X51/X50</f>
        <v>0.193594168787914</v>
      </c>
      <c r="Y52" s="86" t="n">
        <f aca="false">Y51/Y50</f>
        <v>0.193486847370753</v>
      </c>
      <c r="Z52" s="86" t="n">
        <f aca="false">Z51/Z50</f>
        <v>0.193486847370753</v>
      </c>
      <c r="AA52" s="86" t="n">
        <f aca="false">AA51/AA50</f>
        <v>0.183812505002215</v>
      </c>
      <c r="AB52" s="86" t="n">
        <f aca="false">AB51/AB50</f>
        <v>0.199291452791875</v>
      </c>
      <c r="AC52" s="86" t="n">
        <f aca="false">AC51/AC50</f>
        <v>0.181305946341446</v>
      </c>
      <c r="AD52" s="86" t="n">
        <f aca="false">AD51/AD50</f>
        <v>0.200538418773713</v>
      </c>
    </row>
    <row r="53" customFormat="false" ht="15" hidden="false" customHeight="false" outlineLevel="0" collapsed="false">
      <c r="A53" s="20" t="s">
        <v>1242</v>
      </c>
      <c r="B53" s="18" t="s">
        <v>1243</v>
      </c>
      <c r="C53" s="20" t="s">
        <v>74</v>
      </c>
      <c r="D53" s="84" t="n">
        <f aca="false">D51/(Entrées!$C$151/100)-D50</f>
        <v>2129.12363826281</v>
      </c>
      <c r="E53" s="84" t="n">
        <f aca="false">E51/(Entrées!$C$151/100)-E50</f>
        <v>1985.79030492947</v>
      </c>
      <c r="F53" s="84" t="n">
        <f aca="false">F51/(Entrées!$C$151/100)-F50</f>
        <v>2272.45697159614</v>
      </c>
      <c r="G53" s="84" t="n">
        <f aca="false">G51/(Entrées!$C$151/100)-G50</f>
        <v>2129.12363826281</v>
      </c>
      <c r="H53" s="84" t="n">
        <f aca="false">H51/(Entrées!$C$151/100)-H50</f>
        <v>2129.12363826281</v>
      </c>
      <c r="I53" s="84" t="n">
        <f aca="false">I51/(Entrées!$C$151/100)-I50</f>
        <v>2088.77912313629</v>
      </c>
      <c r="J53" s="84" t="n">
        <f aca="false">J51/(Entrées!$C$151/100)-J50</f>
        <v>2169.46815338932</v>
      </c>
      <c r="K53" s="84" t="n">
        <f aca="false">K51/(Entrées!$C$151/100)-K50</f>
        <v>2129.12363826281</v>
      </c>
      <c r="L53" s="84" t="n">
        <f aca="false">L51/(Entrées!$C$151/100)-L50</f>
        <v>2129.12363826281</v>
      </c>
      <c r="M53" s="84" t="n">
        <f aca="false">M51/(Entrées!$C$151/100)-M50</f>
        <v>1803.32363826281</v>
      </c>
      <c r="N53" s="84" t="n">
        <f aca="false">N51/(Entrées!$C$151/100)-N50</f>
        <v>2292.02363826281</v>
      </c>
      <c r="O53" s="84" t="n">
        <f aca="false">O51/(Entrées!$C$151/100)-O50</f>
        <v>2129.12363826281</v>
      </c>
      <c r="P53" s="84" t="n">
        <f aca="false">P51/(Entrées!$C$151/100)-P50</f>
        <v>2129.12363826281</v>
      </c>
      <c r="Q53" s="84" t="n">
        <f aca="false">Q51/(Entrées!$C$151/100)-Q50</f>
        <v>2129.12363826281</v>
      </c>
      <c r="R53" s="84" t="n">
        <f aca="false">R51/(Entrées!$C$151/100)-R50</f>
        <v>2129.12363826281</v>
      </c>
      <c r="S53" s="84" t="n">
        <f aca="false">S51/(Entrées!$C$151/100)-S50</f>
        <v>1980.7784845985</v>
      </c>
      <c r="T53" s="84" t="n">
        <f aca="false">T51/(Entrées!$C$151/100)-T50</f>
        <v>2277.46879192711</v>
      </c>
      <c r="U53" s="84" t="n">
        <f aca="false">U51/(Entrées!$C$151/100)-U50</f>
        <v>2129.12363826281</v>
      </c>
      <c r="V53" s="84" t="n">
        <f aca="false">V51/(Entrées!$C$151/100)-V50</f>
        <v>2129.12363826281</v>
      </c>
      <c r="W53" s="84" t="n">
        <f aca="false">W51/(Entrées!$C$151/100)-W50</f>
        <v>2103.70992667888</v>
      </c>
      <c r="X53" s="84" t="n">
        <f aca="false">X51/(Entrées!$C$151/100)-X50</f>
        <v>2146.06611265209</v>
      </c>
      <c r="Y53" s="84" t="n">
        <f aca="false">Y51/(Entrées!$C$151/100)-Y50</f>
        <v>2129.12363826281</v>
      </c>
      <c r="Z53" s="84" t="n">
        <f aca="false">Z51/(Entrées!$C$151/100)-Z50</f>
        <v>2129.12363826281</v>
      </c>
      <c r="AA53" s="84" t="n">
        <f aca="false">AA51/(Entrées!$C$151/100)-AA50</f>
        <v>601.867456349664</v>
      </c>
      <c r="AB53" s="84" t="n">
        <f aca="false">AB51/(Entrées!$C$151/100)-AB50</f>
        <v>3045.47734741069</v>
      </c>
      <c r="AC53" s="84" t="n">
        <f aca="false">AC51/(Entrées!$C$151/100)-AC50</f>
        <v>206.715344284439</v>
      </c>
      <c r="AD53" s="84" t="n">
        <f aca="false">AD51/(Entrées!$C$151/100)-AD50</f>
        <v>3252.2700230501</v>
      </c>
    </row>
    <row r="54" customFormat="false" ht="15" hidden="false" customHeight="false" outlineLevel="0" collapsed="false">
      <c r="A54" s="20" t="s">
        <v>1244</v>
      </c>
      <c r="B54" s="5" t="s">
        <v>1245</v>
      </c>
      <c r="C54" s="20" t="s">
        <v>74</v>
      </c>
      <c r="D54" s="52" t="n">
        <f aca="false">D44+(Entrées!$C$244-Entrées!$C$13)</f>
        <v>28120.6168524571</v>
      </c>
      <c r="E54" s="52" t="n">
        <f aca="false">E44+(Entrées!$C$244-Entrées!$C$13)</f>
        <v>28126.8904593811</v>
      </c>
      <c r="F54" s="52" t="n">
        <f aca="false">F44+(Entrées!$C$244-Entrées!$C$13)</f>
        <v>28114.3432455331</v>
      </c>
      <c r="G54" s="52" t="n">
        <f aca="false">G44+(Entrées!$C$244-Entrées!$C$13)</f>
        <v>28139.8048163999</v>
      </c>
      <c r="H54" s="52" t="n">
        <f aca="false">H44+(Entrées!$C$244-Entrées!$C$13)</f>
        <v>28101.4288885142</v>
      </c>
      <c r="I54" s="52" t="n">
        <f aca="false">I44+(Entrées!$C$244-Entrées!$C$13)</f>
        <v>28123.6440294205</v>
      </c>
      <c r="J54" s="52" t="n">
        <f aca="false">J44+(Entrées!$C$244-Entrées!$C$13)</f>
        <v>28117.5896754936</v>
      </c>
      <c r="K54" s="52" t="n">
        <f aca="false">K44+(Entrées!$C$244-Entrées!$C$13)</f>
        <v>28124.920895533</v>
      </c>
      <c r="L54" s="52" t="n">
        <f aca="false">L44+(Entrées!$C$244-Entrées!$C$13)</f>
        <v>28116.3128093811</v>
      </c>
      <c r="M54" s="52" t="n">
        <f aca="false">M44+(Entrées!$C$244-Entrées!$C$13)</f>
        <v>28446.4168524571</v>
      </c>
      <c r="N54" s="52" t="n">
        <f aca="false">N44+(Entrées!$C$244-Entrées!$C$13)</f>
        <v>27957.7168524571</v>
      </c>
      <c r="O54" s="52" t="n">
        <f aca="false">O44+(Entrées!$C$244-Entrées!$C$13)</f>
        <v>28349.6548912429</v>
      </c>
      <c r="P54" s="52" t="n">
        <f aca="false">P44+(Entrées!$C$244-Entrées!$C$13)</f>
        <v>27950.5833658791</v>
      </c>
      <c r="Q54" s="52" t="n">
        <f aca="false">Q44+(Entrées!$C$244-Entrées!$C$13)</f>
        <v>28076.6568524571</v>
      </c>
      <c r="R54" s="52" t="n">
        <f aca="false">R44+(Entrées!$C$244-Entrées!$C$13)</f>
        <v>28164.5768524571</v>
      </c>
      <c r="S54" s="52" t="n">
        <f aca="false">S44+(Entrées!$C$244-Entrées!$C$13)</f>
        <v>28120.3848949559</v>
      </c>
      <c r="T54" s="52" t="n">
        <f aca="false">T44+(Entrées!$C$244-Entrées!$C$13)</f>
        <v>28120.8488099582</v>
      </c>
      <c r="U54" s="52" t="n">
        <f aca="false">U44+(Entrées!$C$244-Entrées!$C$13)</f>
        <v>28808.8081069445</v>
      </c>
      <c r="V54" s="52" t="n">
        <f aca="false">V44+(Entrées!$C$244-Entrées!$C$13)</f>
        <v>27432.4255979696</v>
      </c>
      <c r="W54" s="52" t="n">
        <f aca="false">W44+(Entrées!$C$244-Entrées!$C$13)</f>
        <v>28125.7357327663</v>
      </c>
      <c r="X54" s="52" t="n">
        <f aca="false">X44+(Entrées!$C$244-Entrées!$C$13)</f>
        <v>28117.2042655843</v>
      </c>
      <c r="Y54" s="52" t="n">
        <f aca="false">Y44+(Entrées!$C$244-Entrées!$C$13)</f>
        <v>27629.2238098277</v>
      </c>
      <c r="Z54" s="52" t="n">
        <f aca="false">Z44+(Entrées!$C$244-Entrées!$C$13)</f>
        <v>28612.0098950864</v>
      </c>
      <c r="AA54" s="52" t="n">
        <f aca="false">AA44+(Entrées!$C$244-Entrées!$C$13)</f>
        <v>28120.6168524571</v>
      </c>
      <c r="AB54" s="52" t="n">
        <f aca="false">AB44+(Entrées!$C$244-Entrées!$C$13)</f>
        <v>28120.6168524571</v>
      </c>
      <c r="AC54" s="52" t="n">
        <f aca="false">AC44+(Entrées!$C$244-Entrées!$C$13)</f>
        <v>29931.5368109736</v>
      </c>
      <c r="AD54" s="52" t="n">
        <f aca="false">AD44+(Entrées!$C$244-Entrées!$C$13)</f>
        <v>26523.2851459462</v>
      </c>
    </row>
    <row r="55" customFormat="false" ht="15" hidden="false" customHeight="false" outlineLevel="0" collapsed="false">
      <c r="A55" s="20" t="s">
        <v>1246</v>
      </c>
      <c r="B55" s="5" t="s">
        <v>1247</v>
      </c>
      <c r="C55" s="20" t="s">
        <v>74</v>
      </c>
      <c r="D55" s="52" t="n">
        <f aca="false">D17*D41</f>
        <v>5841.72786064506</v>
      </c>
      <c r="E55" s="52" t="n">
        <f aca="false">E17*E41</f>
        <v>5814.50886064506</v>
      </c>
      <c r="F55" s="52" t="n">
        <f aca="false">F17*F41</f>
        <v>5868.94686064506</v>
      </c>
      <c r="G55" s="52" t="n">
        <f aca="false">G17*G41</f>
        <v>5758.47795403003</v>
      </c>
      <c r="H55" s="52" t="n">
        <f aca="false">H17*H41</f>
        <v>5924.9777672601</v>
      </c>
      <c r="I55" s="52" t="n">
        <f aca="false">I17*I41</f>
        <v>5828.59399192073</v>
      </c>
      <c r="J55" s="52" t="n">
        <f aca="false">J17*J41</f>
        <v>5854.86172936939</v>
      </c>
      <c r="K55" s="52" t="n">
        <f aca="false">K17*K41</f>
        <v>5823.05411364364</v>
      </c>
      <c r="L55" s="52" t="n">
        <f aca="false">L17*L41</f>
        <v>5860.40160764648</v>
      </c>
      <c r="M55" s="52" t="n">
        <f aca="false">M17*M41</f>
        <v>5841.72786064506</v>
      </c>
      <c r="N55" s="52" t="n">
        <f aca="false">N17*N41</f>
        <v>5841.72786064506</v>
      </c>
      <c r="O55" s="52" t="n">
        <f aca="false">O17*O41</f>
        <v>5841.72786064506</v>
      </c>
      <c r="P55" s="52" t="n">
        <f aca="false">P17*P41</f>
        <v>5841.72786064506</v>
      </c>
      <c r="Q55" s="52" t="n">
        <f aca="false">Q17*Q41</f>
        <v>5841.72786064506</v>
      </c>
      <c r="R55" s="52" t="n">
        <f aca="false">R17*R41</f>
        <v>5841.72786064506</v>
      </c>
      <c r="S55" s="52" t="n">
        <f aca="false">S17*S41</f>
        <v>5842.73424362378</v>
      </c>
      <c r="T55" s="52" t="n">
        <f aca="false">T17*T41</f>
        <v>5840.72147766634</v>
      </c>
      <c r="U55" s="52" t="n">
        <f aca="false">U17*U41</f>
        <v>5892.96190319825</v>
      </c>
      <c r="V55" s="52" t="n">
        <f aca="false">V17*V41</f>
        <v>5790.49381809187</v>
      </c>
      <c r="W55" s="52" t="n">
        <f aca="false">W17*W41</f>
        <v>5819.51881809187</v>
      </c>
      <c r="X55" s="52" t="n">
        <f aca="false">X17*X41</f>
        <v>5856.53388901385</v>
      </c>
      <c r="Y55" s="52" t="n">
        <f aca="false">Y17*Y41</f>
        <v>5804.38526403195</v>
      </c>
      <c r="Z55" s="52" t="n">
        <f aca="false">Z17*Z41</f>
        <v>5879.07045725817</v>
      </c>
      <c r="AA55" s="52" t="n">
        <f aca="false">AA17*AA41</f>
        <v>5549.64146761281</v>
      </c>
      <c r="AB55" s="52" t="n">
        <f aca="false">AB17*AB41</f>
        <v>6016.97969646441</v>
      </c>
      <c r="AC55" s="52" t="n">
        <f aca="false">AC17*AC41</f>
        <v>5489.43716110846</v>
      </c>
      <c r="AD55" s="52" t="n">
        <f aca="false">AD17*AD41</f>
        <v>6098.07342643746</v>
      </c>
    </row>
    <row r="56" customFormat="false" ht="15" hidden="false" customHeight="false" outlineLevel="0" collapsed="false">
      <c r="A56" s="20" t="s">
        <v>1248</v>
      </c>
      <c r="B56" s="18" t="s">
        <v>1249</v>
      </c>
      <c r="C56" s="20" t="s">
        <v>270</v>
      </c>
      <c r="D56" s="86" t="n">
        <f aca="false">D55/D54</f>
        <v>0.207738254508974</v>
      </c>
      <c r="E56" s="86" t="n">
        <f aca="false">E55/E54</f>
        <v>0.206724197580318</v>
      </c>
      <c r="F56" s="86" t="n">
        <f aca="false">F55/F54</f>
        <v>0.20875276400339</v>
      </c>
      <c r="G56" s="86" t="n">
        <f aca="false">G55/G54</f>
        <v>0.204638162617033</v>
      </c>
      <c r="H56" s="86" t="n">
        <f aca="false">H55/H54</f>
        <v>0.210842579954423</v>
      </c>
      <c r="I56" s="86" t="n">
        <f aca="false">I55/I54</f>
        <v>0.207248889433509</v>
      </c>
      <c r="J56" s="86" t="n">
        <f aca="false">J55/J54</f>
        <v>0.208227724955823</v>
      </c>
      <c r="K56" s="86" t="n">
        <f aca="false">K55/K54</f>
        <v>0.207042506369093</v>
      </c>
      <c r="L56" s="86" t="n">
        <f aca="false">L55/L54</f>
        <v>0.208434215659001</v>
      </c>
      <c r="M56" s="86" t="n">
        <f aca="false">M55/M54</f>
        <v>0.205359005000325</v>
      </c>
      <c r="N56" s="86" t="n">
        <f aca="false">N55/N54</f>
        <v>0.208948673866109</v>
      </c>
      <c r="O56" s="86" t="n">
        <f aca="false">O55/O54</f>
        <v>0.206059928526663</v>
      </c>
      <c r="P56" s="86" t="n">
        <f aca="false">P55/P54</f>
        <v>0.209002001288331</v>
      </c>
      <c r="Q56" s="86" t="n">
        <f aca="false">Q55/Q54</f>
        <v>0.208063513093577</v>
      </c>
      <c r="R56" s="86" t="n">
        <f aca="false">R55/R54</f>
        <v>0.207414011268393</v>
      </c>
      <c r="S56" s="86" t="n">
        <f aca="false">S55/S54</f>
        <v>0.20777575646455</v>
      </c>
      <c r="T56" s="86" t="n">
        <f aca="false">T55/T54</f>
        <v>0.207700753172074</v>
      </c>
      <c r="U56" s="86" t="n">
        <f aca="false">U55/U54</f>
        <v>0.204554172505933</v>
      </c>
      <c r="V56" s="86" t="n">
        <f aca="false">V55/V54</f>
        <v>0.211082093248089</v>
      </c>
      <c r="W56" s="86" t="n">
        <f aca="false">W55/W54</f>
        <v>0.20691081198321</v>
      </c>
      <c r="X56" s="86" t="n">
        <f aca="false">X55/X54</f>
        <v>0.208290050237403</v>
      </c>
      <c r="Y56" s="86" t="n">
        <f aca="false">Y55/Y54</f>
        <v>0.210081372679291</v>
      </c>
      <c r="Z56" s="86" t="n">
        <f aca="false">Z55/Z54</f>
        <v>0.205475619462434</v>
      </c>
      <c r="AA56" s="86" t="n">
        <f aca="false">AA55/AA54</f>
        <v>0.197351341783525</v>
      </c>
      <c r="AB56" s="86" t="n">
        <f aca="false">AB55/AB54</f>
        <v>0.213970402144243</v>
      </c>
      <c r="AC56" s="86" t="n">
        <f aca="false">AC55/AC54</f>
        <v>0.183399776489121</v>
      </c>
      <c r="AD56" s="86" t="n">
        <f aca="false">AD55/AD54</f>
        <v>0.229913956468152</v>
      </c>
    </row>
    <row r="57" customFormat="false" ht="15" hidden="false" customHeight="false" outlineLevel="0" collapsed="false">
      <c r="A57" s="20" t="s">
        <v>1250</v>
      </c>
      <c r="B57" s="18" t="s">
        <v>1251</v>
      </c>
      <c r="C57" s="20" t="s">
        <v>74</v>
      </c>
      <c r="D57" s="84" t="n">
        <f aca="false">D55/(Entrées!$C$151/100)-D54</f>
        <v>4333.42681779325</v>
      </c>
      <c r="E57" s="84" t="n">
        <f aca="false">E55/(Entrées!$C$151/100)-E54</f>
        <v>4175.93654420261</v>
      </c>
      <c r="F57" s="84" t="n">
        <f aca="false">F55/(Entrées!$C$151/100)-F54</f>
        <v>4490.9170913839</v>
      </c>
      <c r="G57" s="84" t="n">
        <f aca="false">G55/(Entrées!$C$151/100)-G54</f>
        <v>3851.73937265576</v>
      </c>
      <c r="H57" s="84" t="n">
        <f aca="false">H55/(Entrées!$C$151/100)-H54</f>
        <v>4815.11426293077</v>
      </c>
      <c r="I57" s="84" t="n">
        <f aca="false">I55/(Entrées!$C$151/100)-I54</f>
        <v>4257.43370347244</v>
      </c>
      <c r="J57" s="84" t="n">
        <f aca="false">J55/(Entrées!$C$151/100)-J54</f>
        <v>4409.41993211408</v>
      </c>
      <c r="K57" s="84" t="n">
        <f aca="false">K55/(Entrées!$C$151/100)-K54</f>
        <v>4225.37973582053</v>
      </c>
      <c r="L57" s="84" t="n">
        <f aca="false">L55/(Entrées!$C$151/100)-L54</f>
        <v>4441.47389976599</v>
      </c>
      <c r="M57" s="84" t="n">
        <f aca="false">M55/(Entrées!$C$151/100)-M54</f>
        <v>4007.62681779326</v>
      </c>
      <c r="N57" s="84" t="n">
        <f aca="false">N55/(Entrées!$C$151/100)-N54</f>
        <v>4496.32681779326</v>
      </c>
      <c r="O57" s="84" t="n">
        <f aca="false">O55/(Entrées!$C$151/100)-O54</f>
        <v>4104.38877900744</v>
      </c>
      <c r="P57" s="84" t="n">
        <f aca="false">P55/(Entrées!$C$151/100)-P54</f>
        <v>4503.46030437127</v>
      </c>
      <c r="Q57" s="84" t="n">
        <f aca="false">Q55/(Entrées!$C$151/100)-Q54</f>
        <v>4377.38681779326</v>
      </c>
      <c r="R57" s="84" t="n">
        <f aca="false">R55/(Entrées!$C$151/100)-R54</f>
        <v>4289.46681779325</v>
      </c>
      <c r="S57" s="84" t="n">
        <f aca="false">S55/(Entrées!$C$151/100)-S54</f>
        <v>4339.24979184286</v>
      </c>
      <c r="T57" s="84" t="n">
        <f aca="false">T55/(Entrées!$C$151/100)-T54</f>
        <v>4327.60384374366</v>
      </c>
      <c r="U57" s="84" t="n">
        <f aca="false">U55/(Entrées!$C$151/100)-U54</f>
        <v>3929.86913304573</v>
      </c>
      <c r="V57" s="84" t="n">
        <f aca="false">V55/(Entrées!$C$151/100)-V54</f>
        <v>4736.98450254079</v>
      </c>
      <c r="W57" s="84" t="n">
        <f aca="false">W55/(Entrées!$C$151/100)-W54</f>
        <v>4204.92436774408</v>
      </c>
      <c r="X57" s="84" t="n">
        <f aca="false">X55/(Entrées!$C$151/100)-X54</f>
        <v>4419.09511782605</v>
      </c>
      <c r="Y57" s="84" t="n">
        <f aca="false">Y55/(Entrées!$C$151/100)-Y54</f>
        <v>4617.36099034976</v>
      </c>
      <c r="Z57" s="84" t="n">
        <f aca="false">Z55/(Entrées!$C$151/100)-Z54</f>
        <v>4049.49264523675</v>
      </c>
      <c r="AA57" s="84" t="n">
        <f aca="false">AA55/(Entrées!$C$151/100)-AA54</f>
        <v>2710.72463428073</v>
      </c>
      <c r="AB57" s="84" t="n">
        <f aca="false">AB55/(Entrées!$C$151/100)-AB54</f>
        <v>5307.04812790077</v>
      </c>
      <c r="AC57" s="84" t="n">
        <f aca="false">AC55/(Entrées!$C$151/100)-AC54</f>
        <v>565.33630629566</v>
      </c>
      <c r="AD57" s="84" t="n">
        <f aca="false">AD55/(Entrées!$C$151/100)-AD54</f>
        <v>7354.90055648408</v>
      </c>
    </row>
    <row r="58" customFormat="false" ht="15" hidden="false" customHeight="false" outlineLevel="0" collapsed="false">
      <c r="A58" s="20" t="s">
        <v>1252</v>
      </c>
      <c r="B58" s="18" t="s">
        <v>1253</v>
      </c>
      <c r="C58" s="20" t="s">
        <v>74</v>
      </c>
      <c r="D58" s="84" t="n">
        <f aca="false">MIN(D46,D57)</f>
        <v>1570.67466937297</v>
      </c>
      <c r="E58" s="84" t="n">
        <f aca="false">MIN(E46,E57)</f>
        <v>1452.83481244899</v>
      </c>
      <c r="F58" s="84" t="n">
        <f aca="false">MIN(F46,F57)</f>
        <v>1688.51452629695</v>
      </c>
      <c r="G58" s="84" t="n">
        <f aca="false">MIN(G46,G57)</f>
        <v>1210.25889052545</v>
      </c>
      <c r="H58" s="84" t="n">
        <f aca="false">MIN(H46,H57)</f>
        <v>1931.09044822049</v>
      </c>
      <c r="I58" s="84" t="n">
        <f aca="false">MIN(I46,I57)</f>
        <v>1513.81390258016</v>
      </c>
      <c r="J58" s="84" t="n">
        <f aca="false">MIN(J46,J57)</f>
        <v>1627.53543616577</v>
      </c>
      <c r="K58" s="84" t="n">
        <f aca="false">MIN(K46,K57)</f>
        <v>1489.8299772505</v>
      </c>
      <c r="L58" s="84" t="n">
        <f aca="false">MIN(L46,L57)</f>
        <v>1651.51936149544</v>
      </c>
      <c r="M58" s="84" t="n">
        <f aca="false">MIN(M46,M57)</f>
        <v>1244.87466937297</v>
      </c>
      <c r="N58" s="84" t="n">
        <f aca="false">MIN(N46,N57)</f>
        <v>1733.57466937297</v>
      </c>
      <c r="O58" s="84" t="n">
        <f aca="false">MIN(O46,O57)</f>
        <v>1341.63663058715</v>
      </c>
      <c r="P58" s="84" t="n">
        <f aca="false">MIN(P46,P57)</f>
        <v>1740.70815595098</v>
      </c>
      <c r="Q58" s="84" t="n">
        <f aca="false">MIN(Q46,Q57)</f>
        <v>1614.63466937297</v>
      </c>
      <c r="R58" s="84" t="n">
        <f aca="false">MIN(R46,R57)</f>
        <v>1526.71466937297</v>
      </c>
      <c r="S58" s="84" t="n">
        <f aca="false">MIN(S46,S57)</f>
        <v>1575.03162687411</v>
      </c>
      <c r="T58" s="84" t="n">
        <f aca="false">MIN(T46,T57)</f>
        <v>1566.31771187183</v>
      </c>
      <c r="U58" s="84" t="n">
        <f aca="false">MIN(U46,U57)</f>
        <v>1092.48341488549</v>
      </c>
      <c r="V58" s="84" t="n">
        <f aca="false">MIN(V46,V57)</f>
        <v>2048.86592386045</v>
      </c>
      <c r="W58" s="84" t="n">
        <f aca="false">MIN(W46,W57)</f>
        <v>1474.52453906374</v>
      </c>
      <c r="X58" s="84" t="n">
        <f aca="false">MIN(X46,X57)</f>
        <v>1634.77475624579</v>
      </c>
      <c r="Y58" s="84" t="n">
        <f aca="false">MIN(Y46,Y57)</f>
        <v>1909.00648751253</v>
      </c>
      <c r="Z58" s="84" t="n">
        <f aca="false">MIN(Z46,Z57)</f>
        <v>1232.34285123341</v>
      </c>
      <c r="AA58" s="84" t="n">
        <f aca="false">MIN(AA46,AA57)</f>
        <v>1570.67466937297</v>
      </c>
      <c r="AB58" s="84" t="n">
        <f aca="false">MIN(AB46,AB57)</f>
        <v>1570.67466937297</v>
      </c>
      <c r="AC58" s="84" t="n">
        <f aca="false">MIN(AC46,AC57)</f>
        <v>-500.000711943791</v>
      </c>
      <c r="AD58" s="84" t="n">
        <f aca="false">MIN(AD46,AD57)</f>
        <v>3490.715111665</v>
      </c>
    </row>
    <row r="59" customFormat="false" ht="15" hidden="false" customHeight="false" outlineLevel="0" collapsed="false">
      <c r="A59" s="20" t="s">
        <v>1254</v>
      </c>
      <c r="B59" s="18" t="s">
        <v>1255</v>
      </c>
      <c r="C59" s="20"/>
      <c r="D59" s="87" t="str">
        <f aca="false">IF(D57&lt;D46,"agences : FFO / dette ≥ 18 %","Veolia : levier ≤ 3x")</f>
        <v>Veolia : levier ≤ 3x</v>
      </c>
      <c r="E59" s="87" t="str">
        <f aca="false">IF(E57&lt;E46,"agences : FFO / dette ≥ 18 %","Veolia : levier ≤ 3x")</f>
        <v>Veolia : levier ≤ 3x</v>
      </c>
      <c r="F59" s="87" t="str">
        <f aca="false">IF(F57&lt;F46,"agences : FFO / dette ≥ 18 %","Veolia : levier ≤ 3x")</f>
        <v>Veolia : levier ≤ 3x</v>
      </c>
      <c r="G59" s="87" t="str">
        <f aca="false">IF(G57&lt;G46,"agences : FFO / dette ≥ 18 %","Veolia : levier ≤ 3x")</f>
        <v>Veolia : levier ≤ 3x</v>
      </c>
      <c r="H59" s="87" t="str">
        <f aca="false">IF(H57&lt;H46,"agences : FFO / dette ≥ 18 %","Veolia : levier ≤ 3x")</f>
        <v>Veolia : levier ≤ 3x</v>
      </c>
      <c r="I59" s="87" t="str">
        <f aca="false">IF(I57&lt;I46,"agences : FFO / dette ≥ 18 %","Veolia : levier ≤ 3x")</f>
        <v>Veolia : levier ≤ 3x</v>
      </c>
      <c r="J59" s="87" t="str">
        <f aca="false">IF(J57&lt;J46,"agences : FFO / dette ≥ 18 %","Veolia : levier ≤ 3x")</f>
        <v>Veolia : levier ≤ 3x</v>
      </c>
      <c r="K59" s="87" t="str">
        <f aca="false">IF(K57&lt;K46,"agences : FFO / dette ≥ 18 %","Veolia : levier ≤ 3x")</f>
        <v>Veolia : levier ≤ 3x</v>
      </c>
      <c r="L59" s="87" t="str">
        <f aca="false">IF(L57&lt;L46,"agences : FFO / dette ≥ 18 %","Veolia : levier ≤ 3x")</f>
        <v>Veolia : levier ≤ 3x</v>
      </c>
      <c r="M59" s="87" t="str">
        <f aca="false">IF(M57&lt;M46,"agences : FFO / dette ≥ 18 %","Veolia : levier ≤ 3x")</f>
        <v>Veolia : levier ≤ 3x</v>
      </c>
      <c r="N59" s="87" t="str">
        <f aca="false">IF(N57&lt;N46,"agences : FFO / dette ≥ 18 %","Veolia : levier ≤ 3x")</f>
        <v>Veolia : levier ≤ 3x</v>
      </c>
      <c r="O59" s="87" t="str">
        <f aca="false">IF(O57&lt;O46,"agences : FFO / dette ≥ 18 %","Veolia : levier ≤ 3x")</f>
        <v>Veolia : levier ≤ 3x</v>
      </c>
      <c r="P59" s="87" t="str">
        <f aca="false">IF(P57&lt;P46,"agences : FFO / dette ≥ 18 %","Veolia : levier ≤ 3x")</f>
        <v>Veolia : levier ≤ 3x</v>
      </c>
      <c r="Q59" s="87" t="str">
        <f aca="false">IF(Q57&lt;Q46,"agences : FFO / dette ≥ 18 %","Veolia : levier ≤ 3x")</f>
        <v>Veolia : levier ≤ 3x</v>
      </c>
      <c r="R59" s="87" t="str">
        <f aca="false">IF(R57&lt;R46,"agences : FFO / dette ≥ 18 %","Veolia : levier ≤ 3x")</f>
        <v>Veolia : levier ≤ 3x</v>
      </c>
      <c r="S59" s="87" t="str">
        <f aca="false">IF(S57&lt;S46,"agences : FFO / dette ≥ 18 %","Veolia : levier ≤ 3x")</f>
        <v>Veolia : levier ≤ 3x</v>
      </c>
      <c r="T59" s="87" t="str">
        <f aca="false">IF(T57&lt;T46,"agences : FFO / dette ≥ 18 %","Veolia : levier ≤ 3x")</f>
        <v>Veolia : levier ≤ 3x</v>
      </c>
      <c r="U59" s="87" t="str">
        <f aca="false">IF(U57&lt;U46,"agences : FFO / dette ≥ 18 %","Veolia : levier ≤ 3x")</f>
        <v>Veolia : levier ≤ 3x</v>
      </c>
      <c r="V59" s="87" t="str">
        <f aca="false">IF(V57&lt;V46,"agences : FFO / dette ≥ 18 %","Veolia : levier ≤ 3x")</f>
        <v>Veolia : levier ≤ 3x</v>
      </c>
      <c r="W59" s="87" t="str">
        <f aca="false">IF(W57&lt;W46,"agences : FFO / dette ≥ 18 %","Veolia : levier ≤ 3x")</f>
        <v>Veolia : levier ≤ 3x</v>
      </c>
      <c r="X59" s="87" t="str">
        <f aca="false">IF(X57&lt;X46,"agences : FFO / dette ≥ 18 %","Veolia : levier ≤ 3x")</f>
        <v>Veolia : levier ≤ 3x</v>
      </c>
      <c r="Y59" s="87" t="str">
        <f aca="false">IF(Y57&lt;Y46,"agences : FFO / dette ≥ 18 %","Veolia : levier ≤ 3x")</f>
        <v>Veolia : levier ≤ 3x</v>
      </c>
      <c r="Z59" s="87" t="str">
        <f aca="false">IF(Z57&lt;Z46,"agences : FFO / dette ≥ 18 %","Veolia : levier ≤ 3x")</f>
        <v>Veolia : levier ≤ 3x</v>
      </c>
      <c r="AA59" s="87" t="str">
        <f aca="false">IF(AA57&lt;AA46,"agences : FFO / dette ≥ 18 %","Veolia : levier ≤ 3x")</f>
        <v>Veolia : levier ≤ 3x</v>
      </c>
      <c r="AB59" s="87" t="str">
        <f aca="false">IF(AB57&lt;AB46,"agences : FFO / dette ≥ 18 %","Veolia : levier ≤ 3x")</f>
        <v>Veolia : levier ≤ 3x</v>
      </c>
      <c r="AC59" s="87" t="str">
        <f aca="false">IF(AC57&lt;AC46,"agences : FFO / dette ≥ 18 %","Veolia : levier ≤ 3x")</f>
        <v>Veolia : levier ≤ 3x</v>
      </c>
      <c r="AD59" s="87" t="str">
        <f aca="false">IF(AD57&lt;AD46,"agences : FFO / dette ≥ 18 %","Veolia : levier ≤ 3x")</f>
        <v>Veolia : levier ≤ 3x</v>
      </c>
    </row>
    <row r="60" customFormat="false" ht="15" hidden="false" customHeight="false" outlineLevel="0" collapsed="false">
      <c r="A60" s="20" t="s">
        <v>1256</v>
      </c>
      <c r="B60" s="18" t="s">
        <v>1257</v>
      </c>
      <c r="C60" s="20" t="s">
        <v>74</v>
      </c>
      <c r="D60" s="84" t="n">
        <f aca="false">IF(D20&gt;D25,MAX(0,D58)/(1-D25/D20),0)</f>
        <v>2263.61937644927</v>
      </c>
      <c r="E60" s="84" t="n">
        <f aca="false">IF(E20&gt;E25,MAX(0,E58)/(1-E25/E20),0)</f>
        <v>2093.79134735295</v>
      </c>
      <c r="F60" s="84" t="n">
        <f aca="false">IF(F20&gt;F25,MAX(0,F58)/(1-F25/F20),0)</f>
        <v>2433.4474055456</v>
      </c>
      <c r="G60" s="84" t="n">
        <f aca="false">IF(G20&gt;G25,MAX(0,G58)/(1-G25/G20),0)</f>
        <v>1744.1966363455</v>
      </c>
      <c r="H60" s="84" t="n">
        <f aca="false">IF(H20&gt;H25,MAX(0,H58)/(1-H25/H20),0)</f>
        <v>2783.04211655306</v>
      </c>
      <c r="I60" s="84" t="n">
        <f aca="false">IF(I20&gt;I25,MAX(0,I58)/(1-I25/I20),0)</f>
        <v>2181.67297724788</v>
      </c>
      <c r="J60" s="84" t="n">
        <f aca="false">IF(J20&gt;J25,MAX(0,J58)/(1-J25/J20),0)</f>
        <v>2345.56577565067</v>
      </c>
      <c r="K60" s="84" t="n">
        <f aca="false">IF(K20&gt;K25,MAX(0,K58)/(1-K25/K20),0)</f>
        <v>2147.10790839042</v>
      </c>
      <c r="L60" s="84" t="n">
        <f aca="false">IF(L20&gt;L25,MAX(0,L58)/(1-L25/L20),0)</f>
        <v>2380.13084450814</v>
      </c>
      <c r="M60" s="84" t="n">
        <f aca="false">IF(M20&gt;M25,MAX(0,M58)/(1-M25/M20),0)</f>
        <v>1794.08408233163</v>
      </c>
      <c r="N60" s="84" t="n">
        <f aca="false">IF(N20&gt;N25,MAX(0,N58)/(1-N25/N20),0)</f>
        <v>2498.3870235081</v>
      </c>
      <c r="O60" s="84" t="n">
        <f aca="false">IF(O20&gt;O25,MAX(0,O58)/(1-O25/O20),0)</f>
        <v>1933.53514408148</v>
      </c>
      <c r="P60" s="84" t="n">
        <f aca="false">IF(P20&gt;P25,MAX(0,P58)/(1-P25/P20),0)</f>
        <v>2508.66763651759</v>
      </c>
      <c r="Q60" s="84" t="n">
        <f aca="false">IF(Q20&gt;Q25,MAX(0,Q58)/(1-Q25/Q20),0)</f>
        <v>2326.97349409634</v>
      </c>
      <c r="R60" s="84" t="n">
        <f aca="false">IF(R20&gt;R25,MAX(0,R58)/(1-R25/R20),0)</f>
        <v>2200.26525880222</v>
      </c>
      <c r="S60" s="84" t="n">
        <f aca="false">IF(S20&gt;S25,MAX(0,S58)/(1-S25/S20),0)</f>
        <v>2269.89852108327</v>
      </c>
      <c r="T60" s="84" t="n">
        <f aca="false">IF(T20&gt;T25,MAX(0,T58)/(1-T25/T20),0)</f>
        <v>2257.34023181529</v>
      </c>
      <c r="U60" s="84" t="n">
        <f aca="false">IF(U20&gt;U25,MAX(0,U58)/(1-U25/U20),0)</f>
        <v>1574.46139204086</v>
      </c>
      <c r="V60" s="84" t="n">
        <f aca="false">IF(V20&gt;V25,MAX(0,V58)/(1-V25/V20),0)</f>
        <v>2952.7773608577</v>
      </c>
      <c r="W60" s="84" t="n">
        <f aca="false">IF(W20&gt;W25,MAX(0,W58)/(1-W25/W20),0)</f>
        <v>2125.05007100363</v>
      </c>
      <c r="X60" s="84" t="n">
        <f aca="false">IF(X20&gt;X25,MAX(0,X58)/(1-X25/X20),0)</f>
        <v>2355.99891341305</v>
      </c>
      <c r="Y60" s="84" t="n">
        <f aca="false">IF(Y20&gt;Y25,MAX(0,Y58)/(1-Y25/Y20),0)</f>
        <v>2751.21523200335</v>
      </c>
      <c r="Z60" s="84" t="n">
        <f aca="false">IF(Z20&gt;Z25,MAX(0,Z58)/(1-Z25/Z20),0)</f>
        <v>1776.02352089521</v>
      </c>
      <c r="AA60" s="84" t="n">
        <f aca="false">IF(AA20&gt;AA25,MAX(0,AA58)/(1-AA25/AA20),0)</f>
        <v>2263.61937644927</v>
      </c>
      <c r="AB60" s="84" t="n">
        <f aca="false">IF(AB20&gt;AB25,MAX(0,AB58)/(1-AB25/AB20),0)</f>
        <v>2263.61937644927</v>
      </c>
      <c r="AC60" s="84" t="n">
        <f aca="false">IF(AC20&gt;AC25,MAX(0,AC58)/(1-AC25/AC20),0)</f>
        <v>0</v>
      </c>
      <c r="AD60" s="84" t="n">
        <f aca="false">IF(AD20&gt;AD25,MAX(0,AD58)/(1-AD25/AD20),0)</f>
        <v>5030.73648445838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1258</v>
      </c>
      <c r="B1" s="2"/>
      <c r="C1" s="2"/>
      <c r="D1" s="2"/>
      <c r="E1" s="2"/>
      <c r="F1" s="2"/>
      <c r="G1" s="2"/>
      <c r="H1" s="2"/>
      <c r="I1" s="2"/>
      <c r="J1" s="2"/>
      <c r="K1" s="2"/>
      <c r="L1" s="2"/>
      <c r="M1" s="2"/>
      <c r="N1" s="2"/>
      <c r="O1" s="2"/>
    </row>
    <row r="2" customFormat="false" ht="15" hidden="false" customHeight="false" outlineLevel="0" collapsed="false">
      <c r="A2" s="3" t="s">
        <v>1259</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7" t="s">
        <v>865</v>
      </c>
      <c r="B4" s="17" t="s">
        <v>866</v>
      </c>
      <c r="C4" s="17" t="s">
        <v>1260</v>
      </c>
      <c r="D4" s="17" t="s">
        <v>1261</v>
      </c>
      <c r="E4" s="17" t="s">
        <v>1262</v>
      </c>
      <c r="F4" s="17" t="s">
        <v>1263</v>
      </c>
      <c r="G4" s="17" t="s">
        <v>1264</v>
      </c>
      <c r="H4" s="17" t="s">
        <v>1265</v>
      </c>
      <c r="I4" s="17" t="s">
        <v>1266</v>
      </c>
      <c r="J4" s="17" t="s">
        <v>1267</v>
      </c>
      <c r="K4" s="17" t="s">
        <v>1268</v>
      </c>
      <c r="L4" s="17" t="s">
        <v>1269</v>
      </c>
      <c r="M4" s="17" t="s">
        <v>1270</v>
      </c>
      <c r="N4" s="17" t="s">
        <v>1271</v>
      </c>
      <c r="O4" s="17" t="s">
        <v>1272</v>
      </c>
    </row>
    <row r="5" customFormat="false" ht="15" hidden="false" customHeight="false" outlineLevel="0" collapsed="false">
      <c r="A5" s="20" t="s">
        <v>872</v>
      </c>
      <c r="B5" s="88" t="str">
        <f aca="false">Hypothèses!$B$5</f>
        <v>Croissance organique de l'EBITDA en 2026</v>
      </c>
      <c r="C5" s="66" t="n">
        <f aca="false">Hypothèses!$D$5</f>
        <v>0.05</v>
      </c>
      <c r="D5" s="66" t="n">
        <f aca="false">Hypothèses!$E$5</f>
        <v>0.06</v>
      </c>
      <c r="E5" s="48" t="n">
        <f aca="false">Trajectoire!$E$46</f>
        <v>1452.83481244899</v>
      </c>
      <c r="F5" s="48" t="n">
        <f aca="false">Trajectoire!$F$46</f>
        <v>1688.51452629695</v>
      </c>
      <c r="G5" s="52" t="n">
        <f aca="false">E5-Trajectoire!$D$46</f>
        <v>-117.83985692398</v>
      </c>
      <c r="H5" s="52" t="n">
        <f aca="false">F5-Trajectoire!$D$46</f>
        <v>117.839856923983</v>
      </c>
      <c r="I5" s="51" t="n">
        <f aca="false">ABS(F5-E5)</f>
        <v>235.679713847963</v>
      </c>
      <c r="J5" s="50" t="n">
        <f aca="false">Trajectoire!$E$33</f>
        <v>3.03194474860946</v>
      </c>
      <c r="K5" s="50" t="n">
        <f aca="false">Trajectoire!$F$33</f>
        <v>3.00362278066543</v>
      </c>
      <c r="L5" s="89" t="n">
        <f aca="false">I5+ROW()/1000000</f>
        <v>235.679718847963</v>
      </c>
      <c r="M5" s="48" t="n">
        <f aca="false">Trajectoire!$E$57</f>
        <v>4175.93654420261</v>
      </c>
      <c r="N5" s="48" t="n">
        <f aca="false">Trajectoire!$F$57</f>
        <v>4490.9170913839</v>
      </c>
      <c r="O5" s="51" t="n">
        <f aca="false">ABS(N5-M5)</f>
        <v>314.980547181294</v>
      </c>
    </row>
    <row r="6" customFormat="false" ht="15" hidden="false" customHeight="false" outlineLevel="0" collapsed="false">
      <c r="A6" s="20" t="s">
        <v>876</v>
      </c>
      <c r="B6" s="88" t="str">
        <f aca="false">Hypothèses!$B$6</f>
        <v>Croissance organique de l'EBITDA en 2027</v>
      </c>
      <c r="C6" s="66" t="n">
        <f aca="false">Hypothèses!$D$6</f>
        <v>0.04</v>
      </c>
      <c r="D6" s="66" t="n">
        <f aca="false">Hypothèses!$E$6</f>
        <v>0.07</v>
      </c>
      <c r="E6" s="48" t="n">
        <f aca="false">Trajectoire!$G$46</f>
        <v>1210.25889052545</v>
      </c>
      <c r="F6" s="48" t="n">
        <f aca="false">Trajectoire!$H$46</f>
        <v>1931.09044822049</v>
      </c>
      <c r="G6" s="52" t="n">
        <f aca="false">E6-Trajectoire!$D$46</f>
        <v>-360.415778847513</v>
      </c>
      <c r="H6" s="52" t="n">
        <f aca="false">F6-Trajectoire!$D$46</f>
        <v>360.415778847528</v>
      </c>
      <c r="I6" s="51" t="n">
        <f aca="false">ABS(F6-E6)</f>
        <v>720.831557695041</v>
      </c>
      <c r="J6" s="50" t="n">
        <f aca="false">Trajectoire!$G$33</f>
        <v>3.01771731406222</v>
      </c>
      <c r="K6" s="50" t="n">
        <f aca="false">Trajectoire!$H$33</f>
        <v>3.01771731406222</v>
      </c>
      <c r="L6" s="89" t="n">
        <f aca="false">I6+ROW()/1000000</f>
        <v>720.831563695041</v>
      </c>
      <c r="M6" s="48" t="n">
        <f aca="false">Trajectoire!$G$57</f>
        <v>3851.73937265576</v>
      </c>
      <c r="N6" s="48" t="n">
        <f aca="false">Trajectoire!$H$57</f>
        <v>4815.11426293077</v>
      </c>
      <c r="O6" s="51" t="n">
        <f aca="false">ABS(N6-M6)</f>
        <v>963.374890275016</v>
      </c>
    </row>
    <row r="7" customFormat="false" ht="15" hidden="false" customHeight="false" outlineLevel="0" collapsed="false">
      <c r="A7" s="20" t="s">
        <v>880</v>
      </c>
      <c r="B7" s="88" t="str">
        <f aca="false">Hypothèses!$B$7</f>
        <v>EBITDA de Clean Earth en année pleine</v>
      </c>
      <c r="C7" s="48" t="n">
        <f aca="false">Hypothèses!$D$7</f>
        <v>180</v>
      </c>
      <c r="D7" s="48" t="n">
        <f aca="false">Hypothèses!$E$7</f>
        <v>220</v>
      </c>
      <c r="E7" s="48" t="n">
        <f aca="false">Trajectoire!$I$46</f>
        <v>1513.81390258016</v>
      </c>
      <c r="F7" s="48" t="n">
        <f aca="false">Trajectoire!$J$46</f>
        <v>1627.53543616577</v>
      </c>
      <c r="G7" s="52" t="n">
        <f aca="false">E7-Trajectoire!$D$46</f>
        <v>-56.8607667928009</v>
      </c>
      <c r="H7" s="52" t="n">
        <f aca="false">F7-Trajectoire!$D$46</f>
        <v>56.8607667928081</v>
      </c>
      <c r="I7" s="51" t="n">
        <f aca="false">ABS(F7-E7)</f>
        <v>113.721533585609</v>
      </c>
      <c r="J7" s="50" t="n">
        <f aca="false">Trajectoire!$I$33</f>
        <v>3.02170843759514</v>
      </c>
      <c r="K7" s="50" t="n">
        <f aca="false">Trajectoire!$J$33</f>
        <v>3.01373671970891</v>
      </c>
      <c r="L7" s="89" t="n">
        <f aca="false">I7+ROW()/1000000</f>
        <v>113.721540585609</v>
      </c>
      <c r="M7" s="48" t="n">
        <f aca="false">Trajectoire!$I$57</f>
        <v>4257.43370347244</v>
      </c>
      <c r="N7" s="48" t="n">
        <f aca="false">Trajectoire!$J$57</f>
        <v>4409.41993211408</v>
      </c>
      <c r="O7" s="51" t="n">
        <f aca="false">ABS(N7-M7)</f>
        <v>151.986228641636</v>
      </c>
    </row>
    <row r="8" customFormat="false" ht="15" hidden="false" customHeight="false" outlineLevel="0" collapsed="false">
      <c r="A8" s="20" t="s">
        <v>883</v>
      </c>
      <c r="B8" s="88" t="str">
        <f aca="false">Hypothèses!$B$8</f>
        <v>Part des synergies réalisée en 2027</v>
      </c>
      <c r="C8" s="66" t="n">
        <f aca="false">Hypothèses!$D$8</f>
        <v>0</v>
      </c>
      <c r="D8" s="66" t="n">
        <f aca="false">Hypothèses!$E$8</f>
        <v>0.5</v>
      </c>
      <c r="E8" s="48" t="n">
        <f aca="false">Trajectoire!$K$46</f>
        <v>1489.8299772505</v>
      </c>
      <c r="F8" s="48" t="n">
        <f aca="false">Trajectoire!$L$46</f>
        <v>1651.51936149544</v>
      </c>
      <c r="G8" s="52" t="n">
        <f aca="false">E8-Trajectoire!$D$46</f>
        <v>-80.8446921224677</v>
      </c>
      <c r="H8" s="52" t="n">
        <f aca="false">F8-Trajectoire!$D$46</f>
        <v>80.8446921224786</v>
      </c>
      <c r="I8" s="51" t="n">
        <f aca="false">ABS(F8-E8)</f>
        <v>161.689384244946</v>
      </c>
      <c r="J8" s="50" t="n">
        <f aca="false">Trajectoire!$K$33</f>
        <v>3.01771731406222</v>
      </c>
      <c r="K8" s="50" t="n">
        <f aca="false">Trajectoire!$L$33</f>
        <v>3.01771731406222</v>
      </c>
      <c r="L8" s="89" t="n">
        <f aca="false">I8+ROW()/1000000</f>
        <v>161.689392244946</v>
      </c>
      <c r="M8" s="48" t="n">
        <f aca="false">Trajectoire!$K$57</f>
        <v>4225.37973582053</v>
      </c>
      <c r="N8" s="48" t="n">
        <f aca="false">Trajectoire!$L$57</f>
        <v>4441.47389976599</v>
      </c>
      <c r="O8" s="51" t="n">
        <f aca="false">ABS(N8-M8)</f>
        <v>216.094163945454</v>
      </c>
    </row>
    <row r="9" customFormat="false" ht="15" hidden="false" customHeight="false" outlineLevel="0" collapsed="false">
      <c r="A9" s="20" t="s">
        <v>886</v>
      </c>
      <c r="B9" s="88" t="str">
        <f aca="false">Hypothèses!$B$9</f>
        <v>Cash-flow libre net du S2 2026</v>
      </c>
      <c r="C9" s="48" t="n">
        <f aca="false">Hypothèses!$D$9</f>
        <v>1303.2</v>
      </c>
      <c r="D9" s="48" t="n">
        <f aca="false">Hypothèses!$E$9</f>
        <v>1791.9</v>
      </c>
      <c r="E9" s="48" t="n">
        <f aca="false">Trajectoire!$M$46</f>
        <v>1244.87466937297</v>
      </c>
      <c r="F9" s="48" t="n">
        <f aca="false">Trajectoire!$N$46</f>
        <v>1733.57466937297</v>
      </c>
      <c r="G9" s="52" t="n">
        <f aca="false">E9-Trajectoire!$D$46</f>
        <v>-325.799999999996</v>
      </c>
      <c r="H9" s="52" t="n">
        <f aca="false">F9-Trajectoire!$D$46</f>
        <v>162.900000000001</v>
      </c>
      <c r="I9" s="51" t="n">
        <f aca="false">ABS(F9-E9)</f>
        <v>488.699999999997</v>
      </c>
      <c r="J9" s="50" t="n">
        <f aca="false">Trajectoire!$M$33</f>
        <v>3.06108809799277</v>
      </c>
      <c r="K9" s="50" t="n">
        <f aca="false">Trajectoire!$N$33</f>
        <v>2.99603192209695</v>
      </c>
      <c r="L9" s="89" t="n">
        <f aca="false">I9+ROW()/1000000</f>
        <v>488.700008999997</v>
      </c>
      <c r="M9" s="48" t="n">
        <f aca="false">Trajectoire!$M$57</f>
        <v>4007.62681779326</v>
      </c>
      <c r="N9" s="48" t="n">
        <f aca="false">Trajectoire!$N$57</f>
        <v>4496.32681779326</v>
      </c>
      <c r="O9" s="51" t="n">
        <f aca="false">ABS(N9-M9)</f>
        <v>488.699999999997</v>
      </c>
    </row>
    <row r="10" customFormat="false" ht="15" hidden="false" customHeight="false" outlineLevel="0" collapsed="false">
      <c r="A10" s="20" t="s">
        <v>890</v>
      </c>
      <c r="B10" s="88" t="str">
        <f aca="false">Hypothèses!$B$10</f>
        <v>Conversion cash-flow libre net / EBITDA en 2027</v>
      </c>
      <c r="C10" s="66" t="n">
        <f aca="false">Hypothèses!$D$10</f>
        <v>0.14</v>
      </c>
      <c r="D10" s="66" t="n">
        <f aca="false">Hypothèses!$E$10</f>
        <v>0.19</v>
      </c>
      <c r="E10" s="48" t="n">
        <f aca="false">Trajectoire!$O$46</f>
        <v>1341.63663058715</v>
      </c>
      <c r="F10" s="48" t="n">
        <f aca="false">Trajectoire!$P$46</f>
        <v>1740.70815595098</v>
      </c>
      <c r="G10" s="52" t="n">
        <f aca="false">E10-Trajectoire!$D$46</f>
        <v>-229.038038785817</v>
      </c>
      <c r="H10" s="52" t="n">
        <f aca="false">F10-Trajectoire!$D$46</f>
        <v>170.033486578017</v>
      </c>
      <c r="I10" s="51" t="n">
        <f aca="false">ABS(F10-E10)</f>
        <v>399.071525363834</v>
      </c>
      <c r="J10" s="50" t="n">
        <f aca="false">Trajectoire!$O$33</f>
        <v>3.01771731406222</v>
      </c>
      <c r="K10" s="50" t="n">
        <f aca="false">Trajectoire!$P$33</f>
        <v>3.01771731406222</v>
      </c>
      <c r="L10" s="89" t="n">
        <f aca="false">I10+ROW()/1000000</f>
        <v>399.071535363834</v>
      </c>
      <c r="M10" s="48" t="n">
        <f aca="false">Trajectoire!$O$57</f>
        <v>4104.38877900744</v>
      </c>
      <c r="N10" s="48" t="n">
        <f aca="false">Trajectoire!$P$57</f>
        <v>4503.46030437127</v>
      </c>
      <c r="O10" s="51" t="n">
        <f aca="false">ABS(N10-M10)</f>
        <v>399.071525363834</v>
      </c>
    </row>
    <row r="11" customFormat="false" ht="15" hidden="false" customHeight="false" outlineLevel="0" collapsed="false">
      <c r="A11" s="20" t="s">
        <v>894</v>
      </c>
      <c r="B11" s="88" t="str">
        <f aca="false">Hypothèses!$B$11</f>
        <v>Croissance du dividende versé en 2027</v>
      </c>
      <c r="C11" s="66" t="n">
        <f aca="false">Hypothèses!$D$11</f>
        <v>0.04</v>
      </c>
      <c r="D11" s="66" t="n">
        <f aca="false">Hypothèses!$E$11</f>
        <v>0.12</v>
      </c>
      <c r="E11" s="48" t="n">
        <f aca="false">Trajectoire!$Q$46</f>
        <v>1614.63466937297</v>
      </c>
      <c r="F11" s="48" t="n">
        <f aca="false">Trajectoire!$R$46</f>
        <v>1526.71466937297</v>
      </c>
      <c r="G11" s="52" t="n">
        <f aca="false">E11-Trajectoire!$D$46</f>
        <v>43.9600000000028</v>
      </c>
      <c r="H11" s="52" t="n">
        <f aca="false">F11-Trajectoire!$D$46</f>
        <v>-43.9599999999991</v>
      </c>
      <c r="I11" s="51" t="n">
        <f aca="false">ABS(F11-E11)</f>
        <v>87.9200000000019</v>
      </c>
      <c r="J11" s="50" t="n">
        <f aca="false">Trajectoire!$Q$33</f>
        <v>3.01771731406222</v>
      </c>
      <c r="K11" s="50" t="n">
        <f aca="false">Trajectoire!$R$33</f>
        <v>3.01771731406222</v>
      </c>
      <c r="L11" s="89" t="n">
        <f aca="false">I11+ROW()/1000000</f>
        <v>87.9200110000019</v>
      </c>
      <c r="M11" s="48" t="n">
        <f aca="false">Trajectoire!$Q$57</f>
        <v>4377.38681779326</v>
      </c>
      <c r="N11" s="48" t="n">
        <f aca="false">Trajectoire!$R$57</f>
        <v>4289.46681779325</v>
      </c>
      <c r="O11" s="51" t="n">
        <f aca="false">ABS(N11-M11)</f>
        <v>87.9200000000019</v>
      </c>
    </row>
    <row r="12" customFormat="false" ht="15" hidden="false" customHeight="false" outlineLevel="0" collapsed="false">
      <c r="A12" s="20" t="s">
        <v>897</v>
      </c>
      <c r="B12" s="88" t="str">
        <f aca="false">Hypothèses!$B$12</f>
        <v>Part des signatures 2026 encaissée avant le 31/12/2026</v>
      </c>
      <c r="C12" s="66" t="n">
        <f aca="false">Hypothèses!$D$12</f>
        <v>0</v>
      </c>
      <c r="D12" s="66" t="n">
        <f aca="false">Hypothèses!$E$12</f>
        <v>1</v>
      </c>
      <c r="E12" s="48" t="n">
        <f aca="false">Trajectoire!$S$46</f>
        <v>1575.03162687411</v>
      </c>
      <c r="F12" s="48" t="n">
        <f aca="false">Trajectoire!$T$46</f>
        <v>1566.31771187183</v>
      </c>
      <c r="G12" s="52" t="n">
        <f aca="false">E12-Trajectoire!$D$46</f>
        <v>4.35695750114246</v>
      </c>
      <c r="H12" s="52" t="n">
        <f aca="false">F12-Trajectoire!$D$46</f>
        <v>-4.35695750113518</v>
      </c>
      <c r="I12" s="51" t="n">
        <f aca="false">ABS(F12-E12)</f>
        <v>8.71391500227765</v>
      </c>
      <c r="J12" s="50" t="n">
        <f aca="false">Trajectoire!$S$33</f>
        <v>3.04087742773838</v>
      </c>
      <c r="K12" s="50" t="n">
        <f aca="false">Trajectoire!$T$33</f>
        <v>2.99440253090257</v>
      </c>
      <c r="L12" s="89" t="n">
        <f aca="false">I12+ROW()/1000000</f>
        <v>8.71392700227765</v>
      </c>
      <c r="M12" s="48" t="n">
        <f aca="false">Trajectoire!$S$57</f>
        <v>4339.24979184286</v>
      </c>
      <c r="N12" s="48" t="n">
        <f aca="false">Trajectoire!$T$57</f>
        <v>4327.60384374366</v>
      </c>
      <c r="O12" s="51" t="n">
        <f aca="false">ABS(N12-M12)</f>
        <v>11.6459480992016</v>
      </c>
    </row>
    <row r="13" customFormat="false" ht="15" hidden="false" customHeight="false" outlineLevel="0" collapsed="false">
      <c r="A13" s="20" t="s">
        <v>900</v>
      </c>
      <c r="B13" s="88" t="str">
        <f aca="false">Hypothèses!$B$13</f>
        <v>Part du reste du programme encaissée en 2027</v>
      </c>
      <c r="C13" s="66" t="n">
        <f aca="false">Hypothèses!$D$13</f>
        <v>0</v>
      </c>
      <c r="D13" s="66" t="n">
        <f aca="false">Hypothèses!$E$13</f>
        <v>1</v>
      </c>
      <c r="E13" s="48" t="n">
        <f aca="false">Trajectoire!$U$46</f>
        <v>1092.48341488549</v>
      </c>
      <c r="F13" s="48" t="n">
        <f aca="false">Trajectoire!$V$46</f>
        <v>2048.86592386045</v>
      </c>
      <c r="G13" s="52" t="n">
        <f aca="false">E13-Trajectoire!$D$46</f>
        <v>-478.191254487472</v>
      </c>
      <c r="H13" s="52" t="n">
        <f aca="false">F13-Trajectoire!$D$46</f>
        <v>478.191254487479</v>
      </c>
      <c r="I13" s="51" t="n">
        <f aca="false">ABS(F13-E13)</f>
        <v>956.382508974952</v>
      </c>
      <c r="J13" s="50" t="n">
        <f aca="false">Trajectoire!$U$33</f>
        <v>3.01771731406222</v>
      </c>
      <c r="K13" s="50" t="n">
        <f aca="false">Trajectoire!$V$33</f>
        <v>3.01771731406222</v>
      </c>
      <c r="L13" s="89" t="n">
        <f aca="false">I13+ROW()/1000000</f>
        <v>956.382521974952</v>
      </c>
      <c r="M13" s="48" t="n">
        <f aca="false">Trajectoire!$U$57</f>
        <v>3929.86913304573</v>
      </c>
      <c r="N13" s="48" t="n">
        <f aca="false">Trajectoire!$V$57</f>
        <v>4736.98450254079</v>
      </c>
      <c r="O13" s="51" t="n">
        <f aca="false">ABS(N13-M13)</f>
        <v>807.115369495052</v>
      </c>
    </row>
    <row r="14" customFormat="false" ht="15" hidden="false" customHeight="false" outlineLevel="0" collapsed="false">
      <c r="A14" s="20" t="s">
        <v>903</v>
      </c>
      <c r="B14" s="88" t="str">
        <f aca="false">Hypothèses!$B$14</f>
        <v>Multiple VE / EBITDA des actifs cédés</v>
      </c>
      <c r="C14" s="71" t="n">
        <f aca="false">Hypothèses!$D$14</f>
        <v>8</v>
      </c>
      <c r="D14" s="71" t="n">
        <f aca="false">Hypothèses!$E$14</f>
        <v>12</v>
      </c>
      <c r="E14" s="48" t="n">
        <f aca="false">Trajectoire!$W$46</f>
        <v>1474.52453906374</v>
      </c>
      <c r="F14" s="48" t="n">
        <f aca="false">Trajectoire!$X$46</f>
        <v>1634.77475624579</v>
      </c>
      <c r="G14" s="52" t="n">
        <f aca="false">E14-Trajectoire!$D$46</f>
        <v>-96.1501303092227</v>
      </c>
      <c r="H14" s="52" t="n">
        <f aca="false">F14-Trajectoire!$D$46</f>
        <v>64.1000868728224</v>
      </c>
      <c r="I14" s="51" t="n">
        <f aca="false">ABS(F14-E14)</f>
        <v>160.250217182045</v>
      </c>
      <c r="J14" s="50" t="n">
        <f aca="false">Trajectoire!$W$33</f>
        <v>3.02023016223954</v>
      </c>
      <c r="K14" s="50" t="n">
        <f aca="false">Trajectoire!$X$33</f>
        <v>3.01604440366019</v>
      </c>
      <c r="L14" s="89" t="n">
        <f aca="false">I14+ROW()/1000000</f>
        <v>160.250231182045</v>
      </c>
      <c r="M14" s="48" t="n">
        <f aca="false">Trajectoire!$W$57</f>
        <v>4204.92436774408</v>
      </c>
      <c r="N14" s="48" t="n">
        <f aca="false">Trajectoire!$X$57</f>
        <v>4419.09511782605</v>
      </c>
      <c r="O14" s="51" t="n">
        <f aca="false">ABS(N14-M14)</f>
        <v>214.170750081968</v>
      </c>
    </row>
    <row r="15" customFormat="false" ht="15" hidden="false" customHeight="false" outlineLevel="0" collapsed="false">
      <c r="A15" s="20" t="s">
        <v>906</v>
      </c>
      <c r="B15" s="88" t="str">
        <f aca="false">Hypothèses!$B$15</f>
        <v>Tuck-ins payés en 2027</v>
      </c>
      <c r="C15" s="60" t="n">
        <f aca="false">Hypothèses!$D$15</f>
        <v>0</v>
      </c>
      <c r="D15" s="60" t="n">
        <f aca="false">Hypothèses!$E$15</f>
        <v>1</v>
      </c>
      <c r="E15" s="48" t="n">
        <f aca="false">Trajectoire!$Y$46</f>
        <v>1909.00648751253</v>
      </c>
      <c r="F15" s="48" t="n">
        <f aca="false">Trajectoire!$Z$46</f>
        <v>1232.34285123341</v>
      </c>
      <c r="G15" s="52" t="n">
        <f aca="false">E15-Trajectoire!$D$46</f>
        <v>338.331818139563</v>
      </c>
      <c r="H15" s="52" t="n">
        <f aca="false">F15-Trajectoire!$D$46</f>
        <v>-338.331818139555</v>
      </c>
      <c r="I15" s="51" t="n">
        <f aca="false">ABS(F15-E15)</f>
        <v>676.663636279118</v>
      </c>
      <c r="J15" s="50" t="n">
        <f aca="false">Trajectoire!$Y$33</f>
        <v>3.01771731406222</v>
      </c>
      <c r="K15" s="50" t="n">
        <f aca="false">Trajectoire!$Z$33</f>
        <v>3.01771731406222</v>
      </c>
      <c r="L15" s="89" t="n">
        <f aca="false">I15+ROW()/1000000</f>
        <v>676.663651279118</v>
      </c>
      <c r="M15" s="48" t="n">
        <f aca="false">Trajectoire!$Y$57</f>
        <v>4617.36099034976</v>
      </c>
      <c r="N15" s="48" t="n">
        <f aca="false">Trajectoire!$Z$57</f>
        <v>4049.49264523675</v>
      </c>
      <c r="O15" s="51" t="n">
        <f aca="false">ABS(N15-M15)</f>
        <v>567.868345113006</v>
      </c>
    </row>
    <row r="16" customFormat="false" ht="15" hidden="false" customHeight="false" outlineLevel="0" collapsed="false">
      <c r="A16" s="20" t="s">
        <v>910</v>
      </c>
      <c r="B16" s="88" t="str">
        <f aca="false">Hypothèses!$B$16</f>
        <v>FFO (mesure des agences) en % de l'EBITDA</v>
      </c>
      <c r="C16" s="66" t="n">
        <f aca="false">Hypothèses!$D$16</f>
        <v>0.69531914893617</v>
      </c>
      <c r="D16" s="66" t="n">
        <f aca="false">Hypothèses!$E$16</f>
        <v>0.753872340425532</v>
      </c>
      <c r="E16" s="48" t="n">
        <f aca="false">Trajectoire!$AA$46</f>
        <v>1570.67466937297</v>
      </c>
      <c r="F16" s="48" t="n">
        <f aca="false">Trajectoire!$AB$46</f>
        <v>1570.67466937297</v>
      </c>
      <c r="G16" s="52" t="n">
        <f aca="false">E16-Trajectoire!$D$46</f>
        <v>0</v>
      </c>
      <c r="H16" s="52" t="n">
        <f aca="false">F16-Trajectoire!$D$46</f>
        <v>0</v>
      </c>
      <c r="I16" s="51" t="n">
        <f aca="false">ABS(F16-E16)</f>
        <v>0</v>
      </c>
      <c r="J16" s="50" t="n">
        <f aca="false">Trajectoire!$AA$33</f>
        <v>3.01771731406222</v>
      </c>
      <c r="K16" s="50" t="n">
        <f aca="false">Trajectoire!$AB$33</f>
        <v>3.01771731406222</v>
      </c>
      <c r="L16" s="89" t="n">
        <f aca="false">I16+ROW()/1000000</f>
        <v>1.6E-005</v>
      </c>
      <c r="M16" s="48" t="n">
        <f aca="false">Trajectoire!$AA$57</f>
        <v>2710.72463428073</v>
      </c>
      <c r="N16" s="48" t="n">
        <f aca="false">Trajectoire!$AB$57</f>
        <v>5307.04812790077</v>
      </c>
      <c r="O16" s="51" t="n">
        <f aca="false">ABS(N16-M16)</f>
        <v>2596.32349362003</v>
      </c>
    </row>
    <row r="17" customFormat="false" ht="15" hidden="false" customHeight="false" outlineLevel="0" collapsed="false">
      <c r="A17" s="2"/>
      <c r="B17" s="2"/>
      <c r="C17" s="2"/>
      <c r="D17" s="2"/>
      <c r="E17" s="2"/>
      <c r="F17" s="2"/>
      <c r="G17" s="2"/>
      <c r="H17" s="2"/>
      <c r="I17" s="2"/>
      <c r="J17" s="2"/>
      <c r="K17" s="2"/>
      <c r="L17" s="2"/>
      <c r="M17" s="2"/>
      <c r="N17" s="2"/>
      <c r="O17" s="2"/>
    </row>
    <row r="18" customFormat="false" ht="15" hidden="false" customHeight="false" outlineLevel="0" collapsed="false">
      <c r="A18" s="2"/>
      <c r="B18" s="18" t="s">
        <v>1273</v>
      </c>
      <c r="C18" s="2"/>
      <c r="D18" s="2"/>
      <c r="E18" s="57" t="n">
        <f aca="false">Trajectoire!$D$46</f>
        <v>1570.67466937297</v>
      </c>
      <c r="F18" s="2"/>
      <c r="G18" s="2"/>
      <c r="H18" s="2"/>
      <c r="I18" s="2"/>
      <c r="J18" s="2"/>
      <c r="K18" s="2"/>
      <c r="L18" s="2"/>
      <c r="M18" s="57" t="n">
        <f aca="false">Trajectoire!$D$57</f>
        <v>4333.42681779325</v>
      </c>
      <c r="N18" s="2"/>
      <c r="O18" s="2"/>
    </row>
    <row r="19" customFormat="false" ht="15" hidden="false" customHeight="false" outlineLevel="0" collapsed="false">
      <c r="A19" s="2"/>
      <c r="B19" s="2"/>
      <c r="C19" s="2"/>
      <c r="D19" s="2"/>
      <c r="E19" s="2"/>
      <c r="F19" s="2"/>
      <c r="G19" s="2"/>
      <c r="H19" s="2"/>
      <c r="I19" s="2"/>
      <c r="J19" s="2"/>
      <c r="K19" s="2"/>
      <c r="L19" s="2"/>
      <c r="M19" s="2"/>
      <c r="N19" s="2"/>
      <c r="O19" s="2"/>
    </row>
    <row r="20" customFormat="false" ht="15" hidden="false" customHeight="false" outlineLevel="0" collapsed="false">
      <c r="A20" s="18" t="s">
        <v>1274</v>
      </c>
      <c r="B20" s="2"/>
      <c r="C20" s="2"/>
      <c r="D20" s="2"/>
      <c r="E20" s="2"/>
      <c r="F20" s="2"/>
      <c r="G20" s="2"/>
      <c r="H20" s="2"/>
      <c r="I20" s="2"/>
      <c r="J20" s="2"/>
      <c r="K20" s="2"/>
      <c r="L20" s="2"/>
      <c r="M20" s="2"/>
      <c r="N20" s="2"/>
      <c r="O20" s="2"/>
    </row>
    <row r="21" customFormat="false" ht="15" hidden="false" customHeight="false" outlineLevel="0" collapsed="false">
      <c r="A21" s="17" t="s">
        <v>1275</v>
      </c>
      <c r="B21" s="17" t="s">
        <v>866</v>
      </c>
      <c r="C21" s="17" t="s">
        <v>1264</v>
      </c>
      <c r="D21" s="17" t="s">
        <v>1265</v>
      </c>
      <c r="E21" s="17" t="s">
        <v>1266</v>
      </c>
      <c r="F21" s="2"/>
      <c r="G21" s="2"/>
      <c r="H21" s="2"/>
      <c r="I21" s="2"/>
      <c r="J21" s="2"/>
      <c r="K21" s="2"/>
      <c r="L21" s="2"/>
      <c r="M21" s="2"/>
      <c r="N21" s="2"/>
      <c r="O21" s="2"/>
    </row>
    <row r="22" customFormat="false" ht="15" hidden="false" customHeight="false" outlineLevel="0" collapsed="false">
      <c r="A22" s="21" t="n">
        <v>1</v>
      </c>
      <c r="B22" s="5" t="str">
        <f aca="false">INDEX($B$5:$B$16,MATCH(LARGE($L$5:$L$16,A22),$L$5:$L$16,0))</f>
        <v>Part du reste du programme encaissée en 2027</v>
      </c>
      <c r="C22" s="52" t="n">
        <f aca="false">INDEX($G$5:$G$16,MATCH(LARGE($L$5:$L$16,A22),$L$5:$L$16,0))</f>
        <v>-478.191254487472</v>
      </c>
      <c r="D22" s="52" t="n">
        <f aca="false">INDEX($H$5:$H$16,MATCH(LARGE($L$5:$L$16,A22),$L$5:$L$16,0))</f>
        <v>478.191254487479</v>
      </c>
      <c r="E22" s="51" t="n">
        <f aca="false">INDEX($I$5:$I$16,MATCH(LARGE($L$5:$L$16,A22),$L$5:$L$16,0))</f>
        <v>956.382508974952</v>
      </c>
      <c r="F22" s="2"/>
      <c r="G22" s="2"/>
      <c r="H22" s="2"/>
      <c r="I22" s="2"/>
      <c r="J22" s="2"/>
      <c r="K22" s="2"/>
      <c r="L22" s="2"/>
      <c r="M22" s="2"/>
      <c r="N22" s="2"/>
      <c r="O22" s="2"/>
    </row>
    <row r="23" customFormat="false" ht="15" hidden="false" customHeight="false" outlineLevel="0" collapsed="false">
      <c r="A23" s="21" t="n">
        <v>2</v>
      </c>
      <c r="B23" s="5" t="str">
        <f aca="false">INDEX($B$5:$B$16,MATCH(LARGE($L$5:$L$16,A23),$L$5:$L$16,0))</f>
        <v>Croissance organique de l'EBITDA en 2027</v>
      </c>
      <c r="C23" s="52" t="n">
        <f aca="false">INDEX($G$5:$G$16,MATCH(LARGE($L$5:$L$16,A23),$L$5:$L$16,0))</f>
        <v>-360.415778847513</v>
      </c>
      <c r="D23" s="52" t="n">
        <f aca="false">INDEX($H$5:$H$16,MATCH(LARGE($L$5:$L$16,A23),$L$5:$L$16,0))</f>
        <v>360.415778847528</v>
      </c>
      <c r="E23" s="51" t="n">
        <f aca="false">INDEX($I$5:$I$16,MATCH(LARGE($L$5:$L$16,A23),$L$5:$L$16,0))</f>
        <v>720.831557695041</v>
      </c>
      <c r="F23" s="2"/>
      <c r="G23" s="2"/>
      <c r="H23" s="2"/>
      <c r="I23" s="2"/>
      <c r="J23" s="2"/>
      <c r="K23" s="2"/>
      <c r="L23" s="2"/>
      <c r="M23" s="2"/>
      <c r="N23" s="2"/>
      <c r="O23" s="2"/>
    </row>
    <row r="24" customFormat="false" ht="15" hidden="false" customHeight="false" outlineLevel="0" collapsed="false">
      <c r="A24" s="21" t="n">
        <v>3</v>
      </c>
      <c r="B24" s="5" t="str">
        <f aca="false">INDEX($B$5:$B$16,MATCH(LARGE($L$5:$L$16,A24),$L$5:$L$16,0))</f>
        <v>Tuck-ins payés en 2027</v>
      </c>
      <c r="C24" s="52" t="n">
        <f aca="false">INDEX($G$5:$G$16,MATCH(LARGE($L$5:$L$16,A24),$L$5:$L$16,0))</f>
        <v>338.331818139563</v>
      </c>
      <c r="D24" s="52" t="n">
        <f aca="false">INDEX($H$5:$H$16,MATCH(LARGE($L$5:$L$16,A24),$L$5:$L$16,0))</f>
        <v>-338.331818139555</v>
      </c>
      <c r="E24" s="51" t="n">
        <f aca="false">INDEX($I$5:$I$16,MATCH(LARGE($L$5:$L$16,A24),$L$5:$L$16,0))</f>
        <v>676.663636279118</v>
      </c>
      <c r="F24" s="2"/>
      <c r="G24" s="2"/>
      <c r="H24" s="2"/>
      <c r="I24" s="2"/>
      <c r="J24" s="2"/>
      <c r="K24" s="2"/>
      <c r="L24" s="2"/>
      <c r="M24" s="2"/>
      <c r="N24" s="2"/>
      <c r="O24" s="2"/>
    </row>
    <row r="25" customFormat="false" ht="15" hidden="false" customHeight="false" outlineLevel="0" collapsed="false">
      <c r="A25" s="21" t="n">
        <v>4</v>
      </c>
      <c r="B25" s="5" t="str">
        <f aca="false">INDEX($B$5:$B$16,MATCH(LARGE($L$5:$L$16,A25),$L$5:$L$16,0))</f>
        <v>Cash-flow libre net du S2 2026</v>
      </c>
      <c r="C25" s="52" t="n">
        <f aca="false">INDEX($G$5:$G$16,MATCH(LARGE($L$5:$L$16,A25),$L$5:$L$16,0))</f>
        <v>-325.799999999996</v>
      </c>
      <c r="D25" s="52" t="n">
        <f aca="false">INDEX($H$5:$H$16,MATCH(LARGE($L$5:$L$16,A25),$L$5:$L$16,0))</f>
        <v>162.900000000001</v>
      </c>
      <c r="E25" s="51" t="n">
        <f aca="false">INDEX($I$5:$I$16,MATCH(LARGE($L$5:$L$16,A25),$L$5:$L$16,0))</f>
        <v>488.699999999997</v>
      </c>
      <c r="F25" s="2"/>
      <c r="G25" s="2"/>
      <c r="H25" s="2"/>
      <c r="I25" s="2"/>
      <c r="J25" s="2"/>
      <c r="K25" s="2"/>
      <c r="L25" s="2"/>
      <c r="M25" s="2"/>
      <c r="N25" s="2"/>
      <c r="O25" s="2"/>
    </row>
    <row r="26" customFormat="false" ht="15" hidden="false" customHeight="false" outlineLevel="0" collapsed="false">
      <c r="A26" s="21" t="n">
        <v>5</v>
      </c>
      <c r="B26" s="5" t="str">
        <f aca="false">INDEX($B$5:$B$16,MATCH(LARGE($L$5:$L$16,A26),$L$5:$L$16,0))</f>
        <v>Conversion cash-flow libre net / EBITDA en 2027</v>
      </c>
      <c r="C26" s="52" t="n">
        <f aca="false">INDEX($G$5:$G$16,MATCH(LARGE($L$5:$L$16,A26),$L$5:$L$16,0))</f>
        <v>-229.038038785817</v>
      </c>
      <c r="D26" s="52" t="n">
        <f aca="false">INDEX($H$5:$H$16,MATCH(LARGE($L$5:$L$16,A26),$L$5:$L$16,0))</f>
        <v>170.033486578017</v>
      </c>
      <c r="E26" s="51" t="n">
        <f aca="false">INDEX($I$5:$I$16,MATCH(LARGE($L$5:$L$16,A26),$L$5:$L$16,0))</f>
        <v>399.071525363834</v>
      </c>
      <c r="F26" s="2"/>
      <c r="G26" s="2"/>
      <c r="H26" s="2"/>
      <c r="I26" s="2"/>
      <c r="J26" s="2"/>
      <c r="K26" s="2"/>
      <c r="L26" s="2"/>
      <c r="M26" s="2"/>
      <c r="N26" s="2"/>
      <c r="O26" s="2"/>
    </row>
    <row r="27" customFormat="false" ht="15" hidden="false" customHeight="false" outlineLevel="0" collapsed="false">
      <c r="A27" s="21" t="n">
        <v>6</v>
      </c>
      <c r="B27" s="5" t="str">
        <f aca="false">INDEX($B$5:$B$16,MATCH(LARGE($L$5:$L$16,A27),$L$5:$L$16,0))</f>
        <v>Croissance organique de l'EBITDA en 2026</v>
      </c>
      <c r="C27" s="52" t="n">
        <f aca="false">INDEX($G$5:$G$16,MATCH(LARGE($L$5:$L$16,A27),$L$5:$L$16,0))</f>
        <v>-117.83985692398</v>
      </c>
      <c r="D27" s="52" t="n">
        <f aca="false">INDEX($H$5:$H$16,MATCH(LARGE($L$5:$L$16,A27),$L$5:$L$16,0))</f>
        <v>117.839856923983</v>
      </c>
      <c r="E27" s="51" t="n">
        <f aca="false">INDEX($I$5:$I$16,MATCH(LARGE($L$5:$L$16,A27),$L$5:$L$16,0))</f>
        <v>235.679713847963</v>
      </c>
      <c r="F27" s="2"/>
      <c r="G27" s="2"/>
      <c r="H27" s="2"/>
      <c r="I27" s="2"/>
      <c r="J27" s="2"/>
      <c r="K27" s="2"/>
      <c r="L27" s="2"/>
      <c r="M27" s="2"/>
      <c r="N27" s="2"/>
      <c r="O27" s="2"/>
    </row>
    <row r="28" customFormat="false" ht="15" hidden="false" customHeight="false" outlineLevel="0" collapsed="false">
      <c r="A28" s="21" t="n">
        <v>7</v>
      </c>
      <c r="B28" s="5" t="str">
        <f aca="false">INDEX($B$5:$B$16,MATCH(LARGE($L$5:$L$16,A28),$L$5:$L$16,0))</f>
        <v>Part des synergies réalisée en 2027</v>
      </c>
      <c r="C28" s="52" t="n">
        <f aca="false">INDEX($G$5:$G$16,MATCH(LARGE($L$5:$L$16,A28),$L$5:$L$16,0))</f>
        <v>-80.8446921224677</v>
      </c>
      <c r="D28" s="52" t="n">
        <f aca="false">INDEX($H$5:$H$16,MATCH(LARGE($L$5:$L$16,A28),$L$5:$L$16,0))</f>
        <v>80.8446921224786</v>
      </c>
      <c r="E28" s="51" t="n">
        <f aca="false">INDEX($I$5:$I$16,MATCH(LARGE($L$5:$L$16,A28),$L$5:$L$16,0))</f>
        <v>161.689384244946</v>
      </c>
      <c r="F28" s="2"/>
      <c r="G28" s="2"/>
      <c r="H28" s="2"/>
      <c r="I28" s="2"/>
      <c r="J28" s="2"/>
      <c r="K28" s="2"/>
      <c r="L28" s="2"/>
      <c r="M28" s="2"/>
      <c r="N28" s="2"/>
      <c r="O28" s="2"/>
    </row>
    <row r="29" customFormat="false" ht="15" hidden="false" customHeight="false" outlineLevel="0" collapsed="false">
      <c r="A29" s="21" t="n">
        <v>8</v>
      </c>
      <c r="B29" s="5" t="str">
        <f aca="false">INDEX($B$5:$B$16,MATCH(LARGE($L$5:$L$16,A29),$L$5:$L$16,0))</f>
        <v>Multiple VE / EBITDA des actifs cédés</v>
      </c>
      <c r="C29" s="52" t="n">
        <f aca="false">INDEX($G$5:$G$16,MATCH(LARGE($L$5:$L$16,A29),$L$5:$L$16,0))</f>
        <v>-96.1501303092227</v>
      </c>
      <c r="D29" s="52" t="n">
        <f aca="false">INDEX($H$5:$H$16,MATCH(LARGE($L$5:$L$16,A29),$L$5:$L$16,0))</f>
        <v>64.1000868728224</v>
      </c>
      <c r="E29" s="51" t="n">
        <f aca="false">INDEX($I$5:$I$16,MATCH(LARGE($L$5:$L$16,A29),$L$5:$L$16,0))</f>
        <v>160.250217182045</v>
      </c>
      <c r="F29" s="2"/>
      <c r="G29" s="2"/>
      <c r="H29" s="2"/>
      <c r="I29" s="2"/>
      <c r="J29" s="2"/>
      <c r="K29" s="2"/>
      <c r="L29" s="2"/>
      <c r="M29" s="2"/>
      <c r="N29" s="2"/>
      <c r="O29" s="2"/>
    </row>
    <row r="30" customFormat="false" ht="15" hidden="false" customHeight="false" outlineLevel="0" collapsed="false">
      <c r="A30" s="21" t="n">
        <v>9</v>
      </c>
      <c r="B30" s="5" t="str">
        <f aca="false">INDEX($B$5:$B$16,MATCH(LARGE($L$5:$L$16,A30),$L$5:$L$16,0))</f>
        <v>EBITDA de Clean Earth en année pleine</v>
      </c>
      <c r="C30" s="52" t="n">
        <f aca="false">INDEX($G$5:$G$16,MATCH(LARGE($L$5:$L$16,A30),$L$5:$L$16,0))</f>
        <v>-56.8607667928009</v>
      </c>
      <c r="D30" s="52" t="n">
        <f aca="false">INDEX($H$5:$H$16,MATCH(LARGE($L$5:$L$16,A30),$L$5:$L$16,0))</f>
        <v>56.8607667928081</v>
      </c>
      <c r="E30" s="51" t="n">
        <f aca="false">INDEX($I$5:$I$16,MATCH(LARGE($L$5:$L$16,A30),$L$5:$L$16,0))</f>
        <v>113.721533585609</v>
      </c>
      <c r="F30" s="2"/>
      <c r="G30" s="2"/>
      <c r="H30" s="2"/>
      <c r="I30" s="2"/>
      <c r="J30" s="2"/>
      <c r="K30" s="2"/>
      <c r="L30" s="2"/>
      <c r="M30" s="2"/>
      <c r="N30" s="2"/>
      <c r="O30" s="2"/>
    </row>
    <row r="31" customFormat="false" ht="15" hidden="false" customHeight="false" outlineLevel="0" collapsed="false">
      <c r="A31" s="21" t="n">
        <v>10</v>
      </c>
      <c r="B31" s="5" t="str">
        <f aca="false">INDEX($B$5:$B$16,MATCH(LARGE($L$5:$L$16,A31),$L$5:$L$16,0))</f>
        <v>Croissance du dividende versé en 2027</v>
      </c>
      <c r="C31" s="52" t="n">
        <f aca="false">INDEX($G$5:$G$16,MATCH(LARGE($L$5:$L$16,A31),$L$5:$L$16,0))</f>
        <v>43.9600000000028</v>
      </c>
      <c r="D31" s="52" t="n">
        <f aca="false">INDEX($H$5:$H$16,MATCH(LARGE($L$5:$L$16,A31),$L$5:$L$16,0))</f>
        <v>-43.9599999999991</v>
      </c>
      <c r="E31" s="51" t="n">
        <f aca="false">INDEX($I$5:$I$16,MATCH(LARGE($L$5:$L$16,A31),$L$5:$L$16,0))</f>
        <v>87.9200000000019</v>
      </c>
      <c r="F31" s="2"/>
      <c r="G31" s="2"/>
      <c r="H31" s="2"/>
      <c r="I31" s="2"/>
      <c r="J31" s="2"/>
      <c r="K31" s="2"/>
      <c r="L31" s="2"/>
      <c r="M31" s="2"/>
      <c r="N31" s="2"/>
      <c r="O31" s="2"/>
    </row>
    <row r="32" customFormat="false" ht="15" hidden="false" customHeight="false" outlineLevel="0" collapsed="false">
      <c r="A32" s="21" t="n">
        <v>11</v>
      </c>
      <c r="B32" s="5" t="str">
        <f aca="false">INDEX($B$5:$B$16,MATCH(LARGE($L$5:$L$16,A32),$L$5:$L$16,0))</f>
        <v>Part des signatures 2026 encaissée avant le 31/12/2026</v>
      </c>
      <c r="C32" s="52" t="n">
        <f aca="false">INDEX($G$5:$G$16,MATCH(LARGE($L$5:$L$16,A32),$L$5:$L$16,0))</f>
        <v>4.35695750114246</v>
      </c>
      <c r="D32" s="52" t="n">
        <f aca="false">INDEX($H$5:$H$16,MATCH(LARGE($L$5:$L$16,A32),$L$5:$L$16,0))</f>
        <v>-4.35695750113518</v>
      </c>
      <c r="E32" s="51" t="n">
        <f aca="false">INDEX($I$5:$I$16,MATCH(LARGE($L$5:$L$16,A32),$L$5:$L$16,0))</f>
        <v>8.71391500227765</v>
      </c>
      <c r="F32" s="2"/>
      <c r="G32" s="2"/>
      <c r="H32" s="2"/>
      <c r="I32" s="2"/>
      <c r="J32" s="2"/>
      <c r="K32" s="2"/>
      <c r="L32" s="2"/>
      <c r="M32" s="2"/>
      <c r="N32" s="2"/>
      <c r="O32" s="2"/>
    </row>
    <row r="33" customFormat="false" ht="15" hidden="false" customHeight="false" outlineLevel="0" collapsed="false">
      <c r="A33" s="21" t="n">
        <v>12</v>
      </c>
      <c r="B33" s="5" t="str">
        <f aca="false">INDEX($B$5:$B$16,MATCH(LARGE($L$5:$L$16,A33),$L$5:$L$16,0))</f>
        <v>FFO (mesure des agences) en % de l'EBITDA</v>
      </c>
      <c r="C33" s="52" t="n">
        <f aca="false">INDEX($G$5:$G$16,MATCH(LARGE($L$5:$L$16,A33),$L$5:$L$16,0))</f>
        <v>0</v>
      </c>
      <c r="D33" s="52" t="n">
        <f aca="false">INDEX($H$5:$H$16,MATCH(LARGE($L$5:$L$16,A33),$L$5:$L$16,0))</f>
        <v>0</v>
      </c>
      <c r="E33" s="51" t="n">
        <f aca="false">INDEX($I$5:$I$16,MATCH(LARGE($L$5:$L$16,A33),$L$5:$L$16,0))</f>
        <v>0</v>
      </c>
      <c r="F33" s="2"/>
      <c r="G33" s="2"/>
      <c r="H33" s="2"/>
      <c r="I33" s="2"/>
      <c r="J33" s="2"/>
      <c r="K33" s="2"/>
      <c r="L33" s="2"/>
      <c r="M33" s="2"/>
      <c r="N33" s="2"/>
      <c r="O33" s="2"/>
    </row>
    <row r="34" customFormat="false" ht="15" hidden="false" customHeight="false" outlineLevel="0" collapsed="false">
      <c r="A34" s="2"/>
      <c r="B34" s="2"/>
      <c r="C34" s="2"/>
      <c r="D34" s="2"/>
      <c r="E34" s="2"/>
      <c r="F34" s="2"/>
      <c r="G34" s="2"/>
      <c r="H34" s="2"/>
      <c r="I34" s="2"/>
      <c r="J34" s="2"/>
      <c r="K34" s="2"/>
      <c r="L34" s="2"/>
      <c r="M34" s="2"/>
      <c r="N34" s="2"/>
      <c r="O34" s="2"/>
    </row>
    <row r="35" customFormat="false" ht="15" hidden="false" customHeight="false" outlineLevel="0" collapsed="false">
      <c r="A35" s="18" t="s">
        <v>1276</v>
      </c>
      <c r="B35" s="2"/>
      <c r="C35" s="2"/>
      <c r="D35" s="2"/>
      <c r="E35" s="2"/>
      <c r="F35" s="2"/>
      <c r="G35" s="2"/>
      <c r="H35" s="2"/>
      <c r="I35" s="2"/>
      <c r="J35" s="2"/>
      <c r="K35" s="2"/>
      <c r="L35" s="2"/>
      <c r="M35" s="2"/>
      <c r="N35" s="2"/>
      <c r="O35" s="2"/>
    </row>
    <row r="36" customFormat="false" ht="15" hidden="false" customHeight="false" outlineLevel="0" collapsed="false">
      <c r="A36" s="17"/>
      <c r="B36" s="17" t="s">
        <v>1277</v>
      </c>
      <c r="C36" s="17" t="s">
        <v>1278</v>
      </c>
      <c r="D36" s="17"/>
      <c r="E36" s="17" t="s">
        <v>1279</v>
      </c>
      <c r="F36" s="2"/>
      <c r="G36" s="2"/>
      <c r="H36" s="2"/>
      <c r="I36" s="2"/>
      <c r="J36" s="2"/>
      <c r="K36" s="2"/>
      <c r="L36" s="2"/>
      <c r="M36" s="2"/>
      <c r="N36" s="2"/>
      <c r="O36" s="2"/>
    </row>
    <row r="37" customFormat="false" ht="15" hidden="false" customHeight="false" outlineLevel="0" collapsed="false">
      <c r="A37" s="2"/>
      <c r="B37" s="5" t="s">
        <v>1221</v>
      </c>
      <c r="C37" s="52" t="n">
        <f aca="false">100*(Hypothèses!$C$26+Hypothèses!$C$10)</f>
        <v>316.869636446462</v>
      </c>
      <c r="D37" s="2"/>
      <c r="E37" s="20" t="s">
        <v>1280</v>
      </c>
      <c r="F37" s="2"/>
      <c r="G37" s="2"/>
      <c r="H37" s="2"/>
      <c r="I37" s="2"/>
      <c r="J37" s="2"/>
      <c r="K37" s="2"/>
      <c r="L37" s="2"/>
      <c r="M37" s="2"/>
      <c r="N37" s="2"/>
      <c r="O37" s="2"/>
    </row>
    <row r="38" customFormat="false" ht="15" hidden="false" customHeight="false" outlineLevel="0" collapsed="false">
      <c r="A38" s="2"/>
      <c r="B38" s="5" t="s">
        <v>1281</v>
      </c>
      <c r="C38" s="52" t="n">
        <f aca="false">100</f>
        <v>100</v>
      </c>
      <c r="D38" s="2"/>
      <c r="E38" s="20" t="s">
        <v>1282</v>
      </c>
      <c r="F38" s="2"/>
      <c r="G38" s="2"/>
      <c r="H38" s="2"/>
      <c r="I38" s="2"/>
      <c r="J38" s="2"/>
      <c r="K38" s="2"/>
      <c r="L38" s="2"/>
      <c r="M38" s="2"/>
      <c r="N38" s="2"/>
      <c r="O38" s="2"/>
    </row>
    <row r="39" customFormat="false" ht="15" hidden="false" customHeight="false" outlineLevel="0" collapsed="false">
      <c r="A39" s="2"/>
      <c r="B39" s="5" t="s">
        <v>1283</v>
      </c>
      <c r="C39" s="52" t="n">
        <f aca="false">100*(1-Hypothèses!$C$26/Hypothèses!$C$14)</f>
        <v>70</v>
      </c>
      <c r="D39" s="2"/>
      <c r="E39" s="20" t="s">
        <v>1284</v>
      </c>
      <c r="F39" s="2"/>
      <c r="G39" s="2"/>
      <c r="H39" s="2"/>
      <c r="I39" s="2"/>
      <c r="J39" s="2"/>
      <c r="K39" s="2"/>
      <c r="L39" s="2"/>
      <c r="M39" s="2"/>
      <c r="N39" s="2"/>
      <c r="O39" s="2"/>
    </row>
    <row r="40" customFormat="false" ht="15" hidden="false" customHeight="false" outlineLevel="0" collapsed="false">
      <c r="A40" s="2"/>
      <c r="B40" s="5" t="s">
        <v>1285</v>
      </c>
      <c r="C40" s="52" t="n">
        <f aca="false">-100*(1-Hypothèses!$C$26/Hypothèses!$C$21)</f>
        <v>-69.3877551020408</v>
      </c>
      <c r="D40" s="2"/>
      <c r="E40" s="20" t="s">
        <v>1286</v>
      </c>
      <c r="F40" s="2"/>
      <c r="G40" s="2"/>
      <c r="H40" s="2"/>
      <c r="I40" s="2"/>
      <c r="J40" s="2"/>
      <c r="K40" s="2"/>
      <c r="L40" s="2"/>
      <c r="M40" s="2"/>
      <c r="N40" s="2"/>
      <c r="O40" s="2"/>
    </row>
    <row r="41" customFormat="false" ht="15" hidden="false" customHeight="false" outlineLevel="0" collapsed="false">
      <c r="A41" s="2"/>
      <c r="B41" s="5" t="s">
        <v>1287</v>
      </c>
      <c r="C41" s="52" t="n">
        <f aca="false">-100</f>
        <v>-100</v>
      </c>
      <c r="D41" s="2"/>
      <c r="E41" s="20" t="s">
        <v>1282</v>
      </c>
      <c r="F41" s="2"/>
      <c r="G41" s="2"/>
      <c r="H41" s="2"/>
      <c r="I41" s="2"/>
      <c r="J41" s="2"/>
      <c r="K41" s="2"/>
      <c r="L41" s="2"/>
      <c r="M41" s="2"/>
      <c r="N41" s="2"/>
      <c r="O41" s="2"/>
    </row>
    <row r="42" customFormat="false" ht="15" hidden="false" customHeight="false" outlineLevel="0" collapsed="false">
      <c r="A42" s="2"/>
      <c r="B42" s="5" t="s">
        <v>1288</v>
      </c>
      <c r="C42" s="52" t="n">
        <f aca="false">-100</f>
        <v>-100</v>
      </c>
      <c r="D42" s="2"/>
      <c r="E42" s="20" t="s">
        <v>1289</v>
      </c>
      <c r="F42" s="2"/>
      <c r="G42" s="2"/>
      <c r="H42" s="2"/>
      <c r="I42" s="2"/>
      <c r="J42" s="2"/>
      <c r="K42" s="2"/>
      <c r="L42" s="2"/>
      <c r="M42" s="2"/>
      <c r="N42" s="2"/>
      <c r="O42"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1290</v>
      </c>
      <c r="B1" s="2"/>
      <c r="C1" s="2"/>
      <c r="D1" s="2"/>
      <c r="E1" s="2"/>
      <c r="F1" s="2"/>
      <c r="G1" s="2"/>
      <c r="H1" s="2"/>
      <c r="I1" s="2"/>
      <c r="J1" s="2"/>
      <c r="K1" s="2"/>
      <c r="L1" s="2"/>
    </row>
    <row r="2" customFormat="false" ht="15" hidden="false" customHeight="false" outlineLevel="0" collapsed="false">
      <c r="A2" s="3" t="s">
        <v>1291</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18" t="s">
        <v>951</v>
      </c>
      <c r="B4" s="18" t="s">
        <v>1292</v>
      </c>
      <c r="C4" s="2"/>
      <c r="D4" s="2"/>
      <c r="E4" s="2"/>
      <c r="F4" s="2"/>
      <c r="G4" s="2"/>
      <c r="H4" s="2"/>
      <c r="I4" s="2"/>
      <c r="J4" s="2"/>
      <c r="K4" s="2"/>
      <c r="L4" s="2"/>
    </row>
    <row r="5" customFormat="false" ht="23.85" hidden="false" customHeight="false" outlineLevel="0" collapsed="false">
      <c r="A5" s="17"/>
      <c r="B5" s="17" t="s">
        <v>1293</v>
      </c>
      <c r="C5" s="17" t="s">
        <v>1294</v>
      </c>
      <c r="D5" s="17" t="s">
        <v>1295</v>
      </c>
      <c r="E5" s="17" t="s">
        <v>954</v>
      </c>
      <c r="F5" s="17" t="s">
        <v>959</v>
      </c>
      <c r="G5" s="17" t="s">
        <v>1296</v>
      </c>
      <c r="H5" s="17" t="s">
        <v>1297</v>
      </c>
      <c r="I5" s="17" t="s">
        <v>1298</v>
      </c>
      <c r="J5" s="17" t="s">
        <v>1299</v>
      </c>
      <c r="K5" s="17" t="s">
        <v>1300</v>
      </c>
      <c r="L5" s="17" t="s">
        <v>871</v>
      </c>
    </row>
    <row r="6" customFormat="false" ht="15" hidden="false" customHeight="false" outlineLevel="0" collapsed="false">
      <c r="A6" s="2"/>
      <c r="B6" s="5" t="s">
        <v>1301</v>
      </c>
      <c r="C6" s="5"/>
      <c r="D6" s="48" t="n">
        <f aca="false">Entrées!$C$156</f>
        <v>4954</v>
      </c>
      <c r="E6" s="5"/>
      <c r="F6" s="48" t="n">
        <f aca="false">Entrées!$C$158</f>
        <v>669</v>
      </c>
      <c r="G6" s="54" t="n">
        <f aca="false">IF(AND(ISNUMBER(D6),ISNUMBER(F6),D6&lt;&gt;0),F6/D6,"")</f>
        <v>0.135042389987889</v>
      </c>
      <c r="H6" s="54" t="str">
        <f aca="false">IF(AND(ISNUMBER(E6),ISNUMBER(F6),E6&lt;&gt;0),F6/E6-1,"")</f>
        <v/>
      </c>
      <c r="I6" s="66" t="n">
        <f aca="false">Entrées!$C$159/100</f>
        <v>0.141</v>
      </c>
      <c r="J6" s="48" t="n">
        <f aca="false">Entrées!$C$182</f>
        <v>2213</v>
      </c>
      <c r="K6" s="48" t="n">
        <f aca="false">Entrées!$C$184</f>
        <v>294</v>
      </c>
      <c r="L6" s="20" t="s">
        <v>1302</v>
      </c>
    </row>
    <row r="7" customFormat="false" ht="15" hidden="false" customHeight="false" outlineLevel="0" collapsed="false">
      <c r="A7" s="2"/>
      <c r="B7" s="5" t="s">
        <v>1303</v>
      </c>
      <c r="C7" s="48" t="n">
        <f aca="false">Entrées!$C$170</f>
        <v>11945</v>
      </c>
      <c r="D7" s="48" t="n">
        <f aca="false">Entrées!$C$160</f>
        <v>11316</v>
      </c>
      <c r="E7" s="48" t="n">
        <f aca="false">Entrées!$C$172</f>
        <v>2025</v>
      </c>
      <c r="F7" s="48" t="n">
        <f aca="false">Entrées!$C$162</f>
        <v>2009</v>
      </c>
      <c r="G7" s="54" t="n">
        <f aca="false">IF(AND(ISNUMBER(D7),ISNUMBER(F7),D7&lt;&gt;0),F7/D7,"")</f>
        <v>0.177536231884058</v>
      </c>
      <c r="H7" s="54" t="n">
        <f aca="false">IF(AND(ISNUMBER(E7),ISNUMBER(F7),E7&lt;&gt;0),F7/E7-1,"")</f>
        <v>-0.00790123456790126</v>
      </c>
      <c r="I7" s="66" t="n">
        <f aca="false">Entrées!$C$163/100</f>
        <v>0.093</v>
      </c>
      <c r="J7" s="48" t="n">
        <f aca="false">Entrées!$C$215</f>
        <v>5747</v>
      </c>
      <c r="K7" s="48" t="n">
        <f aca="false">Entrées!$C$102</f>
        <v>991</v>
      </c>
      <c r="L7" s="20" t="s">
        <v>1304</v>
      </c>
    </row>
    <row r="8" customFormat="false" ht="15" hidden="false" customHeight="false" outlineLevel="0" collapsed="false">
      <c r="A8" s="2"/>
      <c r="B8" s="5" t="s">
        <v>1305</v>
      </c>
      <c r="C8" s="48" t="n">
        <f aca="false">Entrées!$C$169</f>
        <v>18619</v>
      </c>
      <c r="D8" s="48" t="n">
        <f aca="false">Entrées!$C$164</f>
        <v>19206</v>
      </c>
      <c r="E8" s="48" t="n">
        <f aca="false">Entrées!$C$171</f>
        <v>2642</v>
      </c>
      <c r="F8" s="48" t="n">
        <f aca="false">Entrées!$C$165</f>
        <v>2758</v>
      </c>
      <c r="G8" s="54" t="n">
        <f aca="false">IF(AND(ISNUMBER(D8),ISNUMBER(F8),D8&lt;&gt;0),F8/D8,"")</f>
        <v>0.143600958033948</v>
      </c>
      <c r="H8" s="54" t="n">
        <f aca="false">IF(AND(ISNUMBER(E8),ISNUMBER(F8),E8&lt;&gt;0),F8/E8-1,"")</f>
        <v>0.0439061317183951</v>
      </c>
      <c r="I8" s="66" t="n">
        <f aca="false">Entrées!$C$166/100</f>
        <v>0.018</v>
      </c>
      <c r="J8" s="48" t="n">
        <f aca="false">Entrées!$C$216</f>
        <v>9905</v>
      </c>
      <c r="K8" s="5"/>
      <c r="L8" s="20" t="s">
        <v>1306</v>
      </c>
    </row>
    <row r="9" customFormat="false" ht="15" hidden="false" customHeight="false" outlineLevel="0" collapsed="false">
      <c r="A9" s="2"/>
      <c r="B9" s="5" t="s">
        <v>1307</v>
      </c>
      <c r="C9" s="48" t="n">
        <f aca="false">Entrées!$C$168</f>
        <v>9145</v>
      </c>
      <c r="D9" s="48" t="n">
        <f aca="false">Entrées!$C$167</f>
        <v>8914</v>
      </c>
      <c r="E9" s="48" t="n">
        <f aca="false">Entrées!$C$42</f>
        <v>1392</v>
      </c>
      <c r="F9" s="48" t="n">
        <f aca="false">Entrées!$C$43</f>
        <v>1475</v>
      </c>
      <c r="G9" s="54" t="n">
        <f aca="false">IF(AND(ISNUMBER(D9),ISNUMBER(F9),D9&lt;&gt;0),F9/D9,"")</f>
        <v>0.165470047116895</v>
      </c>
      <c r="H9" s="54" t="n">
        <f aca="false">IF(AND(ISNUMBER(E9),ISNUMBER(F9),E9&lt;&gt;0),F9/E9-1,"")</f>
        <v>0.0596264367816093</v>
      </c>
      <c r="I9" s="5"/>
      <c r="J9" s="5"/>
      <c r="K9" s="48" t="n">
        <f aca="false">Entrées!$C$100</f>
        <v>676</v>
      </c>
      <c r="L9" s="20" t="s">
        <v>1308</v>
      </c>
    </row>
    <row r="10" customFormat="false" ht="15" hidden="false" customHeight="false" outlineLevel="0" collapsed="false">
      <c r="A10" s="2"/>
      <c r="B10" s="18" t="s">
        <v>1309</v>
      </c>
      <c r="C10" s="51" t="n">
        <f aca="false">SUM(C6:C9)</f>
        <v>39709</v>
      </c>
      <c r="D10" s="51" t="n">
        <f aca="false">SUM(D6:D9)</f>
        <v>44390</v>
      </c>
      <c r="E10" s="51" t="n">
        <f aca="false">SUM(E6:E9)</f>
        <v>6059</v>
      </c>
      <c r="F10" s="51" t="n">
        <f aca="false">SUM(F6:F9)</f>
        <v>6911</v>
      </c>
      <c r="G10" s="2"/>
      <c r="H10" s="2"/>
      <c r="I10" s="2"/>
      <c r="J10" s="2"/>
      <c r="K10" s="2"/>
      <c r="L10" s="2"/>
    </row>
    <row r="11" customFormat="false" ht="15" hidden="false" customHeight="false" outlineLevel="0" collapsed="false">
      <c r="A11" s="2"/>
      <c r="B11" s="5" t="s">
        <v>1310</v>
      </c>
      <c r="C11" s="2"/>
      <c r="D11" s="2"/>
      <c r="E11" s="48" t="n">
        <f aca="false">Entrées!$C$22</f>
        <v>6788</v>
      </c>
      <c r="F11" s="48" t="n">
        <f aca="false">Entrées!$C$8</f>
        <v>7050</v>
      </c>
      <c r="G11" s="2"/>
      <c r="H11" s="2"/>
      <c r="I11" s="2"/>
      <c r="J11" s="2"/>
      <c r="K11" s="2"/>
      <c r="L11" s="20" t="s">
        <v>1311</v>
      </c>
    </row>
    <row r="12" customFormat="false" ht="15" hidden="false" customHeight="false" outlineLevel="0" collapsed="false">
      <c r="A12" s="2"/>
      <c r="B12" s="5" t="s">
        <v>1312</v>
      </c>
      <c r="C12" s="2"/>
      <c r="D12" s="2"/>
      <c r="E12" s="90" t="s">
        <v>1313</v>
      </c>
      <c r="F12" s="52" t="n">
        <f aca="false">F11-F10</f>
        <v>139</v>
      </c>
      <c r="G12" s="2"/>
      <c r="H12" s="2"/>
      <c r="I12" s="2"/>
      <c r="J12" s="2"/>
      <c r="K12" s="2"/>
      <c r="L12" s="20" t="s">
        <v>1314</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18" t="s">
        <v>964</v>
      </c>
      <c r="B14" s="18" t="s">
        <v>1315</v>
      </c>
      <c r="C14" s="2"/>
      <c r="D14" s="2"/>
      <c r="E14" s="2"/>
      <c r="F14" s="2"/>
      <c r="G14" s="2"/>
      <c r="H14" s="2"/>
      <c r="I14" s="2"/>
      <c r="J14" s="2"/>
      <c r="K14" s="2"/>
      <c r="L14" s="2"/>
    </row>
    <row r="15" customFormat="false" ht="35.05" hidden="false" customHeight="false" outlineLevel="0" collapsed="false">
      <c r="A15" s="17"/>
      <c r="B15" s="17" t="s">
        <v>1316</v>
      </c>
      <c r="C15" s="17" t="s">
        <v>1294</v>
      </c>
      <c r="D15" s="17" t="s">
        <v>1295</v>
      </c>
      <c r="E15" s="17" t="s">
        <v>954</v>
      </c>
      <c r="F15" s="17" t="s">
        <v>959</v>
      </c>
      <c r="G15" s="17" t="s">
        <v>1296</v>
      </c>
      <c r="H15" s="17" t="s">
        <v>1317</v>
      </c>
      <c r="I15" s="17" t="s">
        <v>1298</v>
      </c>
      <c r="J15" s="17" t="s">
        <v>1299</v>
      </c>
      <c r="K15" s="17" t="s">
        <v>1300</v>
      </c>
      <c r="L15" s="17" t="s">
        <v>871</v>
      </c>
    </row>
    <row r="16" customFormat="false" ht="15" hidden="false" customHeight="false" outlineLevel="0" collapsed="false">
      <c r="A16" s="2"/>
      <c r="B16" s="5" t="s">
        <v>1318</v>
      </c>
      <c r="C16" s="5"/>
      <c r="D16" s="48" t="n">
        <f aca="false">Entrées!$C$173</f>
        <v>13191</v>
      </c>
      <c r="E16" s="5"/>
      <c r="F16" s="48" t="n">
        <f aca="false">Entrées!$C$176</f>
        <v>1668</v>
      </c>
      <c r="G16" s="54" t="n">
        <f aca="false">IF(AND(ISNUMBER(D16),ISNUMBER(F16),D16&lt;&gt;0),F16/D16,"")</f>
        <v>0.126449852171935</v>
      </c>
      <c r="H16" s="66" t="n">
        <f aca="false">Entrées!$C$174/100</f>
        <v>0.043</v>
      </c>
      <c r="I16" s="66" t="n">
        <f aca="false">Entrées!$C$175/100</f>
        <v>0.121</v>
      </c>
      <c r="J16" s="48" t="n">
        <f aca="false">Entrées!$C$217</f>
        <v>6201</v>
      </c>
      <c r="K16" s="48" t="n">
        <f aca="false">Entrées!$C$219</f>
        <v>797</v>
      </c>
      <c r="L16" s="20" t="s">
        <v>1319</v>
      </c>
    </row>
    <row r="17" customFormat="false" ht="15" hidden="false" customHeight="false" outlineLevel="0" collapsed="false">
      <c r="A17" s="2"/>
      <c r="B17" s="5" t="s">
        <v>1320</v>
      </c>
      <c r="C17" s="48" t="n">
        <f aca="false">Entrées!$C$180</f>
        <v>3471</v>
      </c>
      <c r="D17" s="48" t="n">
        <f aca="false">Entrées!$C$178</f>
        <v>4021</v>
      </c>
      <c r="E17" s="48" t="n">
        <f aca="false">Entrées!$C$181</f>
        <v>246</v>
      </c>
      <c r="F17" s="48" t="n">
        <f aca="false">Entrées!$C$179</f>
        <v>312</v>
      </c>
      <c r="G17" s="54" t="n">
        <f aca="false">IF(AND(ISNUMBER(D17),ISNUMBER(F17),D17&lt;&gt;0),F17/D17,"")</f>
        <v>0.0775926386471027</v>
      </c>
      <c r="H17" s="5"/>
      <c r="I17" s="66" t="n">
        <f aca="false">Entrées!$C$222/100</f>
        <v>0.113</v>
      </c>
      <c r="J17" s="48" t="n">
        <f aca="false">Entrées!$C$221</f>
        <v>1759</v>
      </c>
      <c r="K17" s="5"/>
      <c r="L17" s="20" t="s">
        <v>1321</v>
      </c>
    </row>
    <row r="18" customFormat="false" ht="15" hidden="false" customHeight="false" outlineLevel="0" collapsed="false">
      <c r="A18" s="2"/>
      <c r="B18" s="5" t="s">
        <v>1322</v>
      </c>
      <c r="C18" s="2"/>
      <c r="D18" s="48" t="n">
        <f aca="false">Entrées!$C$64*1000</f>
        <v>5200</v>
      </c>
      <c r="E18" s="2"/>
      <c r="F18" s="48" t="n">
        <f aca="false">Entrées!$C$65*1000</f>
        <v>900</v>
      </c>
      <c r="G18" s="54" t="n">
        <f aca="false">F18/D18</f>
        <v>0.173076923076923</v>
      </c>
      <c r="H18" s="2"/>
      <c r="I18" s="2"/>
      <c r="J18" s="2"/>
      <c r="K18" s="2"/>
      <c r="L18" s="20" t="s">
        <v>1323</v>
      </c>
    </row>
    <row r="19" customFormat="false" ht="15" hidden="false" customHeight="false" outlineLevel="0" collapsed="false">
      <c r="A19" s="2"/>
      <c r="B19" s="5" t="s">
        <v>1324</v>
      </c>
      <c r="C19" s="2"/>
      <c r="D19" s="2"/>
      <c r="E19" s="2"/>
      <c r="F19" s="2"/>
      <c r="G19" s="66" t="n">
        <f aca="false">Entrées!$C$177/100</f>
        <v>0.126</v>
      </c>
      <c r="H19" s="2"/>
      <c r="I19" s="2"/>
      <c r="J19" s="2"/>
      <c r="K19" s="2"/>
      <c r="L19" s="20" t="s">
        <v>615</v>
      </c>
    </row>
    <row r="20" customFormat="false" ht="15" hidden="false" customHeight="false" outlineLevel="0" collapsed="false">
      <c r="A20" s="2"/>
      <c r="B20" s="5" t="s">
        <v>1325</v>
      </c>
      <c r="C20" s="60" t="n">
        <f aca="false">Entrées!$C$223</f>
        <v>3</v>
      </c>
      <c r="D20" s="60" t="n">
        <f aca="false">Entrées!$C$224</f>
        <v>4.9</v>
      </c>
      <c r="E20" s="2"/>
      <c r="F20" s="2"/>
      <c r="G20" s="2"/>
      <c r="H20" s="54" t="n">
        <f aca="false">(D20/C20)^(1/4)-1</f>
        <v>0.1304951573737</v>
      </c>
      <c r="I20" s="2"/>
      <c r="J20" s="2"/>
      <c r="K20" s="2"/>
      <c r="L20" s="20" t="s">
        <v>1326</v>
      </c>
    </row>
    <row r="21" customFormat="false" ht="15" hidden="false" customHeight="false" outlineLevel="0" collapsed="false">
      <c r="A21" s="2"/>
      <c r="B21" s="5" t="s">
        <v>1327</v>
      </c>
      <c r="C21" s="2"/>
      <c r="D21" s="2"/>
      <c r="E21" s="2"/>
      <c r="F21" s="2"/>
      <c r="G21" s="2"/>
      <c r="H21" s="54" t="n">
        <f aca="false">(D17/1000/C20)^(1/2)-1</f>
        <v>0.157727659397206</v>
      </c>
      <c r="I21" s="2"/>
      <c r="J21" s="2"/>
      <c r="K21" s="2"/>
      <c r="L21" s="20" t="s">
        <v>1328</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18" t="s">
        <v>1047</v>
      </c>
      <c r="B23" s="18" t="s">
        <v>1329</v>
      </c>
      <c r="C23" s="2"/>
      <c r="D23" s="2"/>
      <c r="E23" s="2"/>
      <c r="F23" s="2"/>
      <c r="G23" s="2"/>
      <c r="H23" s="2"/>
      <c r="I23" s="2"/>
      <c r="J23" s="2"/>
      <c r="K23" s="2"/>
      <c r="L23" s="2"/>
    </row>
    <row r="24" customFormat="false" ht="35.05" hidden="false" customHeight="false" outlineLevel="0" collapsed="false">
      <c r="A24" s="17"/>
      <c r="B24" s="17" t="s">
        <v>1293</v>
      </c>
      <c r="C24" s="17" t="s">
        <v>959</v>
      </c>
      <c r="D24" s="17" t="s">
        <v>1330</v>
      </c>
      <c r="E24" s="17" t="s">
        <v>1331</v>
      </c>
      <c r="F24" s="17"/>
      <c r="G24" s="17"/>
      <c r="H24" s="17"/>
      <c r="I24" s="17"/>
      <c r="J24" s="17"/>
      <c r="K24" s="17"/>
      <c r="L24" s="17" t="s">
        <v>1332</v>
      </c>
    </row>
    <row r="25" customFormat="false" ht="15" hidden="false" customHeight="false" outlineLevel="0" collapsed="false">
      <c r="A25" s="2"/>
      <c r="B25" s="5" t="str">
        <f aca="false">B6</f>
        <v>Water Technologies</v>
      </c>
      <c r="C25" s="52" t="n">
        <f aca="false">F6</f>
        <v>669</v>
      </c>
      <c r="D25" s="54" t="n">
        <f aca="false">IF(ISNUMBER(I6),I6,H6)</f>
        <v>0.141</v>
      </c>
      <c r="E25" s="52" t="n">
        <f aca="false">IF(AND(ISNUMBER(C25),ISNUMBER(D25)),C25*(1+D25)^2,"")</f>
        <v>870.958389</v>
      </c>
      <c r="F25" s="2"/>
      <c r="G25" s="2"/>
      <c r="H25" s="2"/>
      <c r="I25" s="2"/>
      <c r="J25" s="2"/>
      <c r="K25" s="2"/>
      <c r="L25" s="20"/>
    </row>
    <row r="26" customFormat="false" ht="15" hidden="false" customHeight="false" outlineLevel="0" collapsed="false">
      <c r="A26" s="2"/>
      <c r="B26" s="5" t="str">
        <f aca="false">B7</f>
        <v>Amériques, Asie-Pacifique, Afrique Moyen-Orient</v>
      </c>
      <c r="C26" s="52" t="n">
        <f aca="false">F7</f>
        <v>2009</v>
      </c>
      <c r="D26" s="54" t="n">
        <f aca="false">IF(ISNUMBER(I7),I7,H7)</f>
        <v>0.093</v>
      </c>
      <c r="E26" s="52" t="n">
        <f aca="false">IF(AND(ISNUMBER(C26),ISNUMBER(D26)),C26*(1+D26)^2,"")</f>
        <v>2400.049841</v>
      </c>
      <c r="F26" s="2"/>
      <c r="G26" s="2"/>
      <c r="H26" s="2"/>
      <c r="I26" s="2"/>
      <c r="J26" s="2"/>
      <c r="K26" s="2"/>
      <c r="L26" s="20"/>
    </row>
    <row r="27" customFormat="false" ht="15" hidden="false" customHeight="false" outlineLevel="0" collapsed="false">
      <c r="A27" s="2"/>
      <c r="B27" s="5" t="str">
        <f aca="false">B8</f>
        <v>Europe</v>
      </c>
      <c r="C27" s="52" t="n">
        <f aca="false">F8</f>
        <v>2758</v>
      </c>
      <c r="D27" s="54" t="n">
        <f aca="false">IF(ISNUMBER(I8),I8,H8)</f>
        <v>0.018</v>
      </c>
      <c r="E27" s="52" t="n">
        <f aca="false">IF(AND(ISNUMBER(C27),ISNUMBER(D27)),C27*(1+D27)^2,"")</f>
        <v>2858.181592</v>
      </c>
      <c r="F27" s="2"/>
      <c r="G27" s="2"/>
      <c r="H27" s="2"/>
      <c r="I27" s="2"/>
      <c r="J27" s="2"/>
      <c r="K27" s="2"/>
      <c r="L27" s="20"/>
    </row>
    <row r="28" customFormat="false" ht="15" hidden="false" customHeight="false" outlineLevel="0" collapsed="false">
      <c r="A28" s="2"/>
      <c r="B28" s="5" t="str">
        <f aca="false">B9</f>
        <v>France et Déchets dangereux Europe</v>
      </c>
      <c r="C28" s="52" t="n">
        <f aca="false">F9</f>
        <v>1475</v>
      </c>
      <c r="D28" s="54" t="n">
        <f aca="false">IF(ISNUMBER(I9),I9,H9)</f>
        <v>0.0596264367816093</v>
      </c>
      <c r="E28" s="52" t="n">
        <f aca="false">IF(AND(ISNUMBER(C28),ISNUMBER(D28)),C28*(1+D28)^2,"")</f>
        <v>1656.14207365157</v>
      </c>
      <c r="F28" s="2"/>
      <c r="G28" s="2"/>
      <c r="H28" s="2"/>
      <c r="I28" s="2"/>
      <c r="J28" s="2"/>
      <c r="K28" s="2"/>
      <c r="L28" s="20" t="s">
        <v>1333</v>
      </c>
    </row>
    <row r="29" customFormat="false" ht="15" hidden="false" customHeight="false" outlineLevel="0" collapsed="false">
      <c r="A29" s="2"/>
      <c r="B29" s="5" t="s">
        <v>1334</v>
      </c>
      <c r="C29" s="52" t="n">
        <f aca="false">Segments!$F$12</f>
        <v>139</v>
      </c>
      <c r="D29" s="2"/>
      <c r="E29" s="52" t="n">
        <f aca="false">C29</f>
        <v>139</v>
      </c>
      <c r="F29" s="2"/>
      <c r="G29" s="2"/>
      <c r="H29" s="2"/>
      <c r="I29" s="2"/>
      <c r="J29" s="2"/>
      <c r="K29" s="2"/>
      <c r="L29" s="2"/>
    </row>
    <row r="30" customFormat="false" ht="15" hidden="false" customHeight="false" outlineLevel="0" collapsed="false">
      <c r="A30" s="2"/>
      <c r="B30" s="5" t="s">
        <v>1335</v>
      </c>
      <c r="C30" s="2"/>
      <c r="D30" s="2"/>
      <c r="E30" s="48" t="n">
        <f aca="false">Hypothèses!$C$7/Hypothèses!$C$19</f>
        <v>170.090331214453</v>
      </c>
      <c r="F30" s="2"/>
      <c r="G30" s="2"/>
      <c r="H30" s="2"/>
      <c r="I30" s="2"/>
      <c r="J30" s="2"/>
      <c r="K30" s="2"/>
      <c r="L30" s="2"/>
    </row>
    <row r="31" customFormat="false" ht="15" hidden="false" customHeight="false" outlineLevel="0" collapsed="false">
      <c r="A31" s="2"/>
      <c r="B31" s="18" t="s">
        <v>1336</v>
      </c>
      <c r="C31" s="2"/>
      <c r="D31" s="2"/>
      <c r="E31" s="51" t="n">
        <f aca="false">SUM(E25:E30)</f>
        <v>8094.42222686603</v>
      </c>
      <c r="F31" s="2"/>
      <c r="G31" s="2"/>
      <c r="H31" s="2"/>
      <c r="I31" s="2"/>
      <c r="J31" s="2"/>
      <c r="K31" s="2"/>
      <c r="L31" s="2"/>
    </row>
    <row r="32" customFormat="false" ht="15" hidden="false" customHeight="false" outlineLevel="0" collapsed="false">
      <c r="A32" s="2"/>
      <c r="B32" s="5" t="s">
        <v>1337</v>
      </c>
      <c r="C32" s="2"/>
      <c r="D32" s="2"/>
      <c r="E32" s="48" t="n">
        <f aca="false">Entrées!$C$17*1000</f>
        <v>8000</v>
      </c>
      <c r="F32" s="2"/>
      <c r="G32" s="2"/>
      <c r="H32" s="2"/>
      <c r="I32" s="2"/>
      <c r="J32" s="2"/>
      <c r="K32" s="2"/>
      <c r="L32" s="2"/>
    </row>
    <row r="33" customFormat="false" ht="15" hidden="false" customHeight="false" outlineLevel="0" collapsed="false">
      <c r="A33" s="2"/>
      <c r="B33" s="5" t="s">
        <v>1338</v>
      </c>
      <c r="C33" s="2"/>
      <c r="D33" s="2"/>
      <c r="E33" s="48" t="n">
        <f aca="false">Trajectoire!$D$41</f>
        <v>7981.43050727668</v>
      </c>
      <c r="F33" s="2"/>
      <c r="G33" s="2"/>
      <c r="H33" s="2"/>
      <c r="I33" s="2"/>
      <c r="J33" s="2"/>
      <c r="K33" s="2"/>
      <c r="L33" s="2"/>
    </row>
    <row r="34" customFormat="false" ht="30" hidden="false" customHeight="true" outlineLevel="0" collapsed="false">
      <c r="A34" s="2"/>
      <c r="B34" s="58" t="s">
        <v>1339</v>
      </c>
      <c r="C34" s="58"/>
      <c r="D34" s="58"/>
      <c r="E34" s="58"/>
      <c r="F34" s="58"/>
      <c r="G34" s="58"/>
      <c r="H34" s="58"/>
      <c r="I34" s="58"/>
      <c r="J34" s="58"/>
      <c r="K34" s="58"/>
      <c r="L34" s="58"/>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18" t="s">
        <v>1144</v>
      </c>
      <c r="B36" s="18" t="s">
        <v>1340</v>
      </c>
      <c r="C36" s="2"/>
      <c r="D36" s="2"/>
      <c r="E36" s="2"/>
      <c r="F36" s="2"/>
      <c r="G36" s="2"/>
      <c r="H36" s="2"/>
      <c r="I36" s="2"/>
      <c r="J36" s="2"/>
      <c r="K36" s="2"/>
      <c r="L36" s="2"/>
    </row>
    <row r="37" customFormat="false" ht="23.85" hidden="false" customHeight="false" outlineLevel="0" collapsed="false">
      <c r="A37" s="17"/>
      <c r="B37" s="17" t="s">
        <v>1341</v>
      </c>
      <c r="C37" s="17" t="s">
        <v>1342</v>
      </c>
      <c r="D37" s="17" t="s">
        <v>196</v>
      </c>
      <c r="E37" s="17" t="s">
        <v>141</v>
      </c>
      <c r="F37" s="17" t="s">
        <v>1343</v>
      </c>
      <c r="G37" s="17" t="s">
        <v>1344</v>
      </c>
      <c r="H37" s="17"/>
      <c r="I37" s="17"/>
      <c r="J37" s="17"/>
      <c r="K37" s="17"/>
      <c r="L37" s="17" t="s">
        <v>871</v>
      </c>
    </row>
    <row r="38" customFormat="false" ht="15" hidden="false" customHeight="false" outlineLevel="0" collapsed="false">
      <c r="A38" s="2"/>
      <c r="B38" s="5" t="s">
        <v>1345</v>
      </c>
      <c r="C38" s="60" t="n">
        <f aca="false">Entrées!$C$185</f>
        <v>13.45</v>
      </c>
      <c r="D38" s="61" t="n">
        <f aca="false">C38*(1+Entrées!$C$186/100)</f>
        <v>15.1985</v>
      </c>
      <c r="E38" s="61" t="n">
        <f aca="false">C38*(1+Entrées!$C$187/100)</f>
        <v>16.6242</v>
      </c>
      <c r="F38" s="61" t="n">
        <f aca="false">C38*(1+Entrées!$C$188/100)</f>
        <v>17.485</v>
      </c>
      <c r="G38" s="61" t="n">
        <f aca="false">F38-E38</f>
        <v>0.860800000000001</v>
      </c>
      <c r="H38" s="2"/>
      <c r="I38" s="2"/>
      <c r="J38" s="2"/>
      <c r="K38" s="2"/>
      <c r="L38" s="20" t="s">
        <v>1346</v>
      </c>
    </row>
    <row r="39" customFormat="false" ht="15" hidden="false" customHeight="false" outlineLevel="0" collapsed="false">
      <c r="A39" s="2"/>
      <c r="B39" s="5" t="s">
        <v>1347</v>
      </c>
      <c r="C39" s="2"/>
      <c r="D39" s="2"/>
      <c r="E39" s="2"/>
      <c r="F39" s="60" t="n">
        <f aca="false">Entrées!$C$192</f>
        <v>18</v>
      </c>
      <c r="G39" s="2"/>
      <c r="H39" s="2"/>
      <c r="I39" s="2"/>
      <c r="J39" s="2"/>
      <c r="K39" s="2"/>
      <c r="L39" s="20" t="s">
        <v>1348</v>
      </c>
    </row>
    <row r="40" customFormat="false" ht="15" hidden="false" customHeight="false" outlineLevel="0" collapsed="false">
      <c r="A40" s="2"/>
      <c r="B40" s="5" t="s">
        <v>1349</v>
      </c>
      <c r="C40" s="2"/>
      <c r="D40" s="91" t="n">
        <f aca="false">Entrées!$C$189</f>
        <v>1.45</v>
      </c>
      <c r="E40" s="91" t="n">
        <f aca="false">Entrées!$C$190</f>
        <v>1.574</v>
      </c>
      <c r="F40" s="91" t="n">
        <f aca="false">Entrées!$C$191</f>
        <v>1.5</v>
      </c>
      <c r="G40" s="92" t="n">
        <f aca="false">F40-E40</f>
        <v>-0.0740000000000001</v>
      </c>
      <c r="H40" s="2"/>
      <c r="I40" s="2"/>
      <c r="J40" s="2"/>
      <c r="K40" s="2"/>
      <c r="L40" s="20" t="s">
        <v>1350</v>
      </c>
    </row>
    <row r="41" customFormat="false" ht="15" hidden="false" customHeight="false" outlineLevel="0" collapsed="false">
      <c r="A41" s="2"/>
      <c r="B41" s="5" t="s">
        <v>1351</v>
      </c>
      <c r="C41" s="2"/>
      <c r="D41" s="48" t="n">
        <f aca="false">Entrées!$C$38</f>
        <v>9196</v>
      </c>
      <c r="E41" s="48" t="n">
        <f aca="false">Entrées!$C$39</f>
        <v>9181</v>
      </c>
      <c r="F41" s="48" t="n">
        <f aca="false">Entrées!$C$40*1000</f>
        <v>9000</v>
      </c>
      <c r="G41" s="52" t="n">
        <f aca="false">F41-E41</f>
        <v>-181</v>
      </c>
      <c r="H41" s="2"/>
      <c r="I41" s="2"/>
      <c r="J41" s="2"/>
      <c r="K41" s="2"/>
      <c r="L41" s="20" t="s">
        <v>1352</v>
      </c>
    </row>
    <row r="42" customFormat="false" ht="30" hidden="false" customHeight="true" outlineLevel="0" collapsed="false">
      <c r="A42" s="2"/>
      <c r="B42" s="58" t="s">
        <v>1353</v>
      </c>
      <c r="C42" s="58"/>
      <c r="D42" s="58"/>
      <c r="E42" s="58"/>
      <c r="F42" s="58"/>
      <c r="G42" s="58"/>
      <c r="H42" s="58"/>
      <c r="I42" s="58"/>
      <c r="J42" s="58"/>
      <c r="K42" s="58"/>
      <c r="L42" s="58"/>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1354</v>
      </c>
      <c r="B1" s="2"/>
      <c r="C1" s="2"/>
      <c r="D1" s="2"/>
      <c r="E1" s="2"/>
      <c r="F1" s="2"/>
      <c r="G1" s="2"/>
      <c r="H1" s="2"/>
      <c r="I1" s="2"/>
      <c r="J1" s="2"/>
      <c r="K1" s="2"/>
    </row>
    <row r="2" customFormat="false" ht="15" hidden="false" customHeight="false" outlineLevel="0" collapsed="false">
      <c r="A2" s="3" t="s">
        <v>1355</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18" t="s">
        <v>951</v>
      </c>
      <c r="B4" s="18" t="s">
        <v>1356</v>
      </c>
      <c r="C4" s="2"/>
      <c r="D4" s="2"/>
      <c r="E4" s="2"/>
      <c r="F4" s="2"/>
      <c r="G4" s="2"/>
      <c r="H4" s="2"/>
      <c r="I4" s="2"/>
      <c r="J4" s="2"/>
      <c r="K4" s="2"/>
    </row>
    <row r="5" customFormat="false" ht="15" hidden="false" customHeight="false" outlineLevel="0" collapsed="false">
      <c r="A5" s="2"/>
      <c r="B5" s="5" t="s">
        <v>1357</v>
      </c>
      <c r="C5" s="48" t="n">
        <f aca="false">Entrées!$C$38</f>
        <v>9196</v>
      </c>
      <c r="D5" s="20" t="s">
        <v>195</v>
      </c>
      <c r="E5" s="20" t="s">
        <v>193</v>
      </c>
      <c r="F5" s="2"/>
      <c r="G5" s="2"/>
      <c r="H5" s="2"/>
      <c r="I5" s="2"/>
      <c r="J5" s="2"/>
      <c r="K5" s="2"/>
    </row>
    <row r="6" customFormat="false" ht="15" hidden="false" customHeight="false" outlineLevel="0" collapsed="false">
      <c r="A6" s="2"/>
      <c r="B6" s="5" t="s">
        <v>1358</v>
      </c>
      <c r="C6" s="48" t="n">
        <f aca="false">Entrées!$C$39</f>
        <v>9181</v>
      </c>
      <c r="D6" s="20" t="s">
        <v>195</v>
      </c>
      <c r="E6" s="20" t="s">
        <v>199</v>
      </c>
      <c r="F6" s="2"/>
      <c r="G6" s="2"/>
      <c r="H6" s="2"/>
      <c r="I6" s="2"/>
      <c r="J6" s="2"/>
      <c r="K6" s="2"/>
    </row>
    <row r="7" customFormat="false" ht="15" hidden="false" customHeight="false" outlineLevel="0" collapsed="false">
      <c r="A7" s="2"/>
      <c r="B7" s="5" t="s">
        <v>1359</v>
      </c>
      <c r="C7" s="54" t="n">
        <f aca="false">C6/C5-1</f>
        <v>-0.00163114397564157</v>
      </c>
      <c r="D7" s="20" t="s">
        <v>270</v>
      </c>
      <c r="E7" s="20"/>
      <c r="F7" s="2"/>
      <c r="G7" s="2"/>
      <c r="H7" s="2"/>
      <c r="I7" s="2"/>
      <c r="J7" s="2"/>
      <c r="K7" s="2"/>
    </row>
    <row r="8" customFormat="false" ht="15" hidden="false" customHeight="false" outlineLevel="0" collapsed="false">
      <c r="A8" s="2"/>
      <c r="B8" s="5" t="s">
        <v>1360</v>
      </c>
      <c r="C8" s="52" t="n">
        <f aca="false">Entrées!$C$40*1000</f>
        <v>9000</v>
      </c>
      <c r="D8" s="20" t="s">
        <v>195</v>
      </c>
      <c r="E8" s="20" t="s">
        <v>201</v>
      </c>
      <c r="F8" s="2"/>
      <c r="G8" s="2"/>
      <c r="H8" s="2"/>
      <c r="I8" s="2"/>
      <c r="J8" s="2"/>
      <c r="K8" s="2"/>
    </row>
    <row r="9" customFormat="false" ht="15" hidden="false" customHeight="false" outlineLevel="0" collapsed="false">
      <c r="A9" s="2"/>
      <c r="B9" s="5" t="s">
        <v>1361</v>
      </c>
      <c r="C9" s="52" t="n">
        <f aca="false">Entrées!$C$41*1000</f>
        <v>10000</v>
      </c>
      <c r="D9" s="20" t="s">
        <v>195</v>
      </c>
      <c r="E9" s="20" t="s">
        <v>205</v>
      </c>
      <c r="F9" s="2"/>
      <c r="G9" s="2"/>
      <c r="H9" s="2"/>
      <c r="I9" s="2"/>
      <c r="J9" s="2"/>
      <c r="K9" s="2"/>
    </row>
    <row r="10" customFormat="false" ht="15" hidden="false" customHeight="false" outlineLevel="0" collapsed="false">
      <c r="A10" s="2"/>
      <c r="B10" s="18" t="s">
        <v>1362</v>
      </c>
      <c r="C10" s="51" t="n">
        <f aca="false">C6-C8</f>
        <v>181</v>
      </c>
      <c r="D10" s="20" t="s">
        <v>195</v>
      </c>
      <c r="E10" s="20" t="s">
        <v>1363</v>
      </c>
      <c r="F10" s="2"/>
      <c r="G10" s="2"/>
      <c r="H10" s="2"/>
      <c r="I10" s="2"/>
      <c r="J10" s="2"/>
      <c r="K10" s="2"/>
    </row>
    <row r="11" customFormat="false" ht="15" hidden="false" customHeight="false" outlineLevel="0" collapsed="false">
      <c r="A11" s="2"/>
      <c r="B11" s="18" t="s">
        <v>1364</v>
      </c>
      <c r="C11" s="51" t="n">
        <f aca="false">C6-C9</f>
        <v>-819</v>
      </c>
      <c r="D11" s="20" t="s">
        <v>195</v>
      </c>
      <c r="E11" s="20"/>
      <c r="F11" s="2"/>
      <c r="G11" s="2"/>
      <c r="H11" s="2"/>
      <c r="I11" s="2"/>
      <c r="J11" s="2"/>
      <c r="K11" s="2"/>
    </row>
    <row r="12" customFormat="false" ht="15" hidden="false" customHeight="false" outlineLevel="0" collapsed="false">
      <c r="A12" s="2"/>
      <c r="B12" s="5" t="s">
        <v>1365</v>
      </c>
      <c r="C12" s="48" t="n">
        <f aca="false">Entrées!$C$68</f>
        <v>430</v>
      </c>
      <c r="D12" s="20" t="s">
        <v>195</v>
      </c>
      <c r="E12" s="20" t="s">
        <v>297</v>
      </c>
      <c r="F12" s="2"/>
      <c r="G12" s="2"/>
      <c r="H12" s="2"/>
      <c r="I12" s="2"/>
      <c r="J12" s="2"/>
      <c r="K12" s="2"/>
    </row>
    <row r="13" customFormat="false" ht="15" hidden="false" customHeight="false" outlineLevel="0" collapsed="false">
      <c r="A13" s="2"/>
      <c r="B13" s="5" t="s">
        <v>1366</v>
      </c>
      <c r="C13" s="52" t="n">
        <f aca="false">C11+C12</f>
        <v>-389</v>
      </c>
      <c r="D13" s="20" t="s">
        <v>195</v>
      </c>
      <c r="E13" s="20"/>
      <c r="F13" s="2"/>
      <c r="G13" s="2"/>
      <c r="H13" s="2"/>
      <c r="I13" s="2"/>
      <c r="J13" s="2"/>
      <c r="K13" s="2"/>
    </row>
    <row r="14" customFormat="false" ht="30" hidden="false" customHeight="true" outlineLevel="0" collapsed="false">
      <c r="A14" s="2"/>
      <c r="B14" s="58" t="s">
        <v>1367</v>
      </c>
      <c r="C14" s="58"/>
      <c r="D14" s="58"/>
      <c r="E14" s="58"/>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18" t="s">
        <v>964</v>
      </c>
      <c r="B16" s="18" t="s">
        <v>1368</v>
      </c>
      <c r="C16" s="2"/>
      <c r="D16" s="2"/>
      <c r="E16" s="2"/>
      <c r="F16" s="2"/>
      <c r="G16" s="2"/>
      <c r="H16" s="2"/>
      <c r="I16" s="2"/>
      <c r="J16" s="2"/>
      <c r="K16" s="2"/>
    </row>
    <row r="17" customFormat="false" ht="15" hidden="false" customHeight="false" outlineLevel="0" collapsed="false">
      <c r="A17" s="2"/>
      <c r="B17" s="5" t="s">
        <v>1369</v>
      </c>
      <c r="C17" s="60" t="n">
        <f aca="false">Entrées!$C$63</f>
        <v>4.3</v>
      </c>
      <c r="D17" s="20" t="s">
        <v>101</v>
      </c>
      <c r="E17" s="20" t="s">
        <v>282</v>
      </c>
      <c r="F17" s="2"/>
      <c r="G17" s="2"/>
      <c r="H17" s="2"/>
      <c r="I17" s="2"/>
      <c r="J17" s="2"/>
      <c r="K17" s="2"/>
    </row>
    <row r="18" customFormat="false" ht="15" hidden="false" customHeight="false" outlineLevel="0" collapsed="false">
      <c r="A18" s="2"/>
      <c r="B18" s="5" t="s">
        <v>1370</v>
      </c>
      <c r="C18" s="60" t="n">
        <f aca="false">Entrées!$C$64</f>
        <v>5.2</v>
      </c>
      <c r="D18" s="20" t="s">
        <v>101</v>
      </c>
      <c r="E18" s="20" t="s">
        <v>285</v>
      </c>
      <c r="F18" s="2"/>
      <c r="G18" s="2"/>
      <c r="H18" s="2"/>
      <c r="I18" s="2"/>
      <c r="J18" s="2"/>
      <c r="K18" s="2"/>
    </row>
    <row r="19" customFormat="false" ht="15" hidden="false" customHeight="false" outlineLevel="0" collapsed="false">
      <c r="A19" s="2"/>
      <c r="B19" s="5" t="s">
        <v>1371</v>
      </c>
      <c r="C19" s="60" t="n">
        <f aca="false">Entrées!$C$65</f>
        <v>0.9</v>
      </c>
      <c r="D19" s="20" t="s">
        <v>101</v>
      </c>
      <c r="E19" s="20" t="s">
        <v>288</v>
      </c>
      <c r="F19" s="2"/>
      <c r="G19" s="2"/>
      <c r="H19" s="2"/>
      <c r="I19" s="2"/>
      <c r="J19" s="2"/>
      <c r="K19" s="2"/>
    </row>
    <row r="20" customFormat="false" ht="15" hidden="false" customHeight="false" outlineLevel="0" collapsed="false">
      <c r="A20" s="2"/>
      <c r="B20" s="5" t="s">
        <v>1372</v>
      </c>
      <c r="C20" s="54" t="n">
        <f aca="false">C19/C18</f>
        <v>0.173076923076923</v>
      </c>
      <c r="D20" s="20" t="s">
        <v>270</v>
      </c>
      <c r="E20" s="20" t="s">
        <v>1373</v>
      </c>
      <c r="F20" s="2"/>
      <c r="G20" s="2"/>
      <c r="H20" s="2"/>
      <c r="I20" s="2"/>
      <c r="J20" s="2"/>
      <c r="K20" s="2"/>
    </row>
    <row r="21" customFormat="false" ht="15" hidden="false" customHeight="false" outlineLevel="0" collapsed="false">
      <c r="A21" s="2"/>
      <c r="B21" s="5" t="s">
        <v>1374</v>
      </c>
      <c r="C21" s="54" t="n">
        <f aca="false">Entrées!$C$67/100</f>
        <v>0.1</v>
      </c>
      <c r="D21" s="20" t="s">
        <v>270</v>
      </c>
      <c r="E21" s="20" t="s">
        <v>294</v>
      </c>
      <c r="F21" s="2"/>
      <c r="G21" s="2"/>
      <c r="H21" s="2"/>
      <c r="I21" s="2"/>
      <c r="J21" s="2"/>
      <c r="K21" s="2"/>
    </row>
    <row r="22" customFormat="false" ht="15" hidden="false" customHeight="false" outlineLevel="0" collapsed="false">
      <c r="A22" s="2"/>
      <c r="B22" s="18" t="s">
        <v>1375</v>
      </c>
      <c r="C22" s="62" t="n">
        <f aca="false">C19*(1+C21)^2</f>
        <v>1.089</v>
      </c>
      <c r="D22" s="20" t="s">
        <v>101</v>
      </c>
      <c r="E22" s="20" t="s">
        <v>1376</v>
      </c>
      <c r="F22" s="2"/>
      <c r="G22" s="2"/>
      <c r="H22" s="2"/>
      <c r="I22" s="2"/>
      <c r="J22" s="2"/>
      <c r="K22" s="2"/>
    </row>
    <row r="23" customFormat="false" ht="15" hidden="false" customHeight="false" outlineLevel="0" collapsed="false">
      <c r="A23" s="2"/>
      <c r="B23" s="5" t="s">
        <v>1377</v>
      </c>
      <c r="C23" s="54" t="n">
        <f aca="false">Entrées!$C$57/Entrées!$C$59-1</f>
        <v>0.0510204081632653</v>
      </c>
      <c r="D23" s="20" t="s">
        <v>270</v>
      </c>
      <c r="E23" s="20" t="s">
        <v>1378</v>
      </c>
      <c r="F23" s="2"/>
      <c r="G23" s="2"/>
      <c r="H23" s="2"/>
      <c r="I23" s="2"/>
      <c r="J23" s="2"/>
      <c r="K23" s="2"/>
    </row>
    <row r="24" customFormat="false" ht="15" hidden="false" customHeight="false" outlineLevel="0" collapsed="false">
      <c r="A24" s="2"/>
      <c r="B24" s="5" t="s">
        <v>1379</v>
      </c>
      <c r="C24" s="54" t="n">
        <f aca="false">Entrées!$C$56/Entrées!$C$57</f>
        <v>0.194174757281553</v>
      </c>
      <c r="D24" s="20" t="s">
        <v>270</v>
      </c>
      <c r="E24" s="20" t="s">
        <v>1380</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18" t="s">
        <v>1047</v>
      </c>
      <c r="B26" s="18" t="s">
        <v>1381</v>
      </c>
      <c r="C26" s="2"/>
      <c r="D26" s="2"/>
      <c r="E26" s="2"/>
      <c r="F26" s="2"/>
      <c r="G26" s="2"/>
      <c r="H26" s="2"/>
      <c r="I26" s="2"/>
      <c r="J26" s="2"/>
      <c r="K26" s="2"/>
    </row>
    <row r="27" customFormat="false" ht="15" hidden="false" customHeight="false" outlineLevel="0" collapsed="false">
      <c r="A27" s="2"/>
      <c r="B27" s="5" t="s">
        <v>1382</v>
      </c>
      <c r="C27" s="48" t="n">
        <f aca="false">Entrées!$C$44</f>
        <v>1189</v>
      </c>
      <c r="D27" s="20" t="s">
        <v>74</v>
      </c>
      <c r="E27" s="20" t="s">
        <v>213</v>
      </c>
      <c r="F27" s="2"/>
      <c r="G27" s="2"/>
      <c r="H27" s="2"/>
      <c r="I27" s="2"/>
      <c r="J27" s="2"/>
      <c r="K27" s="2"/>
    </row>
    <row r="28" customFormat="false" ht="15" hidden="false" customHeight="false" outlineLevel="0" collapsed="false">
      <c r="A28" s="2"/>
      <c r="B28" s="18" t="s">
        <v>1383</v>
      </c>
      <c r="C28" s="56" t="n">
        <f aca="false">Entrées!$C$98/100</f>
        <v>-0.002</v>
      </c>
      <c r="D28" s="20" t="s">
        <v>270</v>
      </c>
      <c r="E28" s="20" t="s">
        <v>384</v>
      </c>
      <c r="F28" s="2"/>
      <c r="G28" s="2"/>
      <c r="H28" s="2"/>
      <c r="I28" s="2"/>
      <c r="J28" s="2"/>
      <c r="K28" s="2"/>
    </row>
    <row r="29" customFormat="false" ht="15" hidden="false" customHeight="false" outlineLevel="0" collapsed="false">
      <c r="A29" s="2"/>
      <c r="B29" s="5" t="s">
        <v>1384</v>
      </c>
      <c r="C29" s="54" t="n">
        <f aca="false">Entrées!$C$100/Entrées!$C$99-1</f>
        <v>0.0352220520673814</v>
      </c>
      <c r="D29" s="20" t="s">
        <v>270</v>
      </c>
      <c r="E29" s="20" t="s">
        <v>1385</v>
      </c>
      <c r="F29" s="2"/>
      <c r="G29" s="2"/>
      <c r="H29" s="2"/>
      <c r="I29" s="2"/>
      <c r="J29" s="2"/>
      <c r="K29" s="2"/>
    </row>
    <row r="30" customFormat="false" ht="15" hidden="false" customHeight="false" outlineLevel="0" collapsed="false">
      <c r="A30" s="2"/>
      <c r="B30" s="5" t="s">
        <v>1386</v>
      </c>
      <c r="C30" s="54" t="n">
        <f aca="false">Entrées!$C$102/Entrées!$C$101-1</f>
        <v>0.108501118568233</v>
      </c>
      <c r="D30" s="20" t="s">
        <v>270</v>
      </c>
      <c r="E30" s="20" t="s">
        <v>1387</v>
      </c>
      <c r="F30" s="2"/>
      <c r="G30" s="2"/>
      <c r="H30" s="2"/>
      <c r="I30" s="2"/>
      <c r="J30" s="2"/>
      <c r="K30" s="2"/>
    </row>
    <row r="31" customFormat="false" ht="30" hidden="false" customHeight="true" outlineLevel="0" collapsed="false">
      <c r="A31" s="2"/>
      <c r="B31" s="58" t="s">
        <v>1388</v>
      </c>
      <c r="C31" s="58"/>
      <c r="D31" s="58"/>
      <c r="E31" s="58"/>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18" t="s">
        <v>1144</v>
      </c>
      <c r="B33" s="18" t="s">
        <v>1389</v>
      </c>
      <c r="C33" s="2"/>
      <c r="D33" s="2"/>
      <c r="E33" s="2"/>
      <c r="F33" s="2"/>
      <c r="G33" s="2"/>
      <c r="H33" s="2"/>
      <c r="I33" s="2"/>
      <c r="J33" s="2"/>
      <c r="K33" s="2"/>
    </row>
    <row r="34" customFormat="false" ht="15" hidden="false" customHeight="false" outlineLevel="0" collapsed="false">
      <c r="A34" s="17"/>
      <c r="B34" s="17" t="s">
        <v>1390</v>
      </c>
      <c r="C34" s="17" t="s">
        <v>1391</v>
      </c>
      <c r="D34" s="17" t="s">
        <v>1392</v>
      </c>
      <c r="E34" s="17" t="s">
        <v>1393</v>
      </c>
      <c r="F34" s="17" t="s">
        <v>1394</v>
      </c>
      <c r="G34" s="17" t="s">
        <v>1395</v>
      </c>
      <c r="H34" s="17" t="s">
        <v>1396</v>
      </c>
      <c r="I34" s="17" t="s">
        <v>67</v>
      </c>
      <c r="J34" s="17" t="s">
        <v>68</v>
      </c>
      <c r="K34" s="17" t="s">
        <v>1397</v>
      </c>
    </row>
    <row r="35" customFormat="false" ht="15" hidden="false" customHeight="false" outlineLevel="0" collapsed="false">
      <c r="A35" s="2"/>
      <c r="B35" s="5" t="s">
        <v>1398</v>
      </c>
      <c r="C35" s="5" t="s">
        <v>1399</v>
      </c>
      <c r="D35" s="93" t="s">
        <v>1400</v>
      </c>
      <c r="E35" s="47" t="n">
        <f aca="false">Entrées!$C$212</f>
        <v>6030.8</v>
      </c>
      <c r="F35" s="47" t="n">
        <f aca="false">Entrées!$C$213/1000</f>
        <v>1169.939</v>
      </c>
      <c r="G35" s="54" t="n">
        <f aca="false">IF(AND(ISNUMBER(E35),ISNUMBER(F35),E35&lt;&gt;0),F35/E35,"")</f>
        <v>0.193993997479605</v>
      </c>
      <c r="H35" s="94"/>
      <c r="I35" s="93" t="s">
        <v>710</v>
      </c>
      <c r="J35" s="93" t="s">
        <v>1401</v>
      </c>
      <c r="K35" s="20" t="s">
        <v>1402</v>
      </c>
    </row>
    <row r="36" customFormat="false" ht="15" hidden="false" customHeight="false" outlineLevel="0" collapsed="false">
      <c r="A36" s="2"/>
      <c r="B36" s="5" t="s">
        <v>1403</v>
      </c>
      <c r="C36" s="5" t="s">
        <v>1399</v>
      </c>
      <c r="D36" s="93" t="s">
        <v>1404</v>
      </c>
      <c r="E36" s="47" t="n">
        <f aca="false">Entrées!$C$197</f>
        <v>973.9</v>
      </c>
      <c r="F36" s="95" t="n">
        <f aca="false">Entrées!$C$199+(Entrées!$C$201+Entrées!$C$202)/1000</f>
        <v>155.122</v>
      </c>
      <c r="G36" s="54" t="n">
        <f aca="false">IF(AND(ISNUMBER(E36),ISNUMBER(F36),E36&lt;&gt;0),F36/E36,"")</f>
        <v>0.159279186774823</v>
      </c>
      <c r="H36" s="94"/>
      <c r="I36" s="93" t="s">
        <v>677</v>
      </c>
      <c r="J36" s="93" t="s">
        <v>1405</v>
      </c>
      <c r="K36" s="20" t="s">
        <v>1406</v>
      </c>
    </row>
    <row r="37" customFormat="false" ht="15" hidden="false" customHeight="false" outlineLevel="0" collapsed="false">
      <c r="A37" s="2"/>
      <c r="B37" s="5" t="s">
        <v>1407</v>
      </c>
      <c r="C37" s="5" t="s">
        <v>1399</v>
      </c>
      <c r="D37" s="94"/>
      <c r="E37" s="94"/>
      <c r="F37" s="94"/>
      <c r="G37" s="54" t="str">
        <f aca="false">IF(AND(ISNUMBER(E37),ISNUMBER(F37),E37&lt;&gt;0),F37/E37,"")</f>
        <v/>
      </c>
      <c r="H37" s="94"/>
      <c r="I37" s="94"/>
      <c r="J37" s="94"/>
      <c r="K37" s="20" t="s">
        <v>1408</v>
      </c>
    </row>
    <row r="38" customFormat="false" ht="15" hidden="false" customHeight="false" outlineLevel="0" collapsed="false">
      <c r="A38" s="2"/>
      <c r="B38" s="5" t="s">
        <v>1409</v>
      </c>
      <c r="C38" s="5" t="s">
        <v>1410</v>
      </c>
      <c r="D38" s="94"/>
      <c r="E38" s="94"/>
      <c r="F38" s="94"/>
      <c r="G38" s="54" t="str">
        <f aca="false">IF(AND(ISNUMBER(E38),ISNUMBER(F38),E38&lt;&gt;0),F38/E38,"")</f>
        <v/>
      </c>
      <c r="H38" s="94"/>
      <c r="I38" s="94"/>
      <c r="J38" s="94"/>
      <c r="K38" s="20" t="s">
        <v>1411</v>
      </c>
    </row>
    <row r="39" customFormat="false" ht="15" hidden="false" customHeight="false" outlineLevel="0" collapsed="false">
      <c r="A39" s="2"/>
      <c r="B39" s="5" t="s">
        <v>1412</v>
      </c>
      <c r="C39" s="2"/>
      <c r="D39" s="2"/>
      <c r="E39" s="2"/>
      <c r="F39" s="2"/>
      <c r="G39" s="54" t="n">
        <f aca="false">Entrées!$C$214/100</f>
        <v>0.194</v>
      </c>
      <c r="H39" s="2"/>
      <c r="I39" s="2"/>
      <c r="J39" s="2"/>
      <c r="K39" s="20" t="s">
        <v>727</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18" t="s">
        <v>1413</v>
      </c>
      <c r="B41" s="18" t="s">
        <v>1414</v>
      </c>
      <c r="C41" s="2"/>
      <c r="D41" s="2"/>
      <c r="E41" s="2"/>
      <c r="F41" s="2"/>
      <c r="G41" s="2"/>
      <c r="H41" s="2"/>
      <c r="I41" s="2"/>
      <c r="J41" s="2"/>
      <c r="K41" s="2"/>
    </row>
    <row r="42" customFormat="false" ht="15" hidden="false" customHeight="false" outlineLevel="0" collapsed="false">
      <c r="A42" s="2"/>
      <c r="B42" s="5" t="s">
        <v>1415</v>
      </c>
      <c r="C42" s="81" t="n">
        <f aca="false">Entrées!$C$198</f>
        <v>940.3</v>
      </c>
      <c r="D42" s="20" t="s">
        <v>220</v>
      </c>
      <c r="E42" s="20" t="s">
        <v>1416</v>
      </c>
      <c r="F42" s="2"/>
      <c r="G42" s="2"/>
      <c r="H42" s="2"/>
      <c r="I42" s="2"/>
      <c r="J42" s="2"/>
      <c r="K42" s="2"/>
    </row>
    <row r="43" customFormat="false" ht="15" hidden="false" customHeight="false" outlineLevel="0" collapsed="false">
      <c r="A43" s="2"/>
      <c r="B43" s="5" t="s">
        <v>1415</v>
      </c>
      <c r="C43" s="81" t="n">
        <f aca="false">Entrées!$C$197</f>
        <v>973.9</v>
      </c>
      <c r="D43" s="20" t="s">
        <v>220</v>
      </c>
      <c r="E43" s="20" t="s">
        <v>1417</v>
      </c>
      <c r="F43" s="2"/>
      <c r="G43" s="2"/>
      <c r="H43" s="2"/>
      <c r="I43" s="2"/>
      <c r="J43" s="2"/>
      <c r="K43" s="2"/>
    </row>
    <row r="44" customFormat="false" ht="15" hidden="false" customHeight="false" outlineLevel="0" collapsed="false">
      <c r="A44" s="2"/>
      <c r="B44" s="5" t="s">
        <v>1418</v>
      </c>
      <c r="C44" s="54" t="n">
        <f aca="false">C43/C42-1</f>
        <v>0.0357332766138467</v>
      </c>
      <c r="D44" s="20" t="s">
        <v>270</v>
      </c>
      <c r="E44" s="20"/>
      <c r="F44" s="2"/>
      <c r="G44" s="2"/>
      <c r="H44" s="2"/>
      <c r="I44" s="2"/>
      <c r="J44" s="2"/>
      <c r="K44" s="2"/>
    </row>
    <row r="45" customFormat="false" ht="15" hidden="false" customHeight="false" outlineLevel="0" collapsed="false">
      <c r="A45" s="2"/>
      <c r="B45" s="5" t="s">
        <v>1419</v>
      </c>
      <c r="C45" s="81" t="n">
        <f aca="false">Entrées!$C$200</f>
        <v>92.6</v>
      </c>
      <c r="D45" s="20" t="s">
        <v>220</v>
      </c>
      <c r="E45" s="20" t="s">
        <v>1420</v>
      </c>
      <c r="F45" s="2"/>
      <c r="G45" s="2"/>
      <c r="H45" s="2"/>
      <c r="I45" s="2"/>
      <c r="J45" s="2"/>
      <c r="K45" s="2"/>
    </row>
    <row r="46" customFormat="false" ht="15" hidden="false" customHeight="false" outlineLevel="0" collapsed="false">
      <c r="A46" s="2"/>
      <c r="B46" s="5" t="s">
        <v>1419</v>
      </c>
      <c r="C46" s="81" t="n">
        <f aca="false">Entrées!$C$199</f>
        <v>91.7</v>
      </c>
      <c r="D46" s="20" t="s">
        <v>220</v>
      </c>
      <c r="E46" s="20" t="s">
        <v>1421</v>
      </c>
      <c r="F46" s="2"/>
      <c r="G46" s="2"/>
      <c r="H46" s="2"/>
      <c r="I46" s="2"/>
      <c r="J46" s="2"/>
      <c r="K46" s="2"/>
    </row>
    <row r="47" customFormat="false" ht="15" hidden="false" customHeight="false" outlineLevel="0" collapsed="false">
      <c r="A47" s="2"/>
      <c r="B47" s="5" t="s">
        <v>1422</v>
      </c>
      <c r="C47" s="82" t="n">
        <f aca="false">(Entrées!$C$201+Entrées!$C$202)/1000</f>
        <v>63.422</v>
      </c>
      <c r="D47" s="20" t="s">
        <v>220</v>
      </c>
      <c r="E47" s="20" t="s">
        <v>1423</v>
      </c>
      <c r="F47" s="2"/>
      <c r="G47" s="2"/>
      <c r="H47" s="2"/>
      <c r="I47" s="2"/>
      <c r="J47" s="2"/>
      <c r="K47" s="2"/>
    </row>
    <row r="48" customFormat="false" ht="15" hidden="false" customHeight="false" outlineLevel="0" collapsed="false">
      <c r="A48" s="2"/>
      <c r="B48" s="18" t="s">
        <v>1424</v>
      </c>
      <c r="C48" s="96" t="n">
        <f aca="false">C46+C47</f>
        <v>155.122</v>
      </c>
      <c r="D48" s="20" t="s">
        <v>220</v>
      </c>
      <c r="E48" s="20" t="s">
        <v>1425</v>
      </c>
      <c r="F48" s="2"/>
      <c r="G48" s="2"/>
      <c r="H48" s="2"/>
      <c r="I48" s="2"/>
      <c r="J48" s="2"/>
      <c r="K48" s="2"/>
    </row>
    <row r="49" customFormat="false" ht="15" hidden="false" customHeight="false" outlineLevel="0" collapsed="false">
      <c r="A49" s="2"/>
      <c r="B49" s="5" t="s">
        <v>1426</v>
      </c>
      <c r="C49" s="54" t="n">
        <f aca="false">C48/C43</f>
        <v>0.159279186774823</v>
      </c>
      <c r="D49" s="20" t="s">
        <v>270</v>
      </c>
      <c r="E49" s="20"/>
      <c r="F49" s="2"/>
      <c r="G49" s="2"/>
      <c r="H49" s="2"/>
      <c r="I49" s="2"/>
      <c r="J49" s="2"/>
      <c r="K49" s="2"/>
    </row>
    <row r="50" customFormat="false" ht="15" hidden="false" customHeight="false" outlineLevel="0" collapsed="false">
      <c r="A50" s="2"/>
      <c r="B50" s="5" t="s">
        <v>1427</v>
      </c>
      <c r="C50" s="81" t="n">
        <f aca="false">Entrées!$C$56</f>
        <v>200</v>
      </c>
      <c r="D50" s="20" t="s">
        <v>220</v>
      </c>
      <c r="E50" s="20" t="s">
        <v>261</v>
      </c>
      <c r="F50" s="2"/>
      <c r="G50" s="2"/>
      <c r="H50" s="2"/>
      <c r="I50" s="2"/>
      <c r="J50" s="2"/>
      <c r="K50" s="2"/>
    </row>
    <row r="51" customFormat="false" ht="15" hidden="false" customHeight="false" outlineLevel="0" collapsed="false">
      <c r="A51" s="2"/>
      <c r="B51" s="18" t="s">
        <v>1428</v>
      </c>
      <c r="C51" s="56" t="n">
        <f aca="false">C50/C48-1</f>
        <v>0.289307770657934</v>
      </c>
      <c r="D51" s="20" t="s">
        <v>270</v>
      </c>
      <c r="E51" s="20" t="s">
        <v>1429</v>
      </c>
      <c r="F51" s="2"/>
      <c r="G51" s="2"/>
      <c r="H51" s="2"/>
      <c r="I51" s="2"/>
      <c r="J51" s="2"/>
      <c r="K51" s="2"/>
    </row>
    <row r="52" customFormat="false" ht="15" hidden="false" customHeight="false" outlineLevel="0" collapsed="false">
      <c r="A52" s="2"/>
      <c r="B52" s="18" t="s">
        <v>1430</v>
      </c>
      <c r="C52" s="97" t="n">
        <f aca="false">Entrées!$C$51*1000/C48</f>
        <v>19.339616559869</v>
      </c>
      <c r="D52" s="20" t="s">
        <v>104</v>
      </c>
      <c r="E52" s="20" t="s">
        <v>1431</v>
      </c>
      <c r="F52" s="2"/>
      <c r="G52" s="2"/>
      <c r="H52" s="2"/>
      <c r="I52" s="2"/>
      <c r="J52" s="2"/>
      <c r="K52" s="2"/>
    </row>
    <row r="53" customFormat="false" ht="15" hidden="false" customHeight="false" outlineLevel="0" collapsed="false">
      <c r="A53" s="2"/>
      <c r="B53" s="5" t="s">
        <v>1432</v>
      </c>
      <c r="C53" s="71" t="n">
        <f aca="false">Entrées!$C$53</f>
        <v>9.8</v>
      </c>
      <c r="D53" s="20" t="s">
        <v>104</v>
      </c>
      <c r="E53" s="20" t="s">
        <v>249</v>
      </c>
      <c r="F53" s="2"/>
      <c r="G53" s="2"/>
      <c r="H53" s="2"/>
      <c r="I53" s="2"/>
      <c r="J53" s="2"/>
      <c r="K53" s="2"/>
    </row>
    <row r="54" customFormat="false" ht="15" hidden="false" customHeight="false" outlineLevel="0" collapsed="false">
      <c r="A54" s="2"/>
      <c r="B54" s="5" t="s">
        <v>1433</v>
      </c>
      <c r="C54" s="82" t="n">
        <f aca="false">Entrées!$C$203/1000</f>
        <v>1036.916</v>
      </c>
      <c r="D54" s="20" t="s">
        <v>220</v>
      </c>
      <c r="E54" s="20" t="s">
        <v>693</v>
      </c>
      <c r="F54" s="2"/>
      <c r="G54" s="2"/>
      <c r="H54" s="2"/>
      <c r="I54" s="2"/>
      <c r="J54" s="2"/>
      <c r="K54" s="2"/>
    </row>
    <row r="55" customFormat="false" ht="30" hidden="false" customHeight="true" outlineLevel="0" collapsed="false">
      <c r="A55" s="2"/>
      <c r="B55" s="58" t="s">
        <v>1434</v>
      </c>
      <c r="C55" s="58"/>
      <c r="D55" s="58"/>
      <c r="E55" s="58"/>
      <c r="F55" s="2"/>
      <c r="G55" s="2"/>
      <c r="H55" s="2"/>
      <c r="I55" s="2"/>
      <c r="J55" s="2"/>
      <c r="K55" s="2"/>
    </row>
    <row r="56" customFormat="false" ht="15" hidden="false" customHeight="false" outlineLevel="0" collapsed="false">
      <c r="A56" s="2"/>
      <c r="B56" s="3" t="s">
        <v>1435</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5" min="3" style="0" width="12"/>
    <col collapsed="false" customWidth="true" hidden="false" outlineLevel="0" max="6" min="6" style="0" width="40"/>
    <col collapsed="false" customWidth="true" hidden="false" outlineLevel="0" max="7" min="7" style="0" width="11"/>
  </cols>
  <sheetData>
    <row r="1" customFormat="false" ht="17.35" hidden="false" customHeight="false" outlineLevel="0" collapsed="false">
      <c r="A1" s="1" t="s">
        <v>1436</v>
      </c>
      <c r="B1" s="2"/>
      <c r="C1" s="2"/>
      <c r="D1" s="2"/>
      <c r="E1" s="2"/>
      <c r="F1" s="2"/>
      <c r="G1" s="2"/>
    </row>
    <row r="2" customFormat="false" ht="15" hidden="false" customHeight="false" outlineLevel="0" collapsed="false">
      <c r="A2" s="3" t="s">
        <v>1437</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8" t="s">
        <v>951</v>
      </c>
      <c r="B4" s="18" t="s">
        <v>1438</v>
      </c>
      <c r="C4" s="2"/>
      <c r="D4" s="2"/>
      <c r="E4" s="2"/>
      <c r="F4" s="2"/>
      <c r="G4" s="2"/>
    </row>
    <row r="5" customFormat="false" ht="15" hidden="false" customHeight="false" outlineLevel="0" collapsed="false">
      <c r="A5" s="17"/>
      <c r="B5" s="17" t="s">
        <v>1439</v>
      </c>
      <c r="C5" s="17" t="s">
        <v>164</v>
      </c>
      <c r="D5" s="17" t="s">
        <v>111</v>
      </c>
      <c r="E5" s="17" t="s">
        <v>118</v>
      </c>
      <c r="F5" s="17" t="s">
        <v>871</v>
      </c>
      <c r="G5" s="98" t="s">
        <v>1440</v>
      </c>
    </row>
    <row r="6" customFormat="false" ht="15" hidden="false" customHeight="false" outlineLevel="0" collapsed="false">
      <c r="A6" s="2"/>
      <c r="B6" s="18" t="s">
        <v>1441</v>
      </c>
      <c r="C6" s="48" t="n">
        <f aca="false">Entrées!$C$104</f>
        <v>1220</v>
      </c>
      <c r="D6" s="48" t="n">
        <f aca="false">Entrées!$C$105</f>
        <v>1214</v>
      </c>
      <c r="E6" s="48" t="n">
        <f aca="false">Entrées!$C$49</f>
        <v>1290</v>
      </c>
      <c r="F6" s="20" t="s">
        <v>1442</v>
      </c>
      <c r="G6" s="51" t="n">
        <f aca="false">E6-D6</f>
        <v>76</v>
      </c>
    </row>
    <row r="7" customFormat="false" ht="15" hidden="false" customHeight="false" outlineLevel="0" collapsed="false">
      <c r="A7" s="2"/>
      <c r="B7" s="5" t="s">
        <v>1443</v>
      </c>
      <c r="C7" s="2"/>
      <c r="D7" s="48" t="n">
        <f aca="false">Entrées!$C$106</f>
        <v>418</v>
      </c>
      <c r="E7" s="48" t="n">
        <f aca="false">Entrées!$C$107</f>
        <v>472</v>
      </c>
      <c r="F7" s="20" t="s">
        <v>1444</v>
      </c>
      <c r="G7" s="52" t="n">
        <f aca="false">E7-D7</f>
        <v>54</v>
      </c>
    </row>
    <row r="8" customFormat="false" ht="15" hidden="false" customHeight="false" outlineLevel="0" collapsed="false">
      <c r="A8" s="2"/>
      <c r="B8" s="5" t="s">
        <v>1445</v>
      </c>
      <c r="C8" s="2"/>
      <c r="D8" s="48" t="n">
        <f aca="false">Entrées!$C$108</f>
        <v>454</v>
      </c>
      <c r="E8" s="48" t="n">
        <f aca="false">Entrées!$C$50</f>
        <v>461</v>
      </c>
      <c r="F8" s="20" t="s">
        <v>1446</v>
      </c>
      <c r="G8" s="52" t="n">
        <f aca="false">E8-D8</f>
        <v>7</v>
      </c>
    </row>
    <row r="9" customFormat="false" ht="15" hidden="false" customHeight="false" outlineLevel="0" collapsed="false">
      <c r="A9" s="2"/>
      <c r="B9" s="5" t="s">
        <v>1447</v>
      </c>
      <c r="C9" s="2"/>
      <c r="D9" s="48" t="n">
        <f aca="false">Entrées!$C$109</f>
        <v>315</v>
      </c>
      <c r="E9" s="48" t="n">
        <f aca="false">Entrées!$C$110</f>
        <v>328</v>
      </c>
      <c r="F9" s="20" t="s">
        <v>1448</v>
      </c>
      <c r="G9" s="52" t="n">
        <f aca="false">E9-D9</f>
        <v>13</v>
      </c>
    </row>
    <row r="10" customFormat="false" ht="15" hidden="false" customHeight="false" outlineLevel="0" collapsed="false">
      <c r="A10" s="2"/>
      <c r="B10" s="2"/>
      <c r="C10" s="2"/>
      <c r="D10" s="2"/>
      <c r="E10" s="2"/>
      <c r="F10" s="2"/>
      <c r="G10" s="2"/>
    </row>
    <row r="11" customFormat="false" ht="15" hidden="false" customHeight="false" outlineLevel="0" collapsed="false">
      <c r="A11" s="2"/>
      <c r="B11" s="5" t="s">
        <v>1449</v>
      </c>
      <c r="C11" s="48" t="n">
        <f aca="false">Entrées!$C$47</f>
        <v>1106</v>
      </c>
      <c r="D11" s="20" t="s">
        <v>74</v>
      </c>
      <c r="E11" s="20" t="s">
        <v>225</v>
      </c>
      <c r="F11" s="2"/>
      <c r="G11" s="2"/>
    </row>
    <row r="12" customFormat="false" ht="15" hidden="false" customHeight="false" outlineLevel="0" collapsed="false">
      <c r="A12" s="2"/>
      <c r="B12" s="5" t="s">
        <v>1450</v>
      </c>
      <c r="C12" s="48" t="n">
        <f aca="false">Entrées!$C$48</f>
        <v>53</v>
      </c>
      <c r="D12" s="20" t="s">
        <v>74</v>
      </c>
      <c r="E12" s="20" t="s">
        <v>229</v>
      </c>
      <c r="F12" s="2"/>
      <c r="G12" s="2"/>
    </row>
    <row r="13" customFormat="false" ht="15" hidden="false" customHeight="false" outlineLevel="0" collapsed="false">
      <c r="A13" s="2"/>
      <c r="B13" s="5" t="s">
        <v>1451</v>
      </c>
      <c r="C13" s="48" t="n">
        <f aca="false">Entrées!$C$111</f>
        <v>55</v>
      </c>
      <c r="D13" s="20" t="s">
        <v>74</v>
      </c>
      <c r="E13" s="20" t="s">
        <v>417</v>
      </c>
      <c r="F13" s="2"/>
      <c r="G13" s="2"/>
    </row>
    <row r="14" customFormat="false" ht="15" hidden="false" customHeight="false" outlineLevel="0" collapsed="false">
      <c r="A14" s="2"/>
      <c r="B14" s="18" t="s">
        <v>1452</v>
      </c>
      <c r="C14" s="51" t="n">
        <f aca="false">SUM(C11:C13)</f>
        <v>1214</v>
      </c>
      <c r="D14" s="20" t="s">
        <v>74</v>
      </c>
      <c r="E14" s="20" t="s">
        <v>1453</v>
      </c>
      <c r="F14" s="2"/>
      <c r="G14" s="2"/>
    </row>
    <row r="15" customFormat="false" ht="15" hidden="false" customHeight="false" outlineLevel="0" collapsed="false">
      <c r="A15" s="2"/>
      <c r="B15" s="5" t="s">
        <v>1454</v>
      </c>
      <c r="C15" s="48" t="n">
        <f aca="false">Entrées!$C$112</f>
        <v>72</v>
      </c>
      <c r="D15" s="20" t="s">
        <v>74</v>
      </c>
      <c r="E15" s="20" t="s">
        <v>420</v>
      </c>
      <c r="F15" s="2"/>
      <c r="G15" s="2"/>
    </row>
    <row r="16" customFormat="false" ht="15" hidden="false" customHeight="false" outlineLevel="0" collapsed="false">
      <c r="A16" s="2"/>
      <c r="B16" s="5" t="s">
        <v>1455</v>
      </c>
      <c r="C16" s="59" t="n">
        <f aca="false">Entrées!$C$105/Entrées!$C$8</f>
        <v>0.172198581560284</v>
      </c>
      <c r="D16" s="20" t="s">
        <v>104</v>
      </c>
      <c r="E16" s="20"/>
      <c r="F16" s="2"/>
      <c r="G16" s="2"/>
    </row>
    <row r="17" customFormat="false" ht="15" hidden="false" customHeight="false" outlineLevel="0" collapsed="false">
      <c r="A17" s="2"/>
      <c r="B17" s="2"/>
      <c r="C17" s="2"/>
      <c r="D17" s="2"/>
      <c r="E17" s="2"/>
      <c r="F17" s="2"/>
      <c r="G17" s="2"/>
    </row>
    <row r="18" customFormat="false" ht="15" hidden="false" customHeight="false" outlineLevel="0" collapsed="false">
      <c r="A18" s="18" t="s">
        <v>964</v>
      </c>
      <c r="B18" s="18" t="s">
        <v>1456</v>
      </c>
      <c r="C18" s="2"/>
      <c r="D18" s="2"/>
      <c r="E18" s="2"/>
      <c r="F18" s="2"/>
      <c r="G18" s="2"/>
    </row>
    <row r="19" customFormat="false" ht="15" hidden="false" customHeight="false" outlineLevel="0" collapsed="false">
      <c r="A19" s="2"/>
      <c r="B19" s="5" t="s">
        <v>1457</v>
      </c>
      <c r="C19" s="48" t="n">
        <f aca="false">Entrées!$C$46</f>
        <v>2542</v>
      </c>
      <c r="D19" s="20" t="s">
        <v>74</v>
      </c>
      <c r="E19" s="20" t="s">
        <v>223</v>
      </c>
      <c r="F19" s="2"/>
      <c r="G19" s="2"/>
    </row>
    <row r="20" customFormat="false" ht="15" hidden="false" customHeight="false" outlineLevel="0" collapsed="false">
      <c r="A20" s="2"/>
      <c r="B20" s="5" t="s">
        <v>1458</v>
      </c>
      <c r="C20" s="48" t="n">
        <f aca="false">Entrées!$C$103</f>
        <v>2066</v>
      </c>
      <c r="D20" s="20" t="s">
        <v>74</v>
      </c>
      <c r="E20" s="20" t="s">
        <v>396</v>
      </c>
      <c r="F20" s="2"/>
      <c r="G20" s="2"/>
    </row>
    <row r="21" customFormat="false" ht="15" hidden="false" customHeight="false" outlineLevel="0" collapsed="false">
      <c r="A21" s="2"/>
      <c r="B21" s="18" t="s">
        <v>1459</v>
      </c>
      <c r="C21" s="56" t="n">
        <f aca="false">C20/C19</f>
        <v>0.812745869394178</v>
      </c>
      <c r="D21" s="20" t="s">
        <v>270</v>
      </c>
      <c r="E21" s="20" t="s">
        <v>1460</v>
      </c>
      <c r="F21" s="2"/>
      <c r="G21" s="2"/>
    </row>
    <row r="22" customFormat="false" ht="15" hidden="false" customHeight="false" outlineLevel="0" collapsed="false">
      <c r="A22" s="2"/>
      <c r="B22" s="5" t="s">
        <v>1461</v>
      </c>
      <c r="C22" s="52" t="n">
        <f aca="false">G7</f>
        <v>54</v>
      </c>
      <c r="D22" s="20" t="s">
        <v>74</v>
      </c>
      <c r="E22" s="20" t="s">
        <v>1462</v>
      </c>
      <c r="F22" s="2"/>
      <c r="G22" s="2"/>
    </row>
    <row r="23" customFormat="false" ht="15" hidden="false" customHeight="false" outlineLevel="0" collapsed="false">
      <c r="A23" s="2"/>
      <c r="B23" s="5" t="s">
        <v>1463</v>
      </c>
      <c r="C23" s="52" t="n">
        <f aca="false">Entrées!$C$114-Entrées!$C$113</f>
        <v>30</v>
      </c>
      <c r="D23" s="20" t="s">
        <v>74</v>
      </c>
      <c r="E23" s="20" t="s">
        <v>1464</v>
      </c>
      <c r="F23" s="2"/>
      <c r="G23" s="2"/>
    </row>
    <row r="24" customFormat="false" ht="15" hidden="false" customHeight="false" outlineLevel="0" collapsed="false">
      <c r="A24" s="2"/>
      <c r="B24" s="5" t="s">
        <v>1465</v>
      </c>
      <c r="C24" s="54" t="n">
        <f aca="false">Entrées!$C$227/1000/Entrées!$C$212</f>
        <v>0.0382531339125821</v>
      </c>
      <c r="D24" s="20" t="s">
        <v>270</v>
      </c>
      <c r="E24" s="20" t="s">
        <v>1466</v>
      </c>
      <c r="F24" s="2"/>
      <c r="G24" s="2"/>
    </row>
    <row r="25" customFormat="false" ht="15" hidden="false" customHeight="false" outlineLevel="0" collapsed="false">
      <c r="A25" s="2"/>
      <c r="B25" s="5" t="s">
        <v>1467</v>
      </c>
      <c r="C25" s="82" t="n">
        <f aca="false">(Entrées!$C$206+Entrées!$C$207)/1000</f>
        <v>50.992</v>
      </c>
      <c r="D25" s="20" t="s">
        <v>220</v>
      </c>
      <c r="E25" s="20" t="s">
        <v>1468</v>
      </c>
      <c r="F25" s="2"/>
      <c r="G25" s="2"/>
    </row>
    <row r="26" customFormat="false" ht="15" hidden="false" customHeight="false" outlineLevel="0" collapsed="false">
      <c r="A26" s="2"/>
      <c r="B26" s="5" t="s">
        <v>1469</v>
      </c>
      <c r="C26" s="54" t="n">
        <f aca="false">C25/Entrées!$C$197</f>
        <v>0.0523585583735496</v>
      </c>
      <c r="D26" s="20" t="s">
        <v>270</v>
      </c>
      <c r="E26" s="20" t="s">
        <v>674</v>
      </c>
      <c r="F26" s="2"/>
      <c r="G26" s="2"/>
    </row>
    <row r="27" customFormat="false" ht="15" hidden="false" customHeight="false" outlineLevel="0" collapsed="false">
      <c r="A27" s="2"/>
      <c r="B27" s="5" t="s">
        <v>1470</v>
      </c>
      <c r="C27" s="82" t="n">
        <f aca="false">C24*Entrées!$C$197</f>
        <v>37.2547271174637</v>
      </c>
      <c r="D27" s="20" t="s">
        <v>220</v>
      </c>
      <c r="E27" s="20" t="s">
        <v>1471</v>
      </c>
      <c r="F27" s="2"/>
      <c r="G27" s="2"/>
    </row>
    <row r="28" customFormat="false" ht="15" hidden="false" customHeight="false" outlineLevel="0" collapsed="false">
      <c r="A28" s="2"/>
      <c r="B28" s="18" t="s">
        <v>1472</v>
      </c>
      <c r="C28" s="38"/>
      <c r="D28" s="20" t="s">
        <v>74</v>
      </c>
      <c r="E28" s="20" t="s">
        <v>1473</v>
      </c>
      <c r="F28" s="2"/>
      <c r="G28" s="2"/>
    </row>
    <row r="29" customFormat="false" ht="15" hidden="false" customHeight="false" outlineLevel="0" collapsed="false">
      <c r="A29" s="2"/>
      <c r="B29" s="18" t="s">
        <v>1474</v>
      </c>
      <c r="C29" s="62" t="n">
        <f aca="false">IF(ISNUMBER(C28),C28/Trajectoire!$D$41,0)</f>
        <v>0</v>
      </c>
      <c r="D29" s="20" t="s">
        <v>104</v>
      </c>
      <c r="E29" s="20" t="s">
        <v>1475</v>
      </c>
      <c r="F29" s="2"/>
      <c r="G29" s="2"/>
    </row>
    <row r="30" customFormat="false" ht="43.5" hidden="false" customHeight="true" outlineLevel="0" collapsed="false">
      <c r="A30" s="2"/>
      <c r="B30" s="58" t="s">
        <v>1476</v>
      </c>
      <c r="C30" s="58"/>
      <c r="D30" s="58"/>
      <c r="E30" s="58"/>
      <c r="F30" s="58"/>
      <c r="G30" s="2"/>
    </row>
  </sheetData>
  <mergeCells count="1">
    <mergeCell ref="B30:F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1477</v>
      </c>
      <c r="B1" s="2"/>
      <c r="C1" s="2"/>
      <c r="D1" s="2"/>
      <c r="E1" s="2"/>
      <c r="F1" s="2"/>
      <c r="G1" s="2"/>
      <c r="H1" s="2"/>
      <c r="I1" s="2"/>
    </row>
    <row r="2" customFormat="false" ht="15" hidden="false" customHeight="false" outlineLevel="0" collapsed="false">
      <c r="A2" s="3" t="s">
        <v>1478</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8" t="s">
        <v>951</v>
      </c>
      <c r="B4" s="18" t="s">
        <v>1479</v>
      </c>
      <c r="C4" s="2"/>
      <c r="D4" s="2"/>
      <c r="E4" s="2"/>
      <c r="F4" s="2"/>
      <c r="G4" s="2"/>
      <c r="H4" s="2"/>
      <c r="I4" s="2"/>
    </row>
    <row r="5" customFormat="false" ht="15" hidden="false" customHeight="false" outlineLevel="0" collapsed="false">
      <c r="A5" s="17"/>
      <c r="B5" s="17" t="s">
        <v>1480</v>
      </c>
      <c r="C5" s="17" t="s">
        <v>1481</v>
      </c>
      <c r="D5" s="17" t="s">
        <v>1482</v>
      </c>
      <c r="E5" s="17" t="s">
        <v>1483</v>
      </c>
      <c r="F5" s="17" t="s">
        <v>1332</v>
      </c>
      <c r="G5" s="2"/>
      <c r="H5" s="2"/>
      <c r="I5" s="2"/>
    </row>
    <row r="6" customFormat="false" ht="15" hidden="false" customHeight="false" outlineLevel="0" collapsed="false">
      <c r="A6" s="2"/>
      <c r="B6" s="5" t="s">
        <v>1484</v>
      </c>
      <c r="C6" s="48" t="n">
        <f aca="false">Trajectoire!$AC$46</f>
        <v>-500.000711943791</v>
      </c>
      <c r="D6" s="48" t="n">
        <f aca="false">Trajectoire!$D$46</f>
        <v>1570.67466937297</v>
      </c>
      <c r="E6" s="48" t="n">
        <f aca="false">Trajectoire!$AD$46</f>
        <v>3490.715111665</v>
      </c>
      <c r="F6" s="20"/>
      <c r="G6" s="2"/>
      <c r="H6" s="2"/>
      <c r="I6" s="2"/>
    </row>
    <row r="7" customFormat="false" ht="15" hidden="false" customHeight="false" outlineLevel="0" collapsed="false">
      <c r="A7" s="2"/>
      <c r="B7" s="5" t="s">
        <v>1485</v>
      </c>
      <c r="C7" s="48" t="n">
        <f aca="false">Trajectoire!$AC$57</f>
        <v>565.33630629566</v>
      </c>
      <c r="D7" s="48" t="n">
        <f aca="false">Trajectoire!$D$57</f>
        <v>4333.42681779325</v>
      </c>
      <c r="E7" s="48" t="n">
        <f aca="false">Trajectoire!$AD$57</f>
        <v>7354.90055648408</v>
      </c>
      <c r="F7" s="20"/>
      <c r="G7" s="2"/>
      <c r="H7" s="2"/>
      <c r="I7" s="2"/>
    </row>
    <row r="8" customFormat="false" ht="15" hidden="false" customHeight="false" outlineLevel="0" collapsed="false">
      <c r="A8" s="2"/>
      <c r="B8" s="18" t="s">
        <v>1253</v>
      </c>
      <c r="C8" s="57" t="n">
        <f aca="false">Trajectoire!$AC$58</f>
        <v>-500.000711943791</v>
      </c>
      <c r="D8" s="57" t="n">
        <f aca="false">Trajectoire!$D$58</f>
        <v>1570.67466937297</v>
      </c>
      <c r="E8" s="57" t="n">
        <f aca="false">Trajectoire!$AD$58</f>
        <v>3490.715111665</v>
      </c>
      <c r="F8" s="20" t="s">
        <v>1486</v>
      </c>
      <c r="G8" s="2"/>
      <c r="H8" s="2"/>
      <c r="I8" s="2"/>
    </row>
    <row r="9" customFormat="false" ht="15" hidden="false" customHeight="false" outlineLevel="0" collapsed="false">
      <c r="A9" s="2"/>
      <c r="B9" s="39" t="n">
        <v>8</v>
      </c>
      <c r="C9" s="52" t="n">
        <f aca="false">IF($B9&gt;Hypothèses!$C$26,MAX(0,C$8)/(1-Hypothèses!$C$26/$B9),0)</f>
        <v>0</v>
      </c>
      <c r="D9" s="52" t="n">
        <f aca="false">IF($B9&gt;Hypothèses!$C$26,MAX(0,D$8)/(1-Hypothèses!$C$26/$B9),0)</f>
        <v>2513.07947099675</v>
      </c>
      <c r="E9" s="52" t="n">
        <f aca="false">IF($B9&gt;Hypothèses!$C$26,MAX(0,E$8)/(1-Hypothèses!$C$26/$B9),0)</f>
        <v>5585.144178664</v>
      </c>
      <c r="F9" s="20" t="s">
        <v>1487</v>
      </c>
      <c r="G9" s="2"/>
      <c r="H9" s="2"/>
      <c r="I9" s="2"/>
    </row>
    <row r="10" customFormat="false" ht="15" hidden="false" customHeight="false" outlineLevel="0" collapsed="false">
      <c r="A10" s="2"/>
      <c r="B10" s="71" t="n">
        <f aca="false">Entrées!$C$53</f>
        <v>9.8</v>
      </c>
      <c r="C10" s="52" t="n">
        <f aca="false">IF($B10&gt;Hypothèses!$C$26,MAX(0,C$8)/(1-Hypothèses!$C$26/$B10),0)</f>
        <v>0</v>
      </c>
      <c r="D10" s="52" t="n">
        <f aca="false">IF($B10&gt;Hypothèses!$C$26,MAX(0,D$8)/(1-Hypothèses!$C$26/$B10),0)</f>
        <v>2263.61937644927</v>
      </c>
      <c r="E10" s="52" t="n">
        <f aca="false">IF($B10&gt;Hypothèses!$C$26,MAX(0,E$8)/(1-Hypothèses!$C$26/$B10),0)</f>
        <v>5030.73648445838</v>
      </c>
      <c r="F10" s="20" t="s">
        <v>1488</v>
      </c>
      <c r="G10" s="2"/>
      <c r="H10" s="2"/>
      <c r="I10" s="2"/>
    </row>
    <row r="11" customFormat="false" ht="15" hidden="false" customHeight="false" outlineLevel="0" collapsed="false">
      <c r="A11" s="2"/>
      <c r="B11" s="39" t="n">
        <v>12</v>
      </c>
      <c r="C11" s="52" t="n">
        <f aca="false">IF($B11&gt;Hypothèses!$C$26,MAX(0,C$8)/(1-Hypothèses!$C$26/$B11),0)</f>
        <v>0</v>
      </c>
      <c r="D11" s="52" t="n">
        <f aca="false">IF($B11&gt;Hypothèses!$C$26,MAX(0,D$8)/(1-Hypothèses!$C$26/$B11),0)</f>
        <v>2094.23289249729</v>
      </c>
      <c r="E11" s="52" t="n">
        <f aca="false">IF($B11&gt;Hypothèses!$C$26,MAX(0,E$8)/(1-Hypothèses!$C$26/$B11),0)</f>
        <v>4654.28681555333</v>
      </c>
      <c r="F11" s="20" t="s">
        <v>1489</v>
      </c>
      <c r="G11" s="2"/>
      <c r="H11" s="2"/>
      <c r="I11" s="2"/>
    </row>
    <row r="12" customFormat="false" ht="15" hidden="false" customHeight="false" outlineLevel="0" collapsed="false">
      <c r="A12" s="2"/>
      <c r="B12" s="71" t="n">
        <f aca="false">Entrées!$C$51*1000/Entrées!$C$56</f>
        <v>15</v>
      </c>
      <c r="C12" s="52" t="n">
        <f aca="false">IF($B12&gt;Hypothèses!$C$26,MAX(0,C$8)/(1-Hypothèses!$C$26/$B12),0)</f>
        <v>0</v>
      </c>
      <c r="D12" s="52" t="n">
        <f aca="false">IF($B12&gt;Hypothèses!$C$26,MAX(0,D$8)/(1-Hypothèses!$C$26/$B12),0)</f>
        <v>1963.34333671621</v>
      </c>
      <c r="E12" s="52" t="n">
        <f aca="false">IF($B12&gt;Hypothèses!$C$26,MAX(0,E$8)/(1-Hypothèses!$C$26/$B12),0)</f>
        <v>4363.39388958125</v>
      </c>
      <c r="F12" s="20" t="s">
        <v>1490</v>
      </c>
      <c r="G12" s="2"/>
      <c r="H12" s="2"/>
      <c r="I12" s="2"/>
    </row>
    <row r="13" customFormat="false" ht="15" hidden="false" customHeight="false" outlineLevel="0" collapsed="false">
      <c r="A13" s="2"/>
      <c r="B13" s="3" t="s">
        <v>1491</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18" t="s">
        <v>964</v>
      </c>
      <c r="B15" s="18" t="s">
        <v>1492</v>
      </c>
      <c r="C15" s="2"/>
      <c r="D15" s="2"/>
      <c r="E15" s="2"/>
      <c r="F15" s="2"/>
      <c r="G15" s="2"/>
      <c r="H15" s="2"/>
      <c r="I15" s="2"/>
    </row>
    <row r="16" customFormat="false" ht="15" hidden="false" customHeight="false" outlineLevel="0" collapsed="false">
      <c r="A16" s="2"/>
      <c r="B16" s="5" t="s">
        <v>1493</v>
      </c>
      <c r="C16" s="52" t="n">
        <f aca="false">Entrées!$C$51*1000</f>
        <v>3000</v>
      </c>
      <c r="D16" s="20" t="s">
        <v>220</v>
      </c>
      <c r="E16" s="20" t="s">
        <v>238</v>
      </c>
      <c r="F16" s="2"/>
      <c r="G16" s="2"/>
      <c r="H16" s="2"/>
      <c r="I16" s="2"/>
    </row>
    <row r="17" customFormat="false" ht="15" hidden="false" customHeight="false" outlineLevel="0" collapsed="false">
      <c r="A17" s="2"/>
      <c r="B17" s="5" t="s">
        <v>1494</v>
      </c>
      <c r="C17" s="48" t="n">
        <f aca="false">Entrées!$C$56</f>
        <v>200</v>
      </c>
      <c r="D17" s="20" t="s">
        <v>220</v>
      </c>
      <c r="E17" s="20" t="s">
        <v>261</v>
      </c>
      <c r="F17" s="2"/>
      <c r="G17" s="2"/>
      <c r="H17" s="2"/>
      <c r="I17" s="2"/>
    </row>
    <row r="18" customFormat="false" ht="15" hidden="false" customHeight="false" outlineLevel="0" collapsed="false">
      <c r="A18" s="2"/>
      <c r="B18" s="5" t="s">
        <v>1495</v>
      </c>
      <c r="C18" s="48" t="n">
        <f aca="false">Entrées!$C$54</f>
        <v>120</v>
      </c>
      <c r="D18" s="20" t="s">
        <v>220</v>
      </c>
      <c r="E18" s="20" t="s">
        <v>253</v>
      </c>
      <c r="F18" s="2"/>
      <c r="G18" s="2"/>
      <c r="H18" s="2"/>
      <c r="I18" s="2"/>
    </row>
    <row r="19" customFormat="false" ht="15" hidden="false" customHeight="false" outlineLevel="0" collapsed="false">
      <c r="A19" s="2"/>
      <c r="B19" s="18" t="s">
        <v>1496</v>
      </c>
      <c r="C19" s="97" t="n">
        <f aca="false">C16/C17</f>
        <v>15</v>
      </c>
      <c r="D19" s="20" t="s">
        <v>104</v>
      </c>
      <c r="E19" s="20"/>
      <c r="F19" s="2"/>
      <c r="G19" s="2"/>
      <c r="H19" s="2"/>
      <c r="I19" s="2"/>
    </row>
    <row r="20" customFormat="false" ht="15" hidden="false" customHeight="false" outlineLevel="0" collapsed="false">
      <c r="A20" s="2"/>
      <c r="B20" s="18" t="s">
        <v>1497</v>
      </c>
      <c r="C20" s="97" t="n">
        <f aca="false">C16/(C17+C18)</f>
        <v>9.375</v>
      </c>
      <c r="D20" s="20" t="s">
        <v>104</v>
      </c>
      <c r="E20" s="20"/>
      <c r="F20" s="2"/>
      <c r="G20" s="2"/>
      <c r="H20" s="2"/>
      <c r="I20" s="2"/>
    </row>
    <row r="21" customFormat="false" ht="15" hidden="false" customHeight="false" outlineLevel="0" collapsed="false">
      <c r="A21" s="2"/>
      <c r="B21" s="5" t="s">
        <v>1498</v>
      </c>
      <c r="C21" s="71" t="n">
        <f aca="false">Entrées!$C$53</f>
        <v>9.8</v>
      </c>
      <c r="D21" s="20" t="s">
        <v>104</v>
      </c>
      <c r="E21" s="20" t="s">
        <v>249</v>
      </c>
      <c r="F21" s="2"/>
      <c r="G21" s="2"/>
      <c r="H21" s="2"/>
      <c r="I21" s="2"/>
    </row>
    <row r="22" customFormat="false" ht="30" hidden="false" customHeight="true" outlineLevel="0" collapsed="false">
      <c r="A22" s="2"/>
      <c r="B22" s="58" t="s">
        <v>1499</v>
      </c>
      <c r="C22" s="58"/>
      <c r="D22" s="58"/>
      <c r="E22" s="58"/>
      <c r="F22" s="58"/>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18" t="s">
        <v>1047</v>
      </c>
      <c r="B24" s="18" t="s">
        <v>1500</v>
      </c>
      <c r="C24" s="2"/>
      <c r="D24" s="2"/>
      <c r="E24" s="2"/>
      <c r="F24" s="2"/>
      <c r="G24" s="2"/>
      <c r="H24" s="2"/>
      <c r="I24" s="2"/>
    </row>
    <row r="25" customFormat="false" ht="23.85" hidden="false" customHeight="false" outlineLevel="0" collapsed="false">
      <c r="A25" s="17"/>
      <c r="B25" s="17" t="s">
        <v>1501</v>
      </c>
      <c r="C25" s="17" t="s">
        <v>1391</v>
      </c>
      <c r="D25" s="17" t="s">
        <v>1502</v>
      </c>
      <c r="E25" s="17" t="s">
        <v>1503</v>
      </c>
      <c r="F25" s="17" t="s">
        <v>1504</v>
      </c>
      <c r="G25" s="17" t="s">
        <v>1505</v>
      </c>
      <c r="H25" s="17" t="s">
        <v>67</v>
      </c>
      <c r="I25" s="17" t="s">
        <v>68</v>
      </c>
    </row>
    <row r="26" customFormat="false" ht="15" hidden="false" customHeight="false" outlineLevel="0" collapsed="false">
      <c r="A26" s="2"/>
      <c r="B26" s="99" t="s">
        <v>1506</v>
      </c>
      <c r="C26" s="99" t="s">
        <v>1399</v>
      </c>
      <c r="D26" s="99" t="s">
        <v>1507</v>
      </c>
      <c r="E26" s="48" t="n">
        <f aca="false">-Entrées!$C$81</f>
        <v>2778</v>
      </c>
      <c r="F26" s="71" t="n">
        <f aca="false">Entrées!$C$53</f>
        <v>9.8</v>
      </c>
      <c r="G26" s="5" t="str">
        <f aca="false">IF(AND(ISNUMBER(E26),ISNUMBER(F26)),IF(E26&lt;=IF(F26&gt;Hypothèses!$C$26,MAX(0,$D$8)/(1-Hypothèses!$C$26/F26),0),"oui","non"),"")</f>
        <v>non</v>
      </c>
      <c r="H26" s="20" t="s">
        <v>120</v>
      </c>
      <c r="I26" s="20" t="n">
        <v>25</v>
      </c>
    </row>
    <row r="27" customFormat="false" ht="15" hidden="false" customHeight="false" outlineLevel="0" collapsed="false">
      <c r="A27" s="2"/>
      <c r="B27" s="94"/>
      <c r="C27" s="94"/>
      <c r="D27" s="94"/>
      <c r="E27" s="38"/>
      <c r="F27" s="100"/>
      <c r="G27" s="5" t="str">
        <f aca="false">IF(AND(ISNUMBER(E27),ISNUMBER(F27)),IF(E27&lt;=IF(F27&gt;Hypothèses!$C$26,MAX(0,$D$8)/(1-Hypothèses!$C$26/F27),0),"oui","non"),"")</f>
        <v/>
      </c>
      <c r="H27" s="94"/>
      <c r="I27" s="94"/>
    </row>
    <row r="28" customFormat="false" ht="15" hidden="false" customHeight="false" outlineLevel="0" collapsed="false">
      <c r="A28" s="2"/>
      <c r="B28" s="94"/>
      <c r="C28" s="94"/>
      <c r="D28" s="94"/>
      <c r="E28" s="38"/>
      <c r="F28" s="100"/>
      <c r="G28" s="5" t="str">
        <f aca="false">IF(AND(ISNUMBER(E28),ISNUMBER(F28)),IF(E28&lt;=IF(F28&gt;Hypothèses!$C$26,MAX(0,$D$8)/(1-Hypothèses!$C$26/F28),0),"oui","non"),"")</f>
        <v/>
      </c>
      <c r="H28" s="94"/>
      <c r="I28" s="94"/>
    </row>
    <row r="29" customFormat="false" ht="15" hidden="false" customHeight="false" outlineLevel="0" collapsed="false">
      <c r="A29" s="2"/>
      <c r="B29" s="94"/>
      <c r="C29" s="94"/>
      <c r="D29" s="94"/>
      <c r="E29" s="38"/>
      <c r="F29" s="100"/>
      <c r="G29" s="5" t="str">
        <f aca="false">IF(AND(ISNUMBER(E29),ISNUMBER(F29)),IF(E29&lt;=IF(F29&gt;Hypothèses!$C$26,MAX(0,$D$8)/(1-Hypothèses!$C$26/F29),0),"oui","non"),"")</f>
        <v/>
      </c>
      <c r="H29" s="94"/>
      <c r="I29" s="94"/>
    </row>
    <row r="30" customFormat="false" ht="15" hidden="false" customHeight="false" outlineLevel="0" collapsed="false">
      <c r="A30" s="2"/>
      <c r="B30" s="94"/>
      <c r="C30" s="94"/>
      <c r="D30" s="94"/>
      <c r="E30" s="38"/>
      <c r="F30" s="100"/>
      <c r="G30" s="5" t="str">
        <f aca="false">IF(AND(ISNUMBER(E30),ISNUMBER(F30)),IF(E30&lt;=IF(F30&gt;Hypothèses!$C$26,MAX(0,$D$8)/(1-Hypothèses!$C$26/F30),0),"oui","non"),"")</f>
        <v/>
      </c>
      <c r="H30" s="94"/>
      <c r="I30" s="94"/>
    </row>
    <row r="31" customFormat="false" ht="15" hidden="false" customHeight="false" outlineLevel="0" collapsed="false">
      <c r="A31" s="2"/>
      <c r="B31" s="94"/>
      <c r="C31" s="94"/>
      <c r="D31" s="94"/>
      <c r="E31" s="38"/>
      <c r="F31" s="100"/>
      <c r="G31" s="5" t="str">
        <f aca="false">IF(AND(ISNUMBER(E31),ISNUMBER(F31)),IF(E31&lt;=IF(F31&gt;Hypothèses!$C$26,MAX(0,$D$8)/(1-Hypothèses!$C$26/F31),0),"oui","non"),"")</f>
        <v/>
      </c>
      <c r="H31" s="94"/>
      <c r="I31" s="94"/>
    </row>
    <row r="32" customFormat="false" ht="15" hidden="false" customHeight="false" outlineLevel="0" collapsed="false">
      <c r="A32" s="2"/>
      <c r="B32" s="94"/>
      <c r="C32" s="94"/>
      <c r="D32" s="94"/>
      <c r="E32" s="38"/>
      <c r="F32" s="100"/>
      <c r="G32" s="5" t="str">
        <f aca="false">IF(AND(ISNUMBER(E32),ISNUMBER(F32)),IF(E32&lt;=IF(F32&gt;Hypothèses!$C$26,MAX(0,$D$8)/(1-Hypothèses!$C$26/F32),0),"oui","non"),"")</f>
        <v/>
      </c>
      <c r="H32" s="94"/>
      <c r="I32" s="94"/>
    </row>
    <row r="33" customFormat="false" ht="15" hidden="false" customHeight="false" outlineLevel="0" collapsed="false">
      <c r="A33" s="2"/>
      <c r="B33" s="94"/>
      <c r="C33" s="94"/>
      <c r="D33" s="94"/>
      <c r="E33" s="38"/>
      <c r="F33" s="100"/>
      <c r="G33" s="5" t="str">
        <f aca="false">IF(AND(ISNUMBER(E33),ISNUMBER(F33)),IF(E33&lt;=IF(F33&gt;Hypothèses!$C$26,MAX(0,$D$8)/(1-Hypothèses!$C$26/F33),0),"oui","non"),"")</f>
        <v/>
      </c>
      <c r="H33" s="94"/>
      <c r="I33" s="94"/>
    </row>
    <row r="34" customFormat="false" ht="15" hidden="false" customHeight="false" outlineLevel="0" collapsed="false">
      <c r="A34" s="2"/>
      <c r="B34" s="94"/>
      <c r="C34" s="94"/>
      <c r="D34" s="94"/>
      <c r="E34" s="38"/>
      <c r="F34" s="100"/>
      <c r="G34" s="5" t="str">
        <f aca="false">IF(AND(ISNUMBER(E34),ISNUMBER(F34)),IF(E34&lt;=IF(F34&gt;Hypothèses!$C$26,MAX(0,$D$8)/(1-Hypothèses!$C$26/F34),0),"oui","non"),"")</f>
        <v/>
      </c>
      <c r="H34" s="94"/>
      <c r="I34" s="94"/>
    </row>
    <row r="35" customFormat="false" ht="15" hidden="false" customHeight="false" outlineLevel="0" collapsed="false">
      <c r="A35" s="2"/>
      <c r="B35" s="3" t="s">
        <v>1508</v>
      </c>
      <c r="C35" s="2"/>
      <c r="D35" s="2"/>
      <c r="E35" s="2"/>
      <c r="F35" s="2"/>
      <c r="G35" s="2"/>
      <c r="H35" s="2"/>
      <c r="I35" s="2"/>
    </row>
  </sheetData>
  <mergeCells count="1">
    <mergeCell ref="B22:F2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1509</v>
      </c>
      <c r="B1" s="2"/>
      <c r="C1" s="2"/>
      <c r="D1" s="2"/>
      <c r="E1" s="2"/>
      <c r="F1" s="2"/>
      <c r="G1" s="2"/>
    </row>
    <row r="2" customFormat="false" ht="15" hidden="false" customHeight="false" outlineLevel="0" collapsed="false">
      <c r="A2" s="3" t="s">
        <v>1510</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7" t="s">
        <v>1511</v>
      </c>
      <c r="B4" s="17" t="s">
        <v>1512</v>
      </c>
      <c r="C4" s="17" t="s">
        <v>1513</v>
      </c>
      <c r="D4" s="17" t="s">
        <v>1514</v>
      </c>
      <c r="E4" s="17" t="s">
        <v>1515</v>
      </c>
      <c r="F4" s="17" t="s">
        <v>1516</v>
      </c>
      <c r="G4" s="17" t="s">
        <v>1517</v>
      </c>
    </row>
    <row r="5" customFormat="false" ht="27.75" hidden="false" customHeight="true" outlineLevel="0" collapsed="false">
      <c r="A5" s="21" t="n">
        <v>1</v>
      </c>
      <c r="B5" s="33" t="s">
        <v>1518</v>
      </c>
      <c r="C5" s="50" t="n">
        <f aca="false">Levier!$C$8</f>
        <v>2.62507365939894</v>
      </c>
      <c r="D5" s="50" t="n">
        <f aca="false">Levier!$C$9</f>
        <v>2.63</v>
      </c>
      <c r="E5" s="101" t="n">
        <v>0.006</v>
      </c>
      <c r="F5" s="102" t="str">
        <f aca="false">IF(ABS(C5-D5)&lt;=E5,"OK","ÉCART")</f>
        <v>OK</v>
      </c>
      <c r="G5" s="20" t="s">
        <v>1519</v>
      </c>
    </row>
    <row r="6" customFormat="false" ht="27.75" hidden="false" customHeight="true" outlineLevel="0" collapsed="false">
      <c r="A6" s="21" t="n">
        <v>2</v>
      </c>
      <c r="B6" s="33" t="s">
        <v>1520</v>
      </c>
      <c r="C6" s="50" t="n">
        <f aca="false">Levier!$C$12</f>
        <v>2.78822695035461</v>
      </c>
      <c r="D6" s="50" t="n">
        <f aca="false">Levier!$C$13</f>
        <v>2.79</v>
      </c>
      <c r="E6" s="101" t="n">
        <v>0.006</v>
      </c>
      <c r="F6" s="102" t="str">
        <f aca="false">IF(ABS(C6-D6)&lt;=E6,"OK","ÉCART")</f>
        <v>OK</v>
      </c>
      <c r="G6" s="20" t="s">
        <v>1519</v>
      </c>
    </row>
    <row r="7" customFormat="false" ht="27.75" hidden="false" customHeight="true" outlineLevel="0" collapsed="false">
      <c r="A7" s="21" t="n">
        <v>3</v>
      </c>
      <c r="B7" s="33" t="s">
        <v>1521</v>
      </c>
      <c r="C7" s="48" t="n">
        <f aca="false">'Pont de dette'!$C$16</f>
        <v>24547</v>
      </c>
      <c r="D7" s="48" t="n">
        <f aca="false">'Pont de dette'!$C$17</f>
        <v>24548</v>
      </c>
      <c r="E7" s="103" t="n">
        <v>2</v>
      </c>
      <c r="F7" s="102" t="str">
        <f aca="false">IF(ABS(C7-D7)&lt;=E7,"OK","ÉCART")</f>
        <v>OK</v>
      </c>
      <c r="G7" s="20" t="s">
        <v>1519</v>
      </c>
    </row>
    <row r="8" customFormat="false" ht="27.75" hidden="false" customHeight="true" outlineLevel="0" collapsed="false">
      <c r="A8" s="21" t="n">
        <v>4</v>
      </c>
      <c r="B8" s="33" t="s">
        <v>1522</v>
      </c>
      <c r="C8" s="60" t="n">
        <f aca="false">Cessions!$C$9</f>
        <v>3.1</v>
      </c>
      <c r="D8" s="60" t="n">
        <f aca="false">Cessions!$C$10</f>
        <v>3.1</v>
      </c>
      <c r="E8" s="104" t="n">
        <v>0.001</v>
      </c>
      <c r="F8" s="102" t="str">
        <f aca="false">IF(ABS(C8-D8)&lt;=E8,"OK","ÉCART")</f>
        <v>OK</v>
      </c>
      <c r="G8" s="20" t="s">
        <v>1519</v>
      </c>
    </row>
    <row r="9" customFormat="false" ht="27.75" hidden="false" customHeight="true" outlineLevel="0" collapsed="false">
      <c r="A9" s="21" t="n">
        <v>5</v>
      </c>
      <c r="B9" s="33" t="s">
        <v>1523</v>
      </c>
      <c r="C9" s="48" t="n">
        <f aca="false">ESG!$C$14</f>
        <v>1214</v>
      </c>
      <c r="D9" s="48" t="n">
        <f aca="false">Entrées!$C$105</f>
        <v>1214</v>
      </c>
      <c r="E9" s="103" t="n">
        <v>0.5</v>
      </c>
      <c r="F9" s="102" t="str">
        <f aca="false">IF(ABS(C9-D9)&lt;=E9,"OK","ÉCART")</f>
        <v>OK</v>
      </c>
      <c r="G9" s="20" t="s">
        <v>1519</v>
      </c>
    </row>
    <row r="10" customFormat="false" ht="27.75" hidden="false" customHeight="true" outlineLevel="0" collapsed="false">
      <c r="A10" s="21" t="n">
        <v>6</v>
      </c>
      <c r="B10" s="33" t="s">
        <v>1524</v>
      </c>
      <c r="C10" s="52" t="n">
        <f aca="false">Entrées!$C$32*Entrées!$C$91/1000000</f>
        <v>1097.5460085</v>
      </c>
      <c r="D10" s="48" t="n">
        <f aca="false">Entrées!$C$79</f>
        <v>1099</v>
      </c>
      <c r="E10" s="103" t="n">
        <v>15</v>
      </c>
      <c r="F10" s="102" t="str">
        <f aca="false">IF(ABS(C10-D10)&lt;=E10,"OK","ÉCART")</f>
        <v>OK</v>
      </c>
      <c r="G10" s="20" t="s">
        <v>1519</v>
      </c>
    </row>
    <row r="11" customFormat="false" ht="27.75" hidden="false" customHeight="true" outlineLevel="0" collapsed="false">
      <c r="A11" s="21" t="n">
        <v>7</v>
      </c>
      <c r="B11" s="33" t="s">
        <v>1525</v>
      </c>
      <c r="C11" s="50" t="n">
        <f aca="false">Trajectoire!$D$33</f>
        <v>3.01771731406222</v>
      </c>
      <c r="D11" s="101" t="n">
        <v>3.075</v>
      </c>
      <c r="E11" s="101" t="n">
        <v>0.075</v>
      </c>
      <c r="F11" s="102" t="str">
        <f aca="false">IF(ABS(C11-D11)&lt;=E11,"OK","ÉCART")</f>
        <v>OK</v>
      </c>
      <c r="G11" s="20" t="s">
        <v>1519</v>
      </c>
    </row>
    <row r="12" customFormat="false" ht="27.75" hidden="false" customHeight="true" outlineLevel="0" collapsed="false">
      <c r="A12" s="21" t="n">
        <v>8</v>
      </c>
      <c r="B12" s="33" t="s">
        <v>1526</v>
      </c>
      <c r="C12" s="77" t="n">
        <f aca="false">Hypothèses!$C$19</f>
        <v>1.17584579071597</v>
      </c>
      <c r="D12" s="105" t="n">
        <v>1.175</v>
      </c>
      <c r="E12" s="105" t="n">
        <v>0.125</v>
      </c>
      <c r="F12" s="102" t="str">
        <f aca="false">IF(ABS(C12-D12)&lt;=E12,"OK","ÉCART")</f>
        <v>OK</v>
      </c>
      <c r="G12" s="20" t="s">
        <v>1519</v>
      </c>
    </row>
    <row r="13" customFormat="false" ht="27.75" hidden="false" customHeight="true" outlineLevel="0" collapsed="false">
      <c r="A13" s="21" t="n">
        <v>9</v>
      </c>
      <c r="B13" s="33" t="s">
        <v>1527</v>
      </c>
      <c r="C13" s="60" t="n">
        <f aca="false">Cessions!$C$16</f>
        <v>0.5</v>
      </c>
      <c r="D13" s="60" t="n">
        <f aca="false">Cessions!$C$17</f>
        <v>0.5</v>
      </c>
      <c r="E13" s="104" t="n">
        <v>0.001</v>
      </c>
      <c r="F13" s="102" t="str">
        <f aca="false">IF(ABS(C13-D13)&lt;=E13,"OK","ÉCART")</f>
        <v>OK</v>
      </c>
      <c r="G13" s="20" t="s">
        <v>1519</v>
      </c>
    </row>
    <row r="14" customFormat="false" ht="27.75" hidden="false" customHeight="true" outlineLevel="0" collapsed="false">
      <c r="A14" s="21" t="n">
        <v>10</v>
      </c>
      <c r="B14" s="33" t="s">
        <v>1528</v>
      </c>
      <c r="C14" s="52" t="n">
        <f aca="false">-Entrées!$C$124*1000</f>
        <v>400</v>
      </c>
      <c r="D14" s="48" t="n">
        <f aca="false">Entrées!$C$126</f>
        <v>397</v>
      </c>
      <c r="E14" s="103" t="n">
        <v>60</v>
      </c>
      <c r="F14" s="102" t="str">
        <f aca="false">IF(ABS(C14-D14)&lt;=E14,"OK","ÉCART")</f>
        <v>OK</v>
      </c>
      <c r="G14" s="20" t="s">
        <v>1519</v>
      </c>
    </row>
    <row r="15" customFormat="false" ht="27.75" hidden="false" customHeight="true" outlineLevel="0" collapsed="false">
      <c r="A15" s="21" t="n">
        <v>11</v>
      </c>
      <c r="B15" s="33" t="s">
        <v>1529</v>
      </c>
      <c r="C15" s="48" t="n">
        <f aca="false">Levier!$C$30</f>
        <v>24000</v>
      </c>
      <c r="D15" s="103" t="n">
        <v>24000</v>
      </c>
      <c r="E15" s="103" t="n">
        <v>1</v>
      </c>
      <c r="F15" s="102" t="str">
        <f aca="false">IF(ABS(C15-D15)&lt;=E15,"OK","ÉCART")</f>
        <v>OK</v>
      </c>
      <c r="G15" s="20" t="s">
        <v>1519</v>
      </c>
    </row>
    <row r="16" customFormat="false" ht="27.75" hidden="false" customHeight="true" outlineLevel="0" collapsed="false">
      <c r="A16" s="21" t="n">
        <v>12</v>
      </c>
      <c r="B16" s="33" t="s">
        <v>1530</v>
      </c>
      <c r="C16" s="66" t="n">
        <f aca="false">Trajectoire!$D$52</f>
        <v>0.193486847370753</v>
      </c>
      <c r="D16" s="66" t="n">
        <f aca="false">Entrées!$C$232/100</f>
        <v>0.185</v>
      </c>
      <c r="E16" s="106" t="n">
        <v>0.02</v>
      </c>
      <c r="F16" s="102" t="str">
        <f aca="false">IF(ABS(C16-D16)&lt;=E16,"OK","ÉCART")</f>
        <v>OK</v>
      </c>
      <c r="G16" s="20" t="s">
        <v>1519</v>
      </c>
    </row>
    <row r="17" customFormat="false" ht="27.75" hidden="false" customHeight="true" outlineLevel="0" collapsed="false">
      <c r="A17" s="21" t="n">
        <v>13</v>
      </c>
      <c r="B17" s="33" t="s">
        <v>1531</v>
      </c>
      <c r="C17" s="66" t="n">
        <f aca="false">Trajectoire!$D$56</f>
        <v>0.207738254508974</v>
      </c>
      <c r="D17" s="66" t="n">
        <f aca="false">Entrées!$C$233/100</f>
        <v>0.195</v>
      </c>
      <c r="E17" s="106" t="n">
        <v>0.025</v>
      </c>
      <c r="F17" s="102" t="str">
        <f aca="false">IF(ABS(C17-D17)&lt;=E17,"OK","ÉCART")</f>
        <v>OK</v>
      </c>
      <c r="G17" s="20" t="s">
        <v>1519</v>
      </c>
    </row>
    <row r="18" customFormat="false" ht="27.75" hidden="false" customHeight="true" outlineLevel="0" collapsed="false">
      <c r="A18" s="21" t="n">
        <v>14</v>
      </c>
      <c r="B18" s="33" t="s">
        <v>1532</v>
      </c>
      <c r="C18" s="48" t="n">
        <f aca="false">Levier!$C$51</f>
        <v>29518</v>
      </c>
      <c r="D18" s="48" t="n">
        <f aca="false">Entrées!$C$259</f>
        <v>29518</v>
      </c>
      <c r="E18" s="103" t="n">
        <v>1</v>
      </c>
      <c r="F18" s="102" t="str">
        <f aca="false">IF(ABS(C18-D18)&lt;=E18,"OK","ÉCART")</f>
        <v>OK</v>
      </c>
      <c r="G18" s="20" t="s">
        <v>1519</v>
      </c>
    </row>
    <row r="19" customFormat="false" ht="27.75" hidden="false" customHeight="true" outlineLevel="0" collapsed="false">
      <c r="A19" s="21" t="n">
        <v>15</v>
      </c>
      <c r="B19" s="33" t="s">
        <v>1533</v>
      </c>
      <c r="C19" s="48" t="n">
        <f aca="false">Levier!$C$56</f>
        <v>34879</v>
      </c>
      <c r="D19" s="48" t="n">
        <f aca="false">Levier!$C$57</f>
        <v>34879</v>
      </c>
      <c r="E19" s="103" t="n">
        <v>1</v>
      </c>
      <c r="F19" s="102" t="str">
        <f aca="false">IF(ABS(C19-D19)&lt;=E19,"OK","ÉCART")</f>
        <v>OK</v>
      </c>
      <c r="G19" s="20" t="s">
        <v>1519</v>
      </c>
    </row>
    <row r="20" customFormat="false" ht="27.75" hidden="false" customHeight="true" outlineLevel="0" collapsed="false">
      <c r="A20" s="21" t="n">
        <v>16</v>
      </c>
      <c r="B20" s="33" t="s">
        <v>1534</v>
      </c>
      <c r="C20" s="48" t="n">
        <f aca="false">Levier!$C$59</f>
        <v>25404</v>
      </c>
      <c r="D20" s="48" t="n">
        <f aca="false">Levier!$C$60</f>
        <v>25404</v>
      </c>
      <c r="E20" s="103" t="n">
        <v>1</v>
      </c>
      <c r="F20" s="102" t="str">
        <f aca="false">IF(ABS(C20-D20)&lt;=E20,"OK","ÉCART")</f>
        <v>OK</v>
      </c>
      <c r="G20" s="20" t="s">
        <v>1519</v>
      </c>
    </row>
    <row r="21" customFormat="false" ht="27.75" hidden="false" customHeight="true" outlineLevel="0" collapsed="false">
      <c r="A21" s="21" t="n">
        <v>17</v>
      </c>
      <c r="B21" s="33" t="s">
        <v>1535</v>
      </c>
      <c r="C21" s="48" t="n">
        <f aca="false">Levier!$C$44</f>
        <v>5156.2</v>
      </c>
      <c r="D21" s="48" t="n">
        <f aca="false">Levier!$C$67</f>
        <v>5160</v>
      </c>
      <c r="E21" s="103" t="n">
        <v>60</v>
      </c>
      <c r="F21" s="102" t="str">
        <f aca="false">IF(ABS(C21-D21)&lt;=E21,"OK","ÉCART")</f>
        <v>OK</v>
      </c>
      <c r="G21" s="20" t="s">
        <v>1519</v>
      </c>
    </row>
    <row r="22" customFormat="false" ht="27.75" hidden="false" customHeight="true" outlineLevel="0" collapsed="false">
      <c r="A22" s="21" t="n">
        <v>18</v>
      </c>
      <c r="B22" s="33" t="s">
        <v>1536</v>
      </c>
      <c r="C22" s="48" t="n">
        <f aca="false">Levier!$C$61</f>
        <v>19821</v>
      </c>
      <c r="D22" s="48" t="n">
        <f aca="false">Entrées!$C$13</f>
        <v>19657</v>
      </c>
      <c r="E22" s="43" t="s">
        <v>879</v>
      </c>
      <c r="F22" s="102" t="s">
        <v>1537</v>
      </c>
      <c r="G22" s="20" t="s">
        <v>1538</v>
      </c>
    </row>
    <row r="23" customFormat="false" ht="27.75" hidden="false" customHeight="true" outlineLevel="0" collapsed="false">
      <c r="A23" s="21" t="n">
        <v>19</v>
      </c>
      <c r="B23" s="33" t="s">
        <v>1539</v>
      </c>
      <c r="C23" s="66" t="n">
        <f aca="false">Segments!$G$16</f>
        <v>0.126449852171935</v>
      </c>
      <c r="D23" s="66" t="n">
        <f aca="false">Segments!$G$19</f>
        <v>0.126</v>
      </c>
      <c r="E23" s="106" t="n">
        <v>0.002</v>
      </c>
      <c r="F23" s="102" t="str">
        <f aca="false">IF(ABS(C23-D23)&lt;=E23,"OK","ÉCART")</f>
        <v>OK</v>
      </c>
      <c r="G23" s="20" t="s">
        <v>1519</v>
      </c>
    </row>
    <row r="24" customFormat="false" ht="27.75" hidden="false" customHeight="true" outlineLevel="0" collapsed="false">
      <c r="A24" s="21" t="n">
        <v>20</v>
      </c>
      <c r="B24" s="33" t="s">
        <v>1540</v>
      </c>
      <c r="C24" s="66" t="n">
        <f aca="false">Entrées!$C$213/1000/Entrées!$C$212</f>
        <v>0.193993997479605</v>
      </c>
      <c r="D24" s="66" t="n">
        <f aca="false">Booster!$G$39</f>
        <v>0.194</v>
      </c>
      <c r="E24" s="106" t="n">
        <v>0.002</v>
      </c>
      <c r="F24" s="102" t="str">
        <f aca="false">IF(ABS(C24-D24)&lt;=E24,"OK","ÉCART")</f>
        <v>OK</v>
      </c>
      <c r="G24" s="20" t="s">
        <v>1519</v>
      </c>
    </row>
    <row r="25" customFormat="false" ht="27.75" hidden="false" customHeight="true" outlineLevel="0" collapsed="false">
      <c r="A25" s="21" t="n">
        <v>21</v>
      </c>
      <c r="B25" s="33" t="s">
        <v>1541</v>
      </c>
      <c r="C25" s="48" t="n">
        <f aca="false">Segments!$F$12</f>
        <v>139</v>
      </c>
      <c r="D25" s="103" t="n">
        <v>139</v>
      </c>
      <c r="E25" s="103" t="n">
        <v>60</v>
      </c>
      <c r="F25" s="102" t="str">
        <f aca="false">IF(ABS(C25-D25)&lt;=E25,"OK","ÉCART")</f>
        <v>OK</v>
      </c>
      <c r="G25" s="20" t="s">
        <v>1519</v>
      </c>
    </row>
    <row r="26" customFormat="false" ht="27.75" hidden="false" customHeight="true" outlineLevel="0" collapsed="false">
      <c r="A26" s="21" t="n">
        <v>22</v>
      </c>
      <c r="B26" s="33" t="s">
        <v>1542</v>
      </c>
      <c r="C26" s="60" t="n">
        <f aca="false">Segments!$F$38</f>
        <v>17.485</v>
      </c>
      <c r="D26" s="104" t="n">
        <v>18</v>
      </c>
      <c r="E26" s="43" t="s">
        <v>879</v>
      </c>
      <c r="F26" s="102" t="s">
        <v>1537</v>
      </c>
      <c r="G26" s="20" t="s">
        <v>1538</v>
      </c>
    </row>
    <row r="27" customFormat="false" ht="27.75" hidden="false" customHeight="true" outlineLevel="0" collapsed="false">
      <c r="A27" s="21" t="n">
        <v>23</v>
      </c>
      <c r="B27" s="33" t="s">
        <v>1543</v>
      </c>
      <c r="C27" s="48" t="n">
        <f aca="false">Segments!$E$31</f>
        <v>8094.42222686603</v>
      </c>
      <c r="D27" s="103" t="n">
        <v>8000</v>
      </c>
      <c r="E27" s="43" t="s">
        <v>879</v>
      </c>
      <c r="F27" s="102" t="s">
        <v>1537</v>
      </c>
      <c r="G27" s="20" t="s">
        <v>1538</v>
      </c>
    </row>
    <row r="28" customFormat="false" ht="27.75" hidden="false" customHeight="true" outlineLevel="0" collapsed="false">
      <c r="A28" s="21" t="n">
        <v>24</v>
      </c>
      <c r="B28" s="33" t="s">
        <v>1544</v>
      </c>
      <c r="C28" s="48" t="n">
        <f aca="false">Trajectoire!$D$50</f>
        <v>28416</v>
      </c>
      <c r="D28" s="103" t="n">
        <v>29000</v>
      </c>
      <c r="E28" s="103" t="n">
        <v>1500</v>
      </c>
      <c r="F28" s="102" t="str">
        <f aca="false">IF(ABS(C28-D28)&lt;=E28,"OK","ÉCART")</f>
        <v>OK</v>
      </c>
      <c r="G28" s="20" t="s">
        <v>1519</v>
      </c>
    </row>
    <row r="29" customFormat="false" ht="27.75" hidden="false" customHeight="true" outlineLevel="0" collapsed="false">
      <c r="A29" s="21" t="n">
        <v>25</v>
      </c>
      <c r="B29" s="33" t="s">
        <v>1545</v>
      </c>
      <c r="C29" s="48" t="n">
        <f aca="false">Trajectoire!$D$41</f>
        <v>7981.43050727668</v>
      </c>
      <c r="D29" s="48" t="n">
        <f aca="false">Entrées!$C$17*1000</f>
        <v>8000</v>
      </c>
      <c r="E29" s="43" t="s">
        <v>879</v>
      </c>
      <c r="F29" s="102" t="s">
        <v>1537</v>
      </c>
      <c r="G29" s="20" t="s">
        <v>1538</v>
      </c>
    </row>
    <row r="30" customFormat="false" ht="27.75" hidden="false" customHeight="true" outlineLevel="0" collapsed="false">
      <c r="A30" s="21" t="n">
        <v>26</v>
      </c>
      <c r="B30" s="33" t="s">
        <v>1546</v>
      </c>
      <c r="C30" s="48" t="n">
        <f aca="false">Levier!$C$46</f>
        <v>-63.7999999999993</v>
      </c>
      <c r="D30" s="103" t="n">
        <v>0</v>
      </c>
      <c r="E30" s="43" t="s">
        <v>879</v>
      </c>
      <c r="F30" s="102" t="s">
        <v>1537</v>
      </c>
      <c r="G30" s="20" t="s">
        <v>1538</v>
      </c>
    </row>
    <row r="31" customFormat="false" ht="27.75" hidden="false" customHeight="true" outlineLevel="0" collapsed="false">
      <c r="A31" s="21" t="n">
        <v>27</v>
      </c>
      <c r="B31" s="33" t="s">
        <v>1547</v>
      </c>
      <c r="C31" s="48" t="n">
        <f aca="false">'Pont de dette'!$C$35</f>
        <v>398</v>
      </c>
      <c r="D31" s="103" t="n">
        <v>0</v>
      </c>
      <c r="E31" s="43" t="s">
        <v>879</v>
      </c>
      <c r="F31" s="102" t="s">
        <v>1537</v>
      </c>
      <c r="G31" s="20" t="s">
        <v>1538</v>
      </c>
    </row>
    <row r="32" customFormat="false" ht="27.75" hidden="false" customHeight="true" outlineLevel="0" collapsed="false">
      <c r="A32" s="21" t="n">
        <v>28</v>
      </c>
      <c r="B32" s="33" t="s">
        <v>1548</v>
      </c>
      <c r="C32" s="48" t="n">
        <f aca="false">'Pont de dette'!$C$20</f>
        <v>236</v>
      </c>
      <c r="D32" s="103" t="n">
        <v>0</v>
      </c>
      <c r="E32" s="43" t="s">
        <v>879</v>
      </c>
      <c r="F32" s="102" t="s">
        <v>1537</v>
      </c>
      <c r="G32" s="20" t="s">
        <v>1538</v>
      </c>
    </row>
    <row r="33" customFormat="false" ht="27.75" hidden="false" customHeight="true" outlineLevel="0" collapsed="false">
      <c r="A33" s="21" t="n">
        <v>29</v>
      </c>
      <c r="B33" s="33" t="s">
        <v>1549</v>
      </c>
      <c r="C33" s="71" t="n">
        <f aca="false">Cibles!$C$20</f>
        <v>9.375</v>
      </c>
      <c r="D33" s="71" t="n">
        <f aca="false">Cibles!$C$21</f>
        <v>9.8</v>
      </c>
      <c r="E33" s="43" t="s">
        <v>879</v>
      </c>
      <c r="F33" s="102" t="s">
        <v>1537</v>
      </c>
      <c r="G33" s="20" t="s">
        <v>1538</v>
      </c>
    </row>
    <row r="34" customFormat="false" ht="27.75" hidden="false" customHeight="true" outlineLevel="0" collapsed="false">
      <c r="A34" s="21" t="n">
        <v>30</v>
      </c>
      <c r="B34" s="33" t="s">
        <v>1550</v>
      </c>
      <c r="C34" s="79" t="n">
        <f aca="false">COUNTIF(Entrées!$L$6:$L$264,"à relire")</f>
        <v>259</v>
      </c>
      <c r="D34" s="19" t="n">
        <v>0</v>
      </c>
      <c r="E34" s="43" t="s">
        <v>879</v>
      </c>
      <c r="F34" s="102" t="s">
        <v>1537</v>
      </c>
      <c r="G34" s="20" t="s">
        <v>1538</v>
      </c>
    </row>
    <row r="35" customFormat="false" ht="15" hidden="false" customHeight="false" outlineLevel="0" collapsed="false">
      <c r="A35" s="2"/>
      <c r="B35" s="2"/>
      <c r="C35" s="2"/>
      <c r="D35" s="2"/>
      <c r="E35" s="2"/>
      <c r="F35" s="2"/>
      <c r="G35" s="2"/>
    </row>
    <row r="36" customFormat="false" ht="15" hidden="false" customHeight="false" outlineLevel="0" collapsed="false">
      <c r="A36" s="2"/>
      <c r="B36" s="18" t="s">
        <v>1551</v>
      </c>
      <c r="C36" s="2"/>
      <c r="D36" s="2"/>
      <c r="E36" s="2"/>
      <c r="F36" s="102" t="str">
        <f aca="false">IF(COUNTIFS($G$5:$G$34,"Bloquant",$F$5:$F$34,"ÉCART")=0,"OK","ÉCART")</f>
        <v>OK</v>
      </c>
      <c r="G36" s="2"/>
    </row>
  </sheetData>
  <conditionalFormatting sqref="F5:F36">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2026-10-06T10:09:27Z</dcterms:created>
  <dc:creator>openpyxl</dc:creator>
  <dc:description/>
  <dc:language>en-US</dc:language>
  <cp:lastModifiedBy/>
  <dcterms:modified xsi:type="dcterms:W3CDTF">2026-10-06T12:09:32Z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