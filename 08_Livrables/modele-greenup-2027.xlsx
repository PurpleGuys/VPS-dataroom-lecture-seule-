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drawings/drawing3.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Entrées" sheetId="2" state="visible" r:id="rId2"/>
    <sheet xmlns:r="http://schemas.openxmlformats.org/officeDocument/2006/relationships" name="Hypothèses" sheetId="3" state="visible" r:id="rId3"/>
    <sheet xmlns:r="http://schemas.openxmlformats.org/officeDocument/2006/relationships" name="Levier" sheetId="4" state="visible" r:id="rId4"/>
    <sheet xmlns:r="http://schemas.openxmlformats.org/officeDocument/2006/relationships" name="Pont de dette" sheetId="5" state="visible" r:id="rId5"/>
    <sheet xmlns:r="http://schemas.openxmlformats.org/officeDocument/2006/relationships" name="Échéancier" sheetId="6" state="visible" r:id="rId6"/>
    <sheet xmlns:r="http://schemas.openxmlformats.org/officeDocument/2006/relationships" name="Cessions" sheetId="7" state="visible" r:id="rId7"/>
    <sheet xmlns:r="http://schemas.openxmlformats.org/officeDocument/2006/relationships" name="Trajectoire" sheetId="8" state="visible" r:id="rId8"/>
    <sheet xmlns:r="http://schemas.openxmlformats.org/officeDocument/2006/relationships" name="Sensibilité" sheetId="9" state="visible" r:id="rId9"/>
    <sheet xmlns:r="http://schemas.openxmlformats.org/officeDocument/2006/relationships" name="Segments" sheetId="10" state="visible" r:id="rId10"/>
    <sheet xmlns:r="http://schemas.openxmlformats.org/officeDocument/2006/relationships" name="Pont EBITDA" sheetId="11" state="visible" r:id="rId11"/>
    <sheet xmlns:r="http://schemas.openxmlformats.org/officeDocument/2006/relationships" name="Booster" sheetId="12" state="visible" r:id="rId12"/>
    <sheet xmlns:r="http://schemas.openxmlformats.org/officeDocument/2006/relationships" name="ESG" sheetId="13" state="visible" r:id="rId13"/>
    <sheet xmlns:r="http://schemas.openxmlformats.org/officeDocument/2006/relationships" name="Cibles" sheetId="14" state="visible" r:id="rId14"/>
    <sheet xmlns:r="http://schemas.openxmlformats.org/officeDocument/2006/relationships" name="Vérifications" sheetId="15" state="visible" r:id="rId15"/>
  </sheets>
  <definedNames>
    <definedName name="h_g26">'Hypothèses'!$J$5</definedName>
    <definedName name="h_g27">'Hypothèses'!$J$6</definedName>
    <definedName name="h_ceEb">'Hypothèses'!$J$7</definedName>
    <definedName name="h_syn">'Hypothèses'!$J$8</definedName>
    <definedName name="h_fcfH2">'Hypothèses'!$J$9</definedName>
    <definedName name="h_conv">'Hypothèses'!$J$10</definedName>
    <definedName name="h_gDiv">'Hypothèses'!$J$11</definedName>
    <definedName name="h_s26">'Hypothèses'!$J$12</definedName>
    <definedName name="h_s27">'Hypothèses'!$J$13</definedName>
    <definedName name="h_mDisp">'Hypothèses'!$J$14</definedName>
    <definedName name="h_tuck">'Hypothèses'!$J$15</definedName>
    <definedName name="h_ffo">'Hypothèses'!$J$16</definedName>
    <definedName name="h_fx">'Hypothèses'!$J$19</definedName>
    <definedName name="h_minDiv">'Hypothèses'!$J$20</definedName>
    <definedName name="h_mTuck">'Hypothèses'!$J$21</definedName>
    <definedName name="h_tuckH2">'Hypothèses'!$J$22</definedName>
    <definedName name="h_other">'Hypothèses'!$J$23</definedName>
    <definedName name="h_months">'Hypothèses'!$J$24</definedName>
    <definedName name="h_synC">'Hypothèses'!$J$25</definedName>
    <definedName name="h_cap">'Hypothèses'!$J$26</definedName>
    <definedName name="h_hybPct">'Hypothèses'!$J$27</definedName>
    <definedName name="_xlnm._FilterDatabase" localSheetId="1" hidden="1">'Entrées'!$A$5:$L$601</definedName>
  </definedNames>
  <calcPr calcId="124519" fullCalcOnLoad="1"/>
</workbook>
</file>

<file path=xl/styles.xml><?xml version="1.0" encoding="utf-8"?>
<styleSheet xmlns="http://schemas.openxmlformats.org/spreadsheetml/2006/main">
  <numFmts count="12">
    <numFmt numFmtId="164" formatCode="#,##0.00;-#,##0.00"/>
    <numFmt numFmtId="165" formatCode="0.0%;(0.0%);&quot;-&quot;"/>
    <numFmt numFmtId="166" formatCode="#,##0;(#,##0);&quot;-&quot;"/>
    <numFmt numFmtId="167" formatCode="0.0&quot;x&quot;"/>
    <numFmt numFmtId="168" formatCode="#,##0.00;(#,##0.00);&quot;-&quot;"/>
    <numFmt numFmtId="169" formatCode="0.0000"/>
    <numFmt numFmtId="170" formatCode="#,##0.0;(#,##0.0);&quot;-&quot;"/>
    <numFmt numFmtId="171" formatCode="0.00&quot;x&quot;;(0.00&quot;x&quot;);&quot;-&quot;"/>
    <numFmt numFmtId="172" formatCode="0.0"/>
    <numFmt numFmtId="173" formatCode="0.000%"/>
    <numFmt numFmtId="174" formatCode="0.000000"/>
    <numFmt numFmtId="175" formatCode="0.000"/>
  </numFmts>
  <fonts count="18">
    <font>
      <name val="Calibri"/>
      <family val="2"/>
      <color theme="1"/>
      <sz val="11"/>
      <scheme val="minor"/>
    </font>
    <font>
      <name val="Arial"/>
      <b val="1"/>
      <color rgb="00000000"/>
      <sz val="14"/>
    </font>
    <font>
      <name val="Arial"/>
      <i val="1"/>
      <color rgb="00808080"/>
      <sz val="10"/>
    </font>
    <font>
      <name val="Arial"/>
      <b val="1"/>
      <color rgb="00000000"/>
      <sz val="10"/>
    </font>
    <font>
      <name val="Arial"/>
      <color rgb="00000000"/>
      <sz val="10"/>
    </font>
    <font>
      <name val="Arial"/>
      <color rgb="000000FF"/>
      <sz val="10"/>
    </font>
    <font>
      <name val="Arial"/>
      <color rgb="00808080"/>
      <sz val="10"/>
    </font>
    <font>
      <name val="Arial"/>
      <color rgb="00C00000"/>
      <sz val="10"/>
    </font>
    <font>
      <name val="Arial"/>
      <color rgb="00008000"/>
      <sz val="10"/>
    </font>
    <font>
      <name val="Arial"/>
      <b val="1"/>
      <color rgb="00C00000"/>
      <sz val="10"/>
    </font>
    <font>
      <name val="Arial"/>
      <b val="1"/>
      <color rgb="00008000"/>
      <sz val="10"/>
    </font>
    <font>
      <name val="Arial"/>
      <i val="1"/>
      <color rgb="00000000"/>
      <sz val="10"/>
    </font>
    <font>
      <name val="Arial"/>
      <b val="1"/>
      <color rgb="00000000"/>
      <sz val="12"/>
    </font>
    <font>
      <name val="Arial"/>
      <color rgb="000000FF"/>
    </font>
    <font>
      <name val="Arial"/>
      <color rgb="00000000"/>
    </font>
    <font>
      <name val="Arial"/>
      <color rgb="00008000"/>
    </font>
    <font>
      <name val="Arial"/>
    </font>
    <font>
      <name val="Arial"/>
      <color theme="1"/>
      <sz val="11"/>
    </font>
  </fonts>
  <fills count="6">
    <fill>
      <patternFill/>
    </fill>
    <fill>
      <patternFill patternType="gray125"/>
    </fill>
    <fill>
      <patternFill patternType="solid">
        <fgColor rgb="00D9D9D9"/>
      </patternFill>
    </fill>
    <fill>
      <patternFill patternType="solid">
        <fgColor rgb="00F2F2F2"/>
      </patternFill>
    </fill>
    <fill>
      <patternFill patternType="solid">
        <fgColor rgb="00FFFF00"/>
      </patternFill>
    </fill>
    <fill>
      <patternFill patternType="solid">
        <fgColor rgb="00FCE4D6"/>
      </patternFill>
    </fill>
  </fills>
  <borders count="4">
    <border>
      <left/>
      <right/>
      <top/>
      <bottom/>
      <diagonal/>
    </border>
    <border>
      <left style="thin">
        <color rgb="00BFBFBF"/>
      </left>
      <right style="thin">
        <color rgb="00BFBFBF"/>
      </right>
      <top style="thin">
        <color rgb="00BFBFBF"/>
      </top>
      <bottom style="thin">
        <color rgb="00BFBFBF"/>
      </bottom>
    </border>
    <border>
      <top style="thin">
        <color rgb="00000000"/>
      </top>
    </border>
    <border/>
  </borders>
  <cellStyleXfs count="1">
    <xf numFmtId="0" fontId="0" fillId="0" borderId="0"/>
  </cellStyleXfs>
  <cellXfs count="120">
    <xf numFmtId="0" fontId="0" fillId="0" borderId="0" pivotButton="0" quotePrefix="0" xfId="0"/>
    <xf numFmtId="0" fontId="1" fillId="0" borderId="0" pivotButton="0" quotePrefix="0" xfId="0"/>
    <xf numFmtId="0" fontId="17" fillId="0" borderId="0" pivotButton="0" quotePrefix="0" xfId="0"/>
    <xf numFmtId="0" fontId="2" fillId="0" borderId="0" pivotButton="0" quotePrefix="0" xfId="0"/>
    <xf numFmtId="0" fontId="12" fillId="0" borderId="0" pivotButton="0" quotePrefix="0" xfId="0"/>
    <xf numFmtId="0" fontId="4" fillId="0" borderId="0" pivotButton="0" quotePrefix="0" xfId="0"/>
    <xf numFmtId="171" fontId="10" fillId="0" borderId="0" applyAlignment="1" pivotButton="0" quotePrefix="0" xfId="0">
      <alignment horizontal="right" vertical="top"/>
    </xf>
    <xf numFmtId="166" fontId="10" fillId="0" borderId="0" applyAlignment="1" pivotButton="0" quotePrefix="0" xfId="0">
      <alignment horizontal="right" vertical="top"/>
    </xf>
    <xf numFmtId="168" fontId="10" fillId="0" borderId="0" applyAlignment="1" pivotButton="0" quotePrefix="0" xfId="0">
      <alignment horizontal="right" vertical="top"/>
    </xf>
    <xf numFmtId="0" fontId="10" fillId="0" borderId="0" applyAlignment="1" pivotButton="0" quotePrefix="0" xfId="0">
      <alignment horizontal="right" vertical="top"/>
    </xf>
    <xf numFmtId="167" fontId="10" fillId="0" borderId="0" applyAlignment="1" pivotButton="0" quotePrefix="0" xfId="0">
      <alignment horizontal="right" vertical="top"/>
    </xf>
    <xf numFmtId="165" fontId="10" fillId="0" borderId="0" applyAlignment="1" pivotButton="0" quotePrefix="0" xfId="0">
      <alignment horizontal="right" vertical="top"/>
    </xf>
    <xf numFmtId="0" fontId="13" fillId="0" borderId="0" pivotButton="0" quotePrefix="0" xfId="0"/>
    <xf numFmtId="0" fontId="4" fillId="0" borderId="0" applyAlignment="1" pivotButton="0" quotePrefix="0" xfId="0">
      <alignment vertical="top" wrapText="1"/>
    </xf>
    <xf numFmtId="0" fontId="14" fillId="0" borderId="0" pivotButton="0" quotePrefix="0" xfId="0"/>
    <xf numFmtId="0" fontId="15" fillId="0" borderId="0" pivotButton="0" quotePrefix="0" xfId="0"/>
    <xf numFmtId="0" fontId="16" fillId="4" borderId="0" pivotButton="0" quotePrefix="0" xfId="0"/>
    <xf numFmtId="0" fontId="16" fillId="5" borderId="0" pivotButton="0" quotePrefix="0" xfId="0"/>
    <xf numFmtId="0" fontId="13" fillId="4" borderId="0" pivotButton="0" quotePrefix="0" xfId="0"/>
    <xf numFmtId="0" fontId="3" fillId="2" borderId="1" applyAlignment="1" pivotButton="0" quotePrefix="0" xfId="0">
      <alignment vertical="top" wrapText="1"/>
    </xf>
    <xf numFmtId="0" fontId="3" fillId="0" borderId="0" pivotButton="0" quotePrefix="0" xfId="0"/>
    <xf numFmtId="3" fontId="5" fillId="0" borderId="0" pivotButton="0" quotePrefix="0" xfId="0"/>
    <xf numFmtId="0" fontId="6" fillId="0" borderId="0" pivotButton="0" quotePrefix="0" xfId="0"/>
    <xf numFmtId="0" fontId="4" fillId="0" borderId="0" applyAlignment="1" pivotButton="0" quotePrefix="0" xfId="0">
      <alignment horizontal="center" vertical="top"/>
    </xf>
    <xf numFmtId="0" fontId="7" fillId="0" borderId="0" pivotButton="0" quotePrefix="0" xfId="0"/>
    <xf numFmtId="0" fontId="3" fillId="3" borderId="0" pivotButton="0" quotePrefix="0" xfId="0"/>
    <xf numFmtId="0" fontId="4" fillId="3" borderId="0" pivotButton="0" quotePrefix="0" xfId="0"/>
    <xf numFmtId="164" fontId="5" fillId="3" borderId="0" pivotButton="0" quotePrefix="0" xfId="0"/>
    <xf numFmtId="0" fontId="6" fillId="3" borderId="0" pivotButton="0" quotePrefix="0" xfId="0"/>
    <xf numFmtId="0" fontId="4" fillId="3" borderId="0" applyAlignment="1" pivotButton="0" quotePrefix="0" xfId="0">
      <alignment horizontal="center" vertical="top"/>
    </xf>
    <xf numFmtId="0" fontId="7" fillId="3" borderId="0" pivotButton="0" quotePrefix="0" xfId="0"/>
    <xf numFmtId="3" fontId="5" fillId="3" borderId="0" pivotButton="0" quotePrefix="0" xfId="0"/>
    <xf numFmtId="164" fontId="5" fillId="0" borderId="0" pivotButton="0" quotePrefix="0" xfId="0"/>
    <xf numFmtId="0" fontId="5" fillId="0" borderId="0" applyAlignment="1" pivotButton="0" quotePrefix="0" xfId="0">
      <alignment horizontal="right" vertical="top"/>
    </xf>
    <xf numFmtId="0" fontId="5" fillId="3" borderId="0" applyAlignment="1" pivotButton="0" quotePrefix="0" xfId="0">
      <alignment horizontal="right" vertical="top"/>
    </xf>
    <xf numFmtId="0" fontId="9" fillId="0" borderId="0" pivotButton="0" quotePrefix="0" xfId="0"/>
    <xf numFmtId="165" fontId="8" fillId="4" borderId="0" pivotButton="0" quotePrefix="0" xfId="0"/>
    <xf numFmtId="0" fontId="5" fillId="4" borderId="0" applyAlignment="1" pivotButton="0" quotePrefix="0" xfId="0">
      <alignment horizontal="center" vertical="top"/>
    </xf>
    <xf numFmtId="165" fontId="3" fillId="0" borderId="0" pivotButton="0" quotePrefix="0" xfId="0"/>
    <xf numFmtId="165" fontId="4" fillId="4" borderId="0" pivotButton="0" quotePrefix="0" xfId="0"/>
    <xf numFmtId="165" fontId="5" fillId="4" borderId="0" pivotButton="0" quotePrefix="0" xfId="0"/>
    <xf numFmtId="166" fontId="8" fillId="4" borderId="0" pivotButton="0" quotePrefix="0" xfId="0"/>
    <xf numFmtId="166" fontId="3" fillId="0" borderId="0" pivotButton="0" quotePrefix="0" xfId="0"/>
    <xf numFmtId="166" fontId="4" fillId="4" borderId="0" pivotButton="0" quotePrefix="0" xfId="0"/>
    <xf numFmtId="167" fontId="5" fillId="4" borderId="0" pivotButton="0" quotePrefix="0" xfId="0"/>
    <xf numFmtId="167" fontId="3" fillId="0" borderId="0" pivotButton="0" quotePrefix="0" xfId="0"/>
    <xf numFmtId="168" fontId="8" fillId="4" borderId="0" pivotButton="0" quotePrefix="0" xfId="0"/>
    <xf numFmtId="168" fontId="5" fillId="4" borderId="0" pivotButton="0" quotePrefix="0" xfId="0"/>
    <xf numFmtId="168" fontId="3" fillId="0" borderId="0" pivotButton="0" quotePrefix="0" xfId="0"/>
    <xf numFmtId="169" fontId="8" fillId="4" borderId="0" pivotButton="0" quotePrefix="0" xfId="0"/>
    <xf numFmtId="0" fontId="6" fillId="0" borderId="0" applyAlignment="1" pivotButton="0" quotePrefix="0" xfId="0">
      <alignment horizontal="center" vertical="top"/>
    </xf>
    <xf numFmtId="169" fontId="3" fillId="0" borderId="0" pivotButton="0" quotePrefix="0" xfId="0"/>
    <xf numFmtId="167" fontId="8" fillId="4" borderId="0" pivotButton="0" quotePrefix="0" xfId="0"/>
    <xf numFmtId="166" fontId="5" fillId="4" borderId="0" pivotButton="0" quotePrefix="0" xfId="0"/>
    <xf numFmtId="3" fontId="5" fillId="4" borderId="0" pivotButton="0" quotePrefix="0" xfId="0"/>
    <xf numFmtId="3" fontId="3" fillId="0" borderId="0" pivotButton="0" quotePrefix="0" xfId="0"/>
    <xf numFmtId="170" fontId="8" fillId="4" borderId="0" pivotButton="0" quotePrefix="0" xfId="0"/>
    <xf numFmtId="170" fontId="3" fillId="0" borderId="0" pivotButton="0" quotePrefix="0" xfId="0"/>
    <xf numFmtId="166" fontId="8" fillId="0" borderId="0" pivotButton="0" quotePrefix="0" xfId="0"/>
    <xf numFmtId="171" fontId="3" fillId="0" borderId="0" pivotButton="0" quotePrefix="0" xfId="0"/>
    <xf numFmtId="171" fontId="8" fillId="0" borderId="0" pivotButton="0" quotePrefix="0" xfId="0"/>
    <xf numFmtId="166" fontId="4" fillId="0" borderId="0" pivotButton="0" quotePrefix="0" xfId="0"/>
    <xf numFmtId="172" fontId="8" fillId="0" borderId="0" pivotButton="0" quotePrefix="0" xfId="0"/>
    <xf numFmtId="165" fontId="4" fillId="0" borderId="0" pivotButton="0" quotePrefix="0" xfId="0"/>
    <xf numFmtId="166" fontId="8" fillId="0" borderId="0" applyAlignment="1" pivotButton="0" quotePrefix="0" xfId="0">
      <alignment horizontal="right"/>
    </xf>
    <xf numFmtId="166" fontId="10" fillId="0" borderId="0" pivotButton="0" quotePrefix="0" xfId="0"/>
    <xf numFmtId="0" fontId="2" fillId="0" borderId="0" applyAlignment="1" pivotButton="0" quotePrefix="0" xfId="0">
      <alignment vertical="top" wrapText="1"/>
    </xf>
    <xf numFmtId="166" fontId="3" fillId="0" borderId="2" pivotButton="0" quotePrefix="0" xfId="0"/>
    <xf numFmtId="0" fontId="8" fillId="0" borderId="0" applyAlignment="1" pivotButton="0" quotePrefix="0" xfId="0">
      <alignment horizontal="center" vertical="top"/>
    </xf>
    <xf numFmtId="165" fontId="8" fillId="0" borderId="0" pivotButton="0" quotePrefix="0" xfId="0"/>
    <xf numFmtId="173" fontId="8" fillId="0" borderId="0" pivotButton="0" quotePrefix="0" xfId="0"/>
    <xf numFmtId="10" fontId="4" fillId="0" borderId="0" pivotButton="0" quotePrefix="0" xfId="0"/>
    <xf numFmtId="171" fontId="4" fillId="0" borderId="0" pivotButton="0" quotePrefix="0" xfId="0"/>
    <xf numFmtId="166" fontId="6" fillId="0" borderId="0" pivotButton="0" quotePrefix="0" xfId="0"/>
    <xf numFmtId="165" fontId="6" fillId="0" borderId="0" pivotButton="0" quotePrefix="0" xfId="0"/>
    <xf numFmtId="168" fontId="8" fillId="0" borderId="0" pivotButton="0" quotePrefix="0" xfId="0"/>
    <xf numFmtId="168" fontId="4" fillId="0" borderId="0" pivotButton="0" quotePrefix="0" xfId="0"/>
    <xf numFmtId="172" fontId="3" fillId="0" borderId="0" pivotButton="0" quotePrefix="0" xfId="0"/>
    <xf numFmtId="172" fontId="4" fillId="0" borderId="0" pivotButton="0" quotePrefix="0" xfId="0"/>
    <xf numFmtId="166" fontId="5" fillId="0" borderId="0" pivotButton="0" quotePrefix="0" xfId="0"/>
    <xf numFmtId="3" fontId="4" fillId="0" borderId="0" pivotButton="0" quotePrefix="0" xfId="0"/>
    <xf numFmtId="0" fontId="3" fillId="2" borderId="0" applyAlignment="1" pivotButton="0" quotePrefix="0" xfId="0">
      <alignment horizontal="center" vertical="top" wrapText="1"/>
    </xf>
    <xf numFmtId="165" fontId="8" fillId="5" borderId="0" pivotButton="0" quotePrefix="0" xfId="0"/>
    <xf numFmtId="165" fontId="4" fillId="5" borderId="0" pivotButton="0" quotePrefix="0" xfId="0"/>
    <xf numFmtId="166" fontId="8" fillId="5" borderId="0" pivotButton="0" quotePrefix="0" xfId="0"/>
    <xf numFmtId="166" fontId="4" fillId="5" borderId="0" pivotButton="0" quotePrefix="0" xfId="0"/>
    <xf numFmtId="167" fontId="8" fillId="0" borderId="0" pivotButton="0" quotePrefix="0" xfId="0"/>
    <xf numFmtId="167" fontId="4" fillId="0" borderId="0" pivotButton="0" quotePrefix="0" xfId="0"/>
    <xf numFmtId="167" fontId="8" fillId="5" borderId="0" pivotButton="0" quotePrefix="0" xfId="0"/>
    <xf numFmtId="167" fontId="4" fillId="5" borderId="0" pivotButton="0" quotePrefix="0" xfId="0"/>
    <xf numFmtId="168" fontId="8" fillId="5" borderId="0" pivotButton="0" quotePrefix="0" xfId="0"/>
    <xf numFmtId="168" fontId="4" fillId="5" borderId="0" pivotButton="0" quotePrefix="0" xfId="0"/>
    <xf numFmtId="169" fontId="8" fillId="0" borderId="0" pivotButton="0" quotePrefix="0" xfId="0"/>
    <xf numFmtId="169" fontId="4" fillId="0" borderId="0" pivotButton="0" quotePrefix="0" xfId="0"/>
    <xf numFmtId="3" fontId="8" fillId="0" borderId="0" pivotButton="0" quotePrefix="0" xfId="0"/>
    <xf numFmtId="170" fontId="8" fillId="0" borderId="0" pivotButton="0" quotePrefix="0" xfId="0"/>
    <xf numFmtId="170" fontId="4" fillId="0" borderId="0" pivotButton="0" quotePrefix="0" xfId="0"/>
    <xf numFmtId="166" fontId="3" fillId="0" borderId="3" pivotButton="0" quotePrefix="0" xfId="0"/>
    <xf numFmtId="171" fontId="3" fillId="0" borderId="3" pivotButton="0" quotePrefix="0" xfId="0"/>
    <xf numFmtId="165" fontId="3" fillId="0" borderId="3" pivotButton="0" quotePrefix="0" xfId="0"/>
    <xf numFmtId="0" fontId="3" fillId="0" borderId="3" applyAlignment="1" pivotButton="0" quotePrefix="0" xfId="0">
      <alignment horizontal="right"/>
    </xf>
    <xf numFmtId="0" fontId="8" fillId="0" borderId="0" pivotButton="0" quotePrefix="0" xfId="0"/>
    <xf numFmtId="174" fontId="6" fillId="0" borderId="0" pivotButton="0" quotePrefix="0" xfId="0"/>
    <xf numFmtId="0" fontId="6" fillId="0" borderId="0" applyAlignment="1" pivotButton="0" quotePrefix="0" xfId="0">
      <alignment horizontal="right" vertical="top"/>
    </xf>
    <xf numFmtId="175" fontId="8" fillId="0" borderId="0" pivotButton="0" quotePrefix="0" xfId="0"/>
    <xf numFmtId="175" fontId="4" fillId="0" borderId="0" pivotButton="0" quotePrefix="0" xfId="0"/>
    <xf numFmtId="165" fontId="5" fillId="0" borderId="0" applyAlignment="1" pivotButton="0" quotePrefix="0" xfId="0">
      <alignment horizontal="center" vertical="top"/>
    </xf>
    <xf numFmtId="0" fontId="3" fillId="0" borderId="0" applyAlignment="1" pivotButton="0" quotePrefix="0" xfId="0">
      <alignment horizontal="center" vertical="top"/>
    </xf>
    <xf numFmtId="0" fontId="3" fillId="0" borderId="0" applyAlignment="1" pivotButton="0" quotePrefix="0" xfId="0">
      <alignment horizontal="right"/>
    </xf>
    <xf numFmtId="0" fontId="6" fillId="4" borderId="0" pivotButton="0" quotePrefix="0" xfId="0"/>
    <xf numFmtId="0" fontId="4" fillId="4" borderId="0" pivotButton="0" quotePrefix="0" xfId="0"/>
    <xf numFmtId="170" fontId="4" fillId="4" borderId="0" pivotButton="0" quotePrefix="0" xfId="0"/>
    <xf numFmtId="0" fontId="3" fillId="2" borderId="0" pivotButton="0" quotePrefix="0" xfId="0"/>
    <xf numFmtId="0" fontId="11" fillId="0" borderId="0" pivotButton="0" quotePrefix="0" xfId="0"/>
    <xf numFmtId="167" fontId="4" fillId="4" borderId="0" pivotButton="0" quotePrefix="0" xfId="0"/>
    <xf numFmtId="171" fontId="5" fillId="0" borderId="0" pivotButton="0" quotePrefix="0" xfId="0"/>
    <xf numFmtId="168" fontId="5" fillId="0" borderId="0" pivotButton="0" quotePrefix="0" xfId="0"/>
    <xf numFmtId="169" fontId="5" fillId="0" borderId="0" pivotButton="0" quotePrefix="0" xfId="0"/>
    <xf numFmtId="165" fontId="5" fillId="0" borderId="0" pivotButton="0" quotePrefix="0" xfId="0"/>
    <xf numFmtId="167" fontId="5" fillId="0" borderId="0" pivotButton="0" quotePrefix="0" xfId="0"/>
  </cellXfs>
  <cellStyles count="1">
    <cellStyle name="Normal" xfId="0" builtinId="0" hidden="0"/>
  </cellStyles>
  <dxfs count="2">
    <dxf>
      <fill>
        <patternFill patternType="solid">
          <fgColor rgb="00E2EFDA"/>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Levier 2024 → 2027 (plafond : 3x fin 2027)</a:t>
            </a:r>
          </a:p>
        </rich>
      </tx>
    </title>
    <plotArea>
      <barChart>
        <barDir val="col"/>
        <grouping val="clustered"/>
        <ser>
          <idx val="0"/>
          <order val="0"/>
          <tx>
            <strRef>
              <f>'Trajectoire'!C64</f>
            </strRef>
          </tx>
          <spPr>
            <a:ln xmlns:a="http://schemas.openxmlformats.org/drawingml/2006/main">
              <a:prstDash val="solid"/>
            </a:ln>
          </spPr>
          <cat>
            <numRef>
              <f>'Trajectoire'!$B$65:$B$68</f>
            </numRef>
          </cat>
          <val>
            <numRef>
              <f>'Trajectoire'!$C$65:$C$68</f>
            </numRef>
          </val>
        </ser>
        <ser>
          <idx val="1"/>
          <order val="1"/>
          <tx>
            <strRef>
              <f>'Trajectoire'!D64</f>
            </strRef>
          </tx>
          <spPr>
            <a:ln xmlns:a="http://schemas.openxmlformats.org/drawingml/2006/main">
              <a:prstDash val="solid"/>
            </a:ln>
          </spPr>
          <cat>
            <numRef>
              <f>'Trajectoire'!$B$65:$B$68</f>
            </numRef>
          </cat>
          <val>
            <numRef>
              <f>'Trajectoire'!$D$65:$D$68</f>
            </numRef>
          </val>
        </ser>
        <ser>
          <idx val="2"/>
          <order val="2"/>
          <tx>
            <strRef>
              <f>'Trajectoire'!E64</f>
            </strRef>
          </tx>
          <spPr>
            <a:ln xmlns:a="http://schemas.openxmlformats.org/drawingml/2006/main">
              <a:prstDash val="solid"/>
            </a:ln>
          </spPr>
          <cat>
            <numRef>
              <f>'Trajectoire'!$B$65:$B$68</f>
            </numRef>
          </cat>
          <val>
            <numRef>
              <f>'Trajectoire'!$E$65:$E$68</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EBITDA</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Écart à la marge centrale fin 2027, M EUR</a:t>
            </a:r>
          </a:p>
        </rich>
      </tx>
    </title>
    <plotArea>
      <barChart>
        <barDir val="bar"/>
        <grouping val="clustered"/>
        <ser>
          <idx val="0"/>
          <order val="0"/>
          <tx>
            <strRef>
              <f>'Sensibilité'!C22</f>
            </strRef>
          </tx>
          <spPr>
            <a:ln xmlns:a="http://schemas.openxmlformats.org/drawingml/2006/main">
              <a:prstDash val="solid"/>
            </a:ln>
          </spPr>
          <cat>
            <numRef>
              <f>'Sensibilité'!$B$23:$B$35</f>
            </numRef>
          </cat>
          <val>
            <numRef>
              <f>'Sensibilité'!$C$23:$C$35</f>
            </numRef>
          </val>
        </ser>
        <ser>
          <idx val="1"/>
          <order val="1"/>
          <tx>
            <strRef>
              <f>'Sensibilité'!D22</f>
            </strRef>
          </tx>
          <spPr>
            <a:ln xmlns:a="http://schemas.openxmlformats.org/drawingml/2006/main">
              <a:prstDash val="solid"/>
            </a:ln>
          </spPr>
          <cat>
            <numRef>
              <f>'Sensibilité'!$B$23:$B$35</f>
            </numRef>
          </cat>
          <val>
            <numRef>
              <f>'Sensibilité'!$D$23:$D$35</f>
            </numRef>
          </val>
        </ser>
        <gapWidth val="150"/>
        <overlap val="100"/>
        <axId val="10"/>
        <axId val="100"/>
      </barChart>
      <catAx>
        <axId val="10"/>
        <scaling>
          <orientation val="maxMin"/>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EUR</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Les marches du pont 2025 → 2027, scénario actif (M EUR)</a:t>
            </a:r>
          </a:p>
        </rich>
      </tx>
    </title>
    <plotArea>
      <barChart>
        <barDir val="col"/>
        <grouping val="clustered"/>
        <ser>
          <idx val="0"/>
          <order val="0"/>
          <spPr>
            <a:ln xmlns:a="http://schemas.openxmlformats.org/drawingml/2006/main">
              <a:prstDash val="solid"/>
            </a:ln>
          </spPr>
          <cat>
            <numRef>
              <f>'Pont EBITDA'!$B$40:$B$48</f>
            </numRef>
          </cat>
          <val>
            <numRef>
              <f>'Pont EBITDA'!$C$40:$C$48</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EUR</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6</col>
      <colOff>0</colOff>
      <row>62</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21</row>
      <rowOff>0</rowOff>
    </from>
    <ext cx="86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7</col>
      <colOff>0</colOff>
      <row>38</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Relationships>
</file>

<file path=xl/worksheets/_rels/sheet9.xml.rels><Relationships xmlns="http://schemas.openxmlformats.org/package/2006/relationships"><Relationship Type="http://schemas.openxmlformats.org/officeDocument/2006/relationships/drawing" Target="/xl/drawings/drawing2.xml" Id="rId1"/></Relationships>
</file>

<file path=xl/worksheets/_rels/sheet11.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F64"/>
  <sheetViews>
    <sheetView showGridLines="0" workbookViewId="0">
      <selection activeCell="A1" sqref="A1"/>
    </sheetView>
  </sheetViews>
  <sheetFormatPr baseColWidth="8" defaultRowHeight="15"/>
  <cols>
    <col width="3" customWidth="1" min="1" max="1"/>
    <col width="60" customWidth="1" min="2" max="2"/>
    <col width="24" customWidth="1" min="3" max="3"/>
    <col width="30" customWidth="1" min="4" max="4"/>
    <col width="30" customWidth="1" min="5" max="5"/>
    <col width="30" customWidth="1" min="6" max="6"/>
  </cols>
  <sheetData>
    <row r="1">
      <c r="A1" s="1" t="inlineStr">
        <is>
          <t>Modèle GreenUp 2027 — Veolia, sujet 2 du capstone EDHEC</t>
        </is>
      </c>
      <c r="B1" s="2" t="n"/>
      <c r="C1" s="2" t="n"/>
      <c r="D1" s="2" t="n"/>
      <c r="E1" s="2" t="n"/>
      <c r="F1" s="2" t="n"/>
    </row>
    <row r="2">
      <c r="A2" s="3" t="inlineStr">
        <is>
          <t>Combien Veolia peut-elle encore acheter en déchets dangereux sans dépasser son plafond de levier ?</t>
        </is>
      </c>
      <c r="B2" s="2" t="n"/>
      <c r="C2" s="2" t="n"/>
      <c r="D2" s="2" t="n"/>
      <c r="E2" s="2" t="n"/>
      <c r="F2" s="2" t="n"/>
    </row>
    <row r="3">
      <c r="A3" s="2" t="n"/>
      <c r="B3" s="2" t="n"/>
      <c r="C3" s="2" t="n"/>
      <c r="D3" s="2" t="n"/>
      <c r="E3" s="2" t="n"/>
      <c r="F3" s="2" t="n"/>
    </row>
    <row r="4">
      <c r="A4" s="2" t="n"/>
      <c r="B4" s="4" t="inlineStr">
        <is>
          <t>Résultats du scénario actif (base partout, sauf choix dans Hypothèses, colonne Actif)</t>
        </is>
      </c>
      <c r="C4" s="2" t="n"/>
      <c r="D4" s="2" t="n"/>
      <c r="E4" s="2" t="n"/>
      <c r="F4" s="2" t="n"/>
    </row>
    <row r="5">
      <c r="A5" s="2" t="n"/>
      <c r="B5" s="5" t="inlineStr">
        <is>
          <t>Levier fin 2026 (guidance : égal ou légèrement supérieur à 3x)</t>
        </is>
      </c>
      <c r="C5" s="6">
        <f>'Trajectoire'!$D$34</f>
        <v/>
      </c>
      <c r="D5" s="2" t="n"/>
      <c r="E5" s="2" t="n"/>
      <c r="F5" s="2" t="n"/>
    </row>
    <row r="6">
      <c r="A6" s="2" t="n"/>
      <c r="B6" s="5" t="inlineStr">
        <is>
          <t>Levier fin 2027 (engagement : ≤ 3x)</t>
        </is>
      </c>
      <c r="C6" s="6">
        <f>'Trajectoire'!$D$46</f>
        <v/>
      </c>
      <c r="D6" s="2" t="n"/>
      <c r="E6" s="2" t="n"/>
      <c r="F6" s="2" t="n"/>
    </row>
    <row r="7">
      <c r="A7" s="2" t="n"/>
      <c r="B7" s="5" t="inlineStr">
        <is>
          <t>Marge de manœuvre fin 2027, en M EUR de dette</t>
        </is>
      </c>
      <c r="C7" s="7">
        <f>'Trajectoire'!$D$47</f>
        <v/>
      </c>
      <c r="D7" s="2" t="n"/>
      <c r="E7" s="2" t="n"/>
      <c r="F7" s="2" t="n"/>
    </row>
    <row r="8">
      <c r="A8" s="2" t="n"/>
      <c r="B8" s="5" t="inlineStr">
        <is>
          <t>Acquisition maximale fin 2027 au multiple de Clean Earth, en M EUR</t>
        </is>
      </c>
      <c r="C8" s="7">
        <f>'Trajectoire'!$D$48</f>
        <v/>
      </c>
      <c r="D8" s="2" t="n"/>
      <c r="E8" s="2" t="n"/>
      <c r="F8" s="2" t="n"/>
    </row>
    <row r="9">
      <c r="A9" s="2" t="n"/>
      <c r="B9" s="5" t="inlineStr">
        <is>
          <t>EBITDA 2027 moins l'objectif ≥ 8 Md€, en M EUR</t>
        </is>
      </c>
      <c r="C9" s="7">
        <f>'Trajectoire'!$D$49</f>
        <v/>
      </c>
      <c r="D9" s="2" t="n"/>
      <c r="E9" s="2" t="n"/>
      <c r="F9" s="2" t="n"/>
    </row>
    <row r="10">
      <c r="A10" s="2" t="n"/>
      <c r="B10" s="5" t="inlineStr">
        <is>
          <t>Marge 2027 dans le scénario défavorable combiné, en M EUR</t>
        </is>
      </c>
      <c r="C10" s="7">
        <f>'Trajectoire'!$AE$47</f>
        <v/>
      </c>
      <c r="D10" s="2" t="n"/>
      <c r="E10" s="2" t="n"/>
      <c r="F10" s="2" t="n"/>
    </row>
    <row r="11">
      <c r="A11" s="2" t="n"/>
      <c r="B11" s="5" t="inlineStr">
        <is>
          <t>Levier fin 2027 si 50 % des hybrides comptent en dette</t>
        </is>
      </c>
      <c r="C11" s="6">
        <f>'Levier'!$C$126</f>
        <v/>
      </c>
      <c r="D11" s="2" t="n"/>
      <c r="E11" s="2" t="n"/>
      <c r="F11" s="2" t="n"/>
    </row>
    <row r="12">
      <c r="A12" s="2" t="n"/>
      <c r="B12" s="5" t="inlineStr">
        <is>
          <t>Sorties nettes d'acquisitions cumulées depuis 2024, en Md EUR (enveloppe boosters : 4)</t>
        </is>
      </c>
      <c r="C12" s="8">
        <f>'Cessions'!$C$45</f>
        <v/>
      </c>
      <c r="D12" s="2" t="n"/>
      <c r="E12" s="2" t="n"/>
      <c r="F12" s="2" t="n"/>
    </row>
    <row r="13">
      <c r="A13" s="2" t="n"/>
      <c r="B13" s="5" t="inlineStr">
        <is>
          <t>Marge de FFO en 2026 au seuil S&amp;P (18 % de la dette ajustée au pic), en M EUR</t>
        </is>
      </c>
      <c r="C13" s="7">
        <f>'Levier'!$C$46</f>
        <v/>
      </c>
      <c r="D13" s="2" t="n"/>
      <c r="E13" s="2" t="n"/>
      <c r="F13" s="2" t="n"/>
    </row>
    <row r="14">
      <c r="A14" s="2" t="n"/>
      <c r="B14" s="5" t="inlineStr">
        <is>
          <t>Marge de dette fin 2027 sous le seuil S&amp;P (18 % FFO / dette ajustée), en M EUR</t>
        </is>
      </c>
      <c r="C14" s="7">
        <f>'Trajectoire'!$D$58</f>
        <v/>
      </c>
      <c r="D14" s="2" t="n"/>
      <c r="E14" s="2" t="n"/>
      <c r="F14" s="2" t="n"/>
    </row>
    <row r="15">
      <c r="A15" s="2" t="n"/>
      <c r="B15" s="5" t="inlineStr">
        <is>
          <t>Contrainte qui mord en premier fin 2027</t>
        </is>
      </c>
      <c r="C15" s="9">
        <f>'Trajectoire'!$D$60</f>
        <v/>
      </c>
      <c r="D15" s="2" t="n"/>
      <c r="E15" s="2" t="n"/>
      <c r="F15" s="2" t="n"/>
    </row>
    <row r="16">
      <c r="A16" s="2" t="n"/>
      <c r="B16" s="5" t="inlineStr">
        <is>
          <t>EBITDA 2027 si chaque segment garde son rythme organique de 2025, en M EUR</t>
        </is>
      </c>
      <c r="C16" s="7">
        <f>'Segments'!$E$31</f>
        <v/>
      </c>
      <c r="D16" s="2" t="n"/>
      <c r="E16" s="2" t="n"/>
      <c r="F16" s="2" t="n"/>
    </row>
    <row r="17">
      <c r="A17" s="2" t="n"/>
      <c r="B17" s="5" t="inlineStr">
        <is>
          <t>Clean Earth : multiple du prix sur l'EBITDA 2025 publié par le vendeur (reconstitué)</t>
        </is>
      </c>
      <c r="C17" s="10">
        <f>'Booster'!$C$52</f>
        <v/>
      </c>
      <c r="D17" s="2" t="n"/>
      <c r="E17" s="2" t="n"/>
      <c r="F17" s="2" t="n"/>
    </row>
    <row r="18">
      <c r="A18" s="2" t="n"/>
      <c r="B18" s="5" t="inlineStr">
        <is>
          <t>Acquisition maximale fin 2027 sous la contrainte qui mord, au multiple de Clean Earth, en M EUR</t>
        </is>
      </c>
      <c r="C18" s="7">
        <f>'Trajectoire'!$D$61</f>
        <v/>
      </c>
      <c r="D18" s="2" t="n"/>
      <c r="E18" s="2" t="n"/>
      <c r="F18" s="2" t="n"/>
    </row>
    <row r="19">
      <c r="A19" s="2" t="n"/>
      <c r="B19" s="5" t="inlineStr">
        <is>
          <t>Part de l'écart GreenUp 2023 → 2027 que couvre la seule efficacité promise (350 M€ par an)</t>
        </is>
      </c>
      <c r="C19" s="11">
        <f>'Pont EBITDA'!$C$13</f>
        <v/>
      </c>
      <c r="D19" s="2" t="n"/>
      <c r="E19" s="2" t="n"/>
      <c r="F19" s="2" t="n"/>
    </row>
    <row r="20">
      <c r="A20" s="2" t="n"/>
      <c r="B20" s="5" t="inlineStr">
        <is>
          <t>Part de la croissance organique 2025 de l'EBITDA expliquée par les gains d'efficacité</t>
        </is>
      </c>
      <c r="C20" s="11">
        <f>'Pont EBITDA'!$C$28</f>
        <v/>
      </c>
      <c r="D20" s="2" t="n"/>
      <c r="E20" s="2" t="n"/>
      <c r="F20" s="2" t="n"/>
    </row>
    <row r="21">
      <c r="A21" s="2" t="n"/>
      <c r="B21" s="5" t="inlineStr">
        <is>
          <t>Marge sous 3x fin 2027 si l'efficacité 2026-2027 n'est pas livrée du tout, en M EUR</t>
        </is>
      </c>
      <c r="C21" s="7">
        <f>'Pont EBITDA'!$E$70</f>
        <v/>
      </c>
      <c r="D21" s="2" t="n"/>
      <c r="E21" s="2" t="n"/>
      <c r="F21" s="2" t="n"/>
    </row>
    <row r="22">
      <c r="A22" s="2" t="n"/>
      <c r="B22" s="5" t="inlineStr">
        <is>
          <t>Multiples payés par Veolia, après synergies : du moins cher au plus cher (Cibles §D)</t>
        </is>
      </c>
      <c r="C22" s="9">
        <f>=TEXT('Cibles'!$C$32,"0.0")&amp;"x à "&amp;TEXT('Cibles'!$C$34,"0.0")&amp;"x"</f>
        <v/>
      </c>
      <c r="D22" s="2" t="n"/>
      <c r="E22" s="2" t="n"/>
      <c r="F22" s="2" t="n"/>
    </row>
    <row r="23">
      <c r="A23" s="2" t="n"/>
      <c r="B23" s="5" t="inlineStr">
        <is>
          <t>Secteur, avant synergies : du moins cher au plus cher (Cibles §E)</t>
        </is>
      </c>
      <c r="C23" s="9">
        <f>=TEXT('Cibles'!$C$44,"0.0")&amp;"x à "&amp;TEXT('Cibles'!$C$45,"0.0")&amp;"x"</f>
        <v/>
      </c>
      <c r="D23" s="2" t="n"/>
      <c r="E23" s="2" t="n"/>
      <c r="F23" s="2" t="n"/>
    </row>
    <row r="24">
      <c r="A24" s="2" t="n"/>
      <c r="B24" s="5" t="inlineStr">
        <is>
          <t>Clean Earth avant synergies, écart au plus cher du secteur (x EBITDA)</t>
        </is>
      </c>
      <c r="C24" s="10">
        <f>'Cibles'!$C$46</f>
        <v/>
      </c>
      <c r="D24" s="2" t="n"/>
      <c r="E24" s="2" t="n"/>
      <c r="F24" s="2" t="n"/>
    </row>
    <row r="25">
      <c r="A25" s="2" t="n"/>
      <c r="B25" s="5" t="inlineStr">
        <is>
          <t>Pairs Moody's : FFO / dette nette de Veolia moins celui de Suez (Baa2, perspective négative), en points</t>
        </is>
      </c>
      <c r="C25" s="11">
        <f>'Levier'!$C$102</f>
        <v/>
      </c>
      <c r="D25" s="2" t="n"/>
      <c r="E25" s="2" t="n"/>
      <c r="F25" s="2" t="n"/>
    </row>
    <row r="26">
      <c r="A26" s="2" t="n"/>
      <c r="B26" s="5" t="inlineStr">
        <is>
          <t>Objectifs financiers annoncés et tenus depuis 2020 (Impact 2023, guidance 2025)</t>
        </is>
      </c>
      <c r="C26" s="9">
        <f>'Pont EBITDA'!$C$91</f>
        <v/>
      </c>
      <c r="D26" s="2" t="n"/>
      <c r="E26" s="2" t="n"/>
      <c r="F26" s="2" t="n"/>
    </row>
    <row r="27">
      <c r="A27" s="2" t="n"/>
      <c r="B27" s="5" t="inlineStr">
        <is>
          <t>Hybrides : tranche dont la réinitialisation tombe avant fin 2027 (septembre 2026), en M EUR</t>
        </is>
      </c>
      <c r="C27" s="7">
        <f>'Levier'!$C$117</f>
        <v/>
      </c>
      <c r="D27" s="2" t="n"/>
      <c r="E27" s="2" t="n"/>
      <c r="F27" s="2" t="n"/>
    </row>
    <row r="28">
      <c r="A28" s="2" t="n"/>
      <c r="B28" s="5" t="inlineStr">
        <is>
          <t>Macro : marge 2027 perdue si 2027 revit l'énergie du S1 2026, en M EUR</t>
        </is>
      </c>
      <c r="C28" s="7">
        <f>'Sensibilité'!$E$49</f>
        <v/>
      </c>
      <c r="D28" s="2" t="n"/>
      <c r="E28" s="2" t="n"/>
      <c r="F28" s="2" t="n"/>
    </row>
    <row r="29">
      <c r="A29" s="2" t="n"/>
      <c r="B29" s="5" t="inlineStr">
        <is>
          <t>Macro : dette nette en plus si le dollar monte de 10 %, en M EUR</t>
        </is>
      </c>
      <c r="C29" s="7">
        <f>'Sensibilité'!$E$50</f>
        <v/>
      </c>
      <c r="D29" s="2" t="n"/>
      <c r="E29" s="2" t="n"/>
      <c r="F29" s="2" t="n"/>
    </row>
    <row r="30">
      <c r="A30" s="2" t="n"/>
      <c r="B30" s="5" t="inlineStr">
        <is>
          <t>Taxonomie 2025 : part du capex du groupe éligible et aligné (DEU p.250)</t>
        </is>
      </c>
      <c r="C30" s="11">
        <f>'ESG'!$C$43</f>
        <v/>
      </c>
      <c r="D30" s="2" t="n"/>
      <c r="E30" s="2" t="n"/>
      <c r="F30" s="2" t="n"/>
    </row>
    <row r="31">
      <c r="A31" s="2" t="n"/>
      <c r="B31" s="5" t="inlineStr">
        <is>
          <t>Taxonomie 2025 : déchets dangereux, part du capex aligné du groupe</t>
        </is>
      </c>
      <c r="C31" s="11">
        <f>'ESG'!$C$46</f>
        <v/>
      </c>
      <c r="D31" s="2" t="n"/>
      <c r="E31" s="2" t="n"/>
      <c r="F31" s="2" t="n"/>
    </row>
    <row r="32">
      <c r="A32" s="2" t="n"/>
      <c r="B32" s="5" t="inlineStr">
        <is>
          <t>Programme de cessions au multiple central, en part de l'EBITDA des déchets solides</t>
        </is>
      </c>
      <c r="C32" s="11">
        <f>'Cessions'!$C$88</f>
        <v/>
      </c>
      <c r="D32" s="2" t="n"/>
      <c r="E32" s="2" t="n"/>
      <c r="F32" s="2" t="n"/>
    </row>
    <row r="33">
      <c r="A33" s="2" t="n"/>
      <c r="B33" s="5" t="inlineStr">
        <is>
          <t>Années nécessaires pour céder 2 Md EUR au rythme des cessions 2022-2025</t>
        </is>
      </c>
      <c r="C33" s="8">
        <f>'Cessions'!$C$112</f>
        <v/>
      </c>
      <c r="D33" s="2" t="n"/>
      <c r="E33" s="2" t="n"/>
      <c r="F33" s="2" t="n"/>
    </row>
    <row r="34">
      <c r="A34" s="2" t="n"/>
      <c r="B34" s="5" t="inlineStr">
        <is>
          <t>Liquidités / flux contractuels de dette 2026 (DEU p.421)</t>
        </is>
      </c>
      <c r="C34" s="6">
        <f>'Échéancier'!$C$41</f>
        <v/>
      </c>
      <c r="D34" s="2" t="n"/>
      <c r="E34" s="2" t="n"/>
      <c r="F34" s="2" t="n"/>
    </row>
    <row r="35">
      <c r="A35" s="2" t="n"/>
      <c r="B35" s="5" t="inlineStr">
        <is>
          <t>Surcoût d'intérêts annuel si les souches 2027-2028 sont refinancées au taux de juin 2025, en M EUR</t>
        </is>
      </c>
      <c r="C35" s="7">
        <f>'Échéancier'!$C$26</f>
        <v/>
      </c>
      <c r="D35" s="2" t="n"/>
      <c r="E35" s="2" t="n"/>
      <c r="F35" s="2" t="n"/>
    </row>
    <row r="36">
      <c r="A36" s="2" t="n"/>
      <c r="B36" s="5" t="inlineStr">
        <is>
          <t>FFO 2025 reconstitué depuis le tableau de flux, en M EUR (Moody's publie 5 160)</t>
        </is>
      </c>
      <c r="C36" s="7">
        <f>'Levier'!$C$88</f>
        <v/>
      </c>
      <c r="D36" s="2" t="n"/>
      <c r="E36" s="2" t="n"/>
      <c r="F36" s="2" t="n"/>
    </row>
    <row r="37">
      <c r="A37" s="2" t="n"/>
      <c r="B37" s="5" t="inlineStr">
        <is>
          <t>Contrôles bloquants</t>
        </is>
      </c>
      <c r="C37" s="9">
        <f>'Vérifications'!$F$55</f>
        <v/>
      </c>
      <c r="D37" s="2" t="n"/>
      <c r="E37" s="2" t="n"/>
      <c r="F37" s="2" t="n"/>
    </row>
    <row r="38">
      <c r="A38" s="2" t="n"/>
      <c r="B38" s="5" t="inlineStr">
        <is>
          <t>Scénario</t>
        </is>
      </c>
      <c r="C38" s="9">
        <f>'Hypothèses'!$A$3</f>
        <v/>
      </c>
      <c r="D38" s="2" t="n"/>
      <c r="E38" s="2" t="n"/>
      <c r="F38" s="2" t="n"/>
    </row>
    <row r="39">
      <c r="A39" s="2" t="n"/>
      <c r="B39" s="2" t="n"/>
      <c r="C39" s="2" t="n"/>
      <c r="D39" s="2" t="n"/>
      <c r="E39" s="2" t="n"/>
      <c r="F39" s="2" t="n"/>
    </row>
    <row r="40">
      <c r="A40" s="2" t="n"/>
      <c r="B40" s="4" t="inlineStr">
        <is>
          <t>Comment lire</t>
        </is>
      </c>
      <c r="C40" s="2" t="n"/>
      <c r="D40" s="2" t="n"/>
      <c r="E40" s="2" t="n"/>
      <c r="F40" s="2" t="n"/>
    </row>
    <row r="41">
      <c r="A41" s="2" t="n"/>
      <c r="B41" s="12" t="inlineStr">
        <is>
          <t>Bleu</t>
        </is>
      </c>
      <c r="C41" s="13" t="inlineStr">
        <is>
          <t>nombre saisi : soit un chiffre publié (onglet Entrées, avec fichier, page et URL), soit une borne d'hypothèse</t>
        </is>
      </c>
      <c r="D41" s="2" t="n"/>
      <c r="E41" s="2" t="n"/>
      <c r="F41" s="2" t="n"/>
    </row>
    <row r="42">
      <c r="A42" s="2" t="n"/>
      <c r="B42" s="14" t="inlineStr">
        <is>
          <t>Noir</t>
        </is>
      </c>
      <c r="C42" s="13" t="inlineStr">
        <is>
          <t>formule</t>
        </is>
      </c>
      <c r="D42" s="2" t="n"/>
      <c r="E42" s="2" t="n"/>
      <c r="F42" s="2" t="n"/>
    </row>
    <row r="43">
      <c r="A43" s="2" t="n"/>
      <c r="B43" s="15" t="inlineStr">
        <is>
          <t>Vert</t>
        </is>
      </c>
      <c r="C43" s="13" t="inlineStr">
        <is>
          <t>lien vers un autre onglet</t>
        </is>
      </c>
      <c r="D43" s="2" t="n"/>
      <c r="E43" s="2" t="n"/>
      <c r="F43" s="2" t="n"/>
    </row>
    <row r="44">
      <c r="A44" s="2" t="n"/>
      <c r="B44" s="16" t="inlineStr">
        <is>
          <t>Jaune</t>
        </is>
      </c>
      <c r="C44" s="13" t="inlineStr">
        <is>
          <t>hypothèse du groupe : seules ces cellules se modifient (onglet Hypothèses, et cadres à remplir)</t>
        </is>
      </c>
      <c r="D44" s="2" t="n"/>
      <c r="E44" s="2" t="n"/>
      <c r="F44" s="2" t="n"/>
    </row>
    <row r="45">
      <c r="A45" s="2" t="n"/>
      <c r="B45" s="17" t="inlineStr">
        <is>
          <t>Saumon</t>
        </is>
      </c>
      <c r="C45" s="13" t="inlineStr">
        <is>
          <t>dans Trajectoire : la seule hypothèse qui change dans ce scénario</t>
        </is>
      </c>
      <c r="D45" s="2" t="n"/>
      <c r="E45" s="2" t="n"/>
      <c r="F45" s="2" t="n"/>
    </row>
    <row r="46">
      <c r="A46" s="2" t="n"/>
      <c r="B46" s="18" t="inlineStr">
        <is>
          <t>Actif</t>
        </is>
      </c>
      <c r="C46" s="13" t="inlineStr">
        <is>
          <t>colonne Actif de l'onglet Hypothèses : Base, Bas ou Haut par hypothèse ; tous les onglets lisent la « Valeur active »</t>
        </is>
      </c>
      <c r="D46" s="2" t="n"/>
      <c r="E46" s="2" t="n"/>
      <c r="F46" s="2" t="n"/>
    </row>
    <row r="47">
      <c r="A47" s="2" t="n"/>
      <c r="B47" s="2" t="n"/>
      <c r="C47" s="2" t="n"/>
      <c r="D47" s="2" t="n"/>
      <c r="E47" s="2" t="n"/>
      <c r="F47" s="2" t="n"/>
    </row>
    <row r="48">
      <c r="A48" s="2" t="n"/>
      <c r="B48" s="4" t="inlineStr">
        <is>
          <t>Les six rôles</t>
        </is>
      </c>
      <c r="C48" s="2" t="n"/>
      <c r="D48" s="2" t="n"/>
      <c r="E48" s="2" t="n"/>
      <c r="F48" s="2" t="n"/>
    </row>
    <row r="49">
      <c r="A49" s="19" t="inlineStr"/>
      <c r="B49" s="19" t="inlineStr">
        <is>
          <t>Rôle</t>
        </is>
      </c>
      <c r="C49" s="19" t="inlineStr">
        <is>
          <t>Onglets</t>
        </is>
      </c>
      <c r="D49" s="19" t="inlineStr">
        <is>
          <t>Ce que l'onglet tranche</t>
        </is>
      </c>
      <c r="E49" s="2" t="n"/>
      <c r="F49" s="2" t="n"/>
    </row>
    <row r="50" ht="28" customHeight="1">
      <c r="A50" s="2" t="n"/>
      <c r="B50" s="20" t="inlineStr">
        <is>
          <t>1. Périmètre et sources</t>
        </is>
      </c>
      <c r="C50" s="5" t="inlineStr">
        <is>
          <t>Entrées, Cessions §A-B</t>
        </is>
      </c>
      <c r="D50" s="13" t="inlineStr">
        <is>
          <t>L'enveloppe annoncée est nette des cessions ; Clean Earth en sort.</t>
        </is>
      </c>
      <c r="E50" s="2" t="n"/>
      <c r="F50" s="2" t="n"/>
    </row>
    <row r="51" ht="28" customHeight="1">
      <c r="A51" s="2" t="n"/>
      <c r="B51" s="20" t="inlineStr">
        <is>
          <t>2. La contrainte</t>
        </is>
      </c>
      <c r="C51" s="5" t="inlineStr">
        <is>
          <t>Levier, Pont de dette, Échéancier</t>
        </is>
      </c>
      <c r="D51" s="13" t="inlineStr">
        <is>
          <t>Définition de Veolia, ratios publiés reproduits, trois lectures du départ au 30/06/2026 ; seuils des agences, pont du FFO, mur de refinancement.</t>
        </is>
      </c>
      <c r="E51" s="2" t="n"/>
      <c r="F51" s="2" t="n"/>
    </row>
    <row r="52" ht="28" customHeight="1">
      <c r="A52" s="2" t="n"/>
      <c r="B52" s="20" t="inlineStr">
        <is>
          <t>3. Capacité et sensibilité</t>
        </is>
      </c>
      <c r="C52" s="5" t="inlineStr">
        <is>
          <t>Trajectoire, Sensibilité, Cessions §C, Pont EBITDA</t>
        </is>
      </c>
      <c r="D52" s="13" t="inlineStr">
        <is>
          <t>FCF, calendrier des cessions, ce qui bouge le plus la marge.</t>
        </is>
      </c>
      <c r="E52" s="2" t="n"/>
      <c r="F52" s="2" t="n"/>
    </row>
    <row r="53" ht="28" customHeight="1">
      <c r="A53" s="2" t="n"/>
      <c r="B53" s="20" t="inlineStr">
        <is>
          <t>4. L'écart et les comparables</t>
        </is>
      </c>
      <c r="C53" s="5" t="inlineStr">
        <is>
          <t>Segments, Pont EBITDA, Booster</t>
        </is>
      </c>
      <c r="D53" s="13" t="inlineStr">
        <is>
          <t>D'où viennent les 8 Md€ (un plan d'efficacité) ; volumes face à 9 et 10 Mt ; Clean Harbors en comparable ; Clean Earth vu du vendeur.</t>
        </is>
      </c>
      <c r="E53" s="2" t="n"/>
      <c r="F53" s="2" t="n"/>
    </row>
    <row r="54" ht="28" customHeight="1">
      <c r="A54" s="2" t="n"/>
      <c r="B54" s="20" t="inlineStr">
        <is>
          <t>5. Le coût ESG</t>
        </is>
      </c>
      <c r="C54" s="5" t="inlineStr">
        <is>
          <t>ESG</t>
        </is>
      </c>
      <c r="D54" s="13" t="inlineStr">
        <is>
          <t>Provisions de fermeture ; ce que l'affectation du prix de Clean Earth ne montre pas encore.</t>
        </is>
      </c>
      <c r="E54" s="2" t="n"/>
      <c r="F54" s="2" t="n"/>
    </row>
    <row r="55" ht="28" customHeight="1">
      <c r="A55" s="2" t="n"/>
      <c r="B55" s="20" t="inlineStr">
        <is>
          <t>6. Cibles, puis synthèse</t>
        </is>
      </c>
      <c r="C55" s="5" t="inlineStr">
        <is>
          <t>Cibles</t>
        </is>
      </c>
      <c r="D55" s="13" t="inlineStr">
        <is>
          <t>Taille maximale selon le multiple ; univers de cibles à remplir.</t>
        </is>
      </c>
      <c r="E55" s="2" t="n"/>
      <c r="F55" s="2" t="n"/>
    </row>
    <row r="56">
      <c r="A56" s="2" t="n"/>
      <c r="B56" s="2" t="n"/>
      <c r="C56" s="2" t="n"/>
      <c r="D56" s="2" t="n"/>
      <c r="E56" s="2" t="n"/>
      <c r="F56" s="2" t="n"/>
    </row>
    <row r="57">
      <c r="A57" s="2" t="n"/>
      <c r="B57" s="4" t="inlineStr">
        <is>
          <t>Règles et limites</t>
        </is>
      </c>
      <c r="C57" s="2" t="n"/>
      <c r="D57" s="2" t="n"/>
      <c r="E57" s="2" t="n"/>
      <c r="F57" s="2" t="n"/>
    </row>
    <row r="58" ht="28" customHeight="1">
      <c r="A58" s="2" t="n"/>
      <c r="B58" s="13" t="inlineStr">
        <is>
          <t>•  Aucun chiffre publié n'est saisi ailleurs que dans Entrées. Les seules constantes dans les formules sont 1 000 (Md → M) et 12 (mois).</t>
        </is>
      </c>
      <c r="C58" s="2" t="n"/>
      <c r="D58" s="2" t="n"/>
      <c r="E58" s="2" t="n"/>
      <c r="F58" s="2" t="n"/>
    </row>
    <row r="59" ht="28" customHeight="1">
      <c r="A59" s="2" t="n"/>
      <c r="B59" s="13" t="inlineStr">
        <is>
          <t>•  Le levier est celui de Veolia : dette financière nette de clôture, IFRS 16 incluse, sur EBITDA IFRS 16 inclus. Les hybrides (4,1 Md€) sont en capitaux propres (IAS 32.11).</t>
        </is>
      </c>
      <c r="C59" s="2" t="n"/>
      <c r="D59" s="2" t="n"/>
      <c r="E59" s="2" t="n"/>
      <c r="F59" s="2" t="n"/>
    </row>
    <row r="60" ht="28" customHeight="1">
      <c r="A60" s="2" t="n"/>
      <c r="B60" s="13" t="inlineStr">
        <is>
          <t>•  Les cessions retirent leur EBITDA sur l'année entière où elles sont encaissées : c'est prudent.</t>
        </is>
      </c>
      <c r="C60" s="2" t="n"/>
      <c r="D60" s="2" t="n"/>
      <c r="E60" s="2" t="n"/>
      <c r="F60" s="2" t="n"/>
    </row>
    <row r="61" ht="28" customHeight="1">
      <c r="A61" s="2" t="n"/>
      <c r="B61" s="13" t="inlineStr">
        <is>
          <t>•  Le change sur la dette en dollars n'est pas modélisé ; aucun dividende n'est supposé versé au S2.</t>
        </is>
      </c>
      <c r="C61" s="2" t="n"/>
      <c r="D61" s="2" t="n"/>
      <c r="E61" s="2" t="n"/>
      <c r="F61" s="2" t="n"/>
    </row>
    <row r="62" ht="28" customHeight="1">
      <c r="A62" s="2" t="n"/>
      <c r="B62" s="13" t="inlineStr">
        <is>
          <t>•  Le levier 2026 « publié » compte 7 mois de Clean Earth ; la ligne pro forma en compte 12. Veolia ne dit pas laquelle elle retient.</t>
        </is>
      </c>
      <c r="C62" s="2" t="n"/>
      <c r="D62" s="2" t="n"/>
      <c r="E62" s="2" t="n"/>
      <c r="F62" s="2" t="n"/>
    </row>
    <row r="63" ht="28" customHeight="1">
      <c r="A63" s="2" t="n"/>
      <c r="B63" s="13" t="inlineStr">
        <is>
          <t>•  Le sélecteur de scénario (Hypothèses, colonne Actif) change tout le classeur ; les colonnes de Trajectoire restent des variations une à une autour du scénario actif. Les noms h_&lt;code&gt; (ex. h_s27) pointent sur la valeur active de chaque hypothèse.</t>
        </is>
      </c>
      <c r="C63" s="2" t="n"/>
      <c r="D63" s="2" t="n"/>
      <c r="E63" s="2" t="n"/>
      <c r="F63" s="2" t="n"/>
    </row>
    <row r="64" ht="28" customHeight="1">
      <c r="A64" s="2" t="n"/>
      <c r="B64" s="13" t="inlineStr">
        <is>
          <t>•  Registre : chiffres versés dans dataroom.is42.fr du 1er au 6 octobre 2026. La relecture par un tiers se suit dans Vérifications (dernière ligne) et sur la page Relecture de la dataroom.</t>
        </is>
      </c>
      <c r="C64" s="2" t="n"/>
      <c r="D64" s="2" t="n"/>
      <c r="E64" s="2" t="n"/>
      <c r="F64" s="2" t="n"/>
    </row>
  </sheetData>
  <mergeCells count="19">
    <mergeCell ref="B62:F62"/>
    <mergeCell ref="B59:F59"/>
    <mergeCell ref="D53:F53"/>
    <mergeCell ref="B58:F58"/>
    <mergeCell ref="B60:F60"/>
    <mergeCell ref="B61:F61"/>
    <mergeCell ref="C42:F42"/>
    <mergeCell ref="D55:F55"/>
    <mergeCell ref="D51:F51"/>
    <mergeCell ref="C45:F45"/>
    <mergeCell ref="D54:F54"/>
    <mergeCell ref="D50:F50"/>
    <mergeCell ref="C41:F41"/>
    <mergeCell ref="C44:F44"/>
    <mergeCell ref="B64:F64"/>
    <mergeCell ref="C43:F43"/>
    <mergeCell ref="C46:F46"/>
    <mergeCell ref="B63:F63"/>
    <mergeCell ref="D52:F52"/>
  </mergeCell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L60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62" customWidth="1" min="2" max="2"/>
    <col width="13" customWidth="1" min="3" max="3"/>
    <col width="13" customWidth="1" min="4" max="4"/>
    <col width="13" customWidth="1" min="5" max="5"/>
    <col width="13" customWidth="1" min="6" max="6"/>
    <col width="52" customWidth="1" min="7" max="7"/>
    <col width="6" customWidth="1" min="8" max="8"/>
    <col width="12" customWidth="1" min="9" max="9"/>
    <col width="40" customWidth="1" min="10" max="10"/>
    <col width="12" customWidth="1" min="11" max="11"/>
    <col width="11" customWidth="1" min="12" max="12"/>
  </cols>
  <sheetData>
    <row r="1">
      <c r="A1" s="1" t="inlineStr">
        <is>
          <t>Entrées — le registre de la dataroom, tel quel</t>
        </is>
      </c>
      <c r="B1" s="2" t="n"/>
      <c r="C1" s="2" t="n"/>
      <c r="D1" s="2" t="n"/>
      <c r="E1" s="2" t="n"/>
      <c r="F1" s="2" t="n"/>
      <c r="G1" s="2" t="n"/>
      <c r="H1" s="2" t="n"/>
      <c r="I1" s="2" t="n"/>
      <c r="J1" s="2" t="n"/>
      <c r="K1" s="2" t="n"/>
      <c r="L1" s="2" t="n"/>
    </row>
    <row r="2">
      <c r="A2" s="3" t="inlineStr">
        <is>
          <t>Une ligne par chiffre publié : valeur, unité, période, fichier, page, URL. Aucun nombre n'entre dans le modèle par un autre chemin.</t>
        </is>
      </c>
      <c r="B2" s="2" t="n"/>
      <c r="C2" s="2" t="n"/>
      <c r="D2" s="2" t="n"/>
      <c r="E2" s="2" t="n"/>
      <c r="F2" s="2" t="n"/>
      <c r="G2" s="2" t="n"/>
      <c r="H2" s="2" t="n"/>
      <c r="I2" s="2" t="n"/>
      <c r="J2" s="2" t="n"/>
      <c r="K2" s="2" t="n"/>
      <c r="L2" s="2" t="n"/>
    </row>
    <row r="3">
      <c r="A3" s="3" t="inlineStr">
        <is>
          <t>Valeur = le nombre imprimé, dans l'unité imprimée (les conversions se font dans les formules). « Tel qu'imprimé » garde la graphie d'origine. Source : 00_Admin/register.csv.</t>
        </is>
      </c>
      <c r="B3" s="2" t="n"/>
      <c r="C3" s="2" t="n"/>
      <c r="D3" s="2" t="n"/>
      <c r="E3" s="2" t="n"/>
      <c r="F3" s="2" t="n"/>
      <c r="G3" s="2" t="n"/>
      <c r="H3" s="2" t="n"/>
      <c r="I3" s="2" t="n"/>
      <c r="J3" s="2" t="n"/>
      <c r="K3" s="2" t="n"/>
      <c r="L3" s="2" t="n"/>
    </row>
    <row r="4">
      <c r="A4" s="2" t="n"/>
      <c r="B4" s="2" t="n"/>
      <c r="C4" s="2" t="n"/>
      <c r="D4" s="2" t="n"/>
      <c r="E4" s="2" t="n"/>
      <c r="F4" s="2" t="n"/>
      <c r="G4" s="2" t="n"/>
      <c r="H4" s="2" t="n"/>
      <c r="I4" s="2" t="n"/>
      <c r="J4" s="2" t="n"/>
      <c r="K4" s="2" t="n"/>
      <c r="L4" s="2" t="n"/>
    </row>
    <row r="5">
      <c r="A5" s="19" t="inlineStr">
        <is>
          <t>ID</t>
        </is>
      </c>
      <c r="B5" s="19" t="inlineStr">
        <is>
          <t>Libellé</t>
        </is>
      </c>
      <c r="C5" s="19" t="inlineStr">
        <is>
          <t>Valeur</t>
        </is>
      </c>
      <c r="D5" s="19" t="inlineStr">
        <is>
          <t>Unité</t>
        </is>
      </c>
      <c r="E5" s="19" t="inlineStr">
        <is>
          <t>Période</t>
        </is>
      </c>
      <c r="F5" s="19" t="inlineStr">
        <is>
          <t>Tel qu'imprimé</t>
        </is>
      </c>
      <c r="G5" s="19" t="inlineStr">
        <is>
          <t>Fichier</t>
        </is>
      </c>
      <c r="H5" s="19" t="inlineStr">
        <is>
          <t>Page</t>
        </is>
      </c>
      <c r="I5" s="19" t="inlineStr">
        <is>
          <t>Rôle</t>
        </is>
      </c>
      <c r="J5" s="19" t="inlineStr">
        <is>
          <t>URL source</t>
        </is>
      </c>
      <c r="K5" s="19" t="inlineStr">
        <is>
          <t>Consulté le</t>
        </is>
      </c>
      <c r="L5" s="19" t="inlineStr">
        <is>
          <t>Relu par</t>
        </is>
      </c>
    </row>
    <row r="6">
      <c r="A6" s="20" t="inlineStr">
        <is>
          <t>F1</t>
        </is>
      </c>
      <c r="B6" s="5" t="inlineStr">
        <is>
          <t>EBITDA (groupe)</t>
        </is>
      </c>
      <c r="C6" s="21" t="n">
        <v>3552</v>
      </c>
      <c r="D6" s="5" t="inlineStr">
        <is>
          <t>M EUR</t>
        </is>
      </c>
      <c r="E6" s="5" t="inlineStr">
        <is>
          <t>S1 2026</t>
        </is>
      </c>
      <c r="F6" s="22" t="inlineStr">
        <is>
          <t>3 552</t>
        </is>
      </c>
      <c r="G6" s="5" t="inlineStr">
        <is>
          <t>01_Financial/veolia-amendement-deu-2025-s1-2026.pdf</t>
        </is>
      </c>
      <c r="H6" s="23" t="n">
        <v>47</v>
      </c>
      <c r="I6" s="5" t="inlineStr">
        <is>
          <t>2 Contrainte</t>
        </is>
      </c>
      <c r="J6" s="22" t="inlineStr">
        <is>
          <t>https://www.veolia.com/sites/g/files/dvc4206/files/document/2026/07/Veolia_Finance_amendement_DEU_2025.pdf</t>
        </is>
      </c>
      <c r="K6" s="22" t="inlineStr">
        <is>
          <t>2026-09-22</t>
        </is>
      </c>
      <c r="L6" s="24" t="inlineStr">
        <is>
          <t>à relire</t>
        </is>
      </c>
    </row>
    <row r="7">
      <c r="A7" s="25" t="inlineStr">
        <is>
          <t>F2</t>
        </is>
      </c>
      <c r="B7" s="26" t="inlineStr">
        <is>
          <t>GreenUp : rotation NETTE d'actifs</t>
        </is>
      </c>
      <c r="C7" s="27" t="n">
        <v>0.5</v>
      </c>
      <c r="D7" s="26" t="inlineStr">
        <is>
          <t>Md EUR / an</t>
        </is>
      </c>
      <c r="E7" s="26" t="inlineStr">
        <is>
          <t>2024-2027</t>
        </is>
      </c>
      <c r="F7" s="28" t="inlineStr">
        <is>
          <t>0.5</t>
        </is>
      </c>
      <c r="G7" s="26" t="inlineStr">
        <is>
          <t>01_Financial/en_master_greenup_strategy-day_v270324.pdf</t>
        </is>
      </c>
      <c r="H7" s="29" t="n">
        <v>63</v>
      </c>
      <c r="I7" s="26" t="inlineStr">
        <is>
          <t>1 Périmètre</t>
        </is>
      </c>
      <c r="J7" s="28" t="inlineStr">
        <is>
          <t>https://www.veolia.com/sites/g/files/dvc4206/files/document/2024/03/EN_Master_GreenUp_Strategy%20day_V270324.pdf</t>
        </is>
      </c>
      <c r="K7" s="28" t="inlineStr">
        <is>
          <t>2026-09-22</t>
        </is>
      </c>
      <c r="L7" s="30" t="inlineStr">
        <is>
          <t>à relire</t>
        </is>
      </c>
    </row>
    <row r="8">
      <c r="A8" s="20" t="inlineStr">
        <is>
          <t>F3</t>
        </is>
      </c>
      <c r="B8" s="5" t="inlineStr">
        <is>
          <t>EBITDA (groupe)</t>
        </is>
      </c>
      <c r="C8" s="21" t="n">
        <v>7050</v>
      </c>
      <c r="D8" s="5" t="inlineStr">
        <is>
          <t>M EUR</t>
        </is>
      </c>
      <c r="E8" s="5" t="inlineStr">
        <is>
          <t>FY2025</t>
        </is>
      </c>
      <c r="F8" s="22" t="inlineStr">
        <is>
          <t>7,050</t>
        </is>
      </c>
      <c r="G8" s="5" t="inlineStr">
        <is>
          <t>05_Commercial_Strategy/annual-resultats-2025.pdf</t>
        </is>
      </c>
      <c r="H8" s="23" t="n">
        <v>1</v>
      </c>
      <c r="I8" s="5" t="inlineStr">
        <is>
          <t>2 Contrainte</t>
        </is>
      </c>
      <c r="J8" s="22" t="inlineStr">
        <is>
          <t>https://www.veolia.com/sites/g/files/dvc4206/files/document/2026/02/annual-resultats-2025.pdf</t>
        </is>
      </c>
      <c r="K8" s="22" t="inlineStr">
        <is>
          <t>2026-09-22</t>
        </is>
      </c>
      <c r="L8" s="24" t="inlineStr">
        <is>
          <t>à relire</t>
        </is>
      </c>
    </row>
    <row r="9">
      <c r="A9" s="25" t="inlineStr">
        <is>
          <t>F4</t>
        </is>
      </c>
      <c r="B9" s="26" t="inlineStr">
        <is>
          <t>Investissements nets (net capex)</t>
        </is>
      </c>
      <c r="C9" s="31" t="n">
        <v>3855</v>
      </c>
      <c r="D9" s="26" t="inlineStr">
        <is>
          <t>M EUR</t>
        </is>
      </c>
      <c r="E9" s="26" t="inlineStr">
        <is>
          <t>FY2025</t>
        </is>
      </c>
      <c r="F9" s="28" t="inlineStr">
        <is>
          <t>3,855</t>
        </is>
      </c>
      <c r="G9" s="26" t="inlineStr">
        <is>
          <t>05_Commercial_Strategy/annual-resultats-2025.pdf</t>
        </is>
      </c>
      <c r="H9" s="29" t="n">
        <v>1</v>
      </c>
      <c r="I9" s="26" t="inlineStr">
        <is>
          <t>3 Capacité</t>
        </is>
      </c>
      <c r="J9" s="28" t="inlineStr">
        <is>
          <t>https://www.veolia.com/sites/g/files/dvc4206/files/document/2026/02/annual-resultats-2025.pdf</t>
        </is>
      </c>
      <c r="K9" s="28" t="inlineStr">
        <is>
          <t>2026-09-22</t>
        </is>
      </c>
      <c r="L9" s="30" t="inlineStr">
        <is>
          <t>à relire</t>
        </is>
      </c>
    </row>
    <row r="10">
      <c r="A10" s="20" t="inlineStr">
        <is>
          <t>F5</t>
        </is>
      </c>
      <c r="B10" s="5" t="inlineStr">
        <is>
          <t>GreenUp : tuck-ins, bas de fourchette</t>
        </is>
      </c>
      <c r="C10" s="32" t="n">
        <v>0.5</v>
      </c>
      <c r="D10" s="5" t="inlineStr">
        <is>
          <t>Md EUR</t>
        </is>
      </c>
      <c r="E10" s="5" t="inlineStr">
        <is>
          <t>2024-2027</t>
        </is>
      </c>
      <c r="F10" s="22" t="inlineStr">
        <is>
          <t>0.5</t>
        </is>
      </c>
      <c r="G10" s="5" t="inlineStr">
        <is>
          <t>01_Financial/en_master_greenup_strategy-day_v270324.pdf</t>
        </is>
      </c>
      <c r="H10" s="23" t="n">
        <v>63</v>
      </c>
      <c r="I10" s="5" t="inlineStr">
        <is>
          <t>3 Capacité</t>
        </is>
      </c>
      <c r="J10" s="22" t="inlineStr">
        <is>
          <t>https://www.veolia.com/sites/g/files/dvc4206/files/document/2024/03/EN_Master_GreenUp_Strategy%20day_V270324.pdf</t>
        </is>
      </c>
      <c r="K10" s="22" t="inlineStr">
        <is>
          <t>2026-09-22</t>
        </is>
      </c>
      <c r="L10" s="24" t="inlineStr">
        <is>
          <t>à relire</t>
        </is>
      </c>
    </row>
    <row r="11">
      <c r="A11" s="25" t="inlineStr">
        <is>
          <t>F6</t>
        </is>
      </c>
      <c r="B11" s="26" t="inlineStr">
        <is>
          <t>Plafond GreenUp : dette financière nette / EBITDA ≤</t>
        </is>
      </c>
      <c r="C11" s="31" t="n">
        <v>3</v>
      </c>
      <c r="D11" s="26" t="inlineStr">
        <is>
          <t>x</t>
        </is>
      </c>
      <c r="E11" s="26" t="inlineStr">
        <is>
          <t>2024-2027</t>
        </is>
      </c>
      <c r="F11" s="28" t="inlineStr">
        <is>
          <t>3</t>
        </is>
      </c>
      <c r="G11" s="26" t="inlineStr">
        <is>
          <t>01_Financial/en_master_greenup_strategy-day_v270324.pdf</t>
        </is>
      </c>
      <c r="H11" s="29" t="n">
        <v>64</v>
      </c>
      <c r="I11" s="26" t="inlineStr">
        <is>
          <t>2 Contrainte</t>
        </is>
      </c>
      <c r="J11" s="28" t="inlineStr">
        <is>
          <t>https://www.veolia.com/sites/g/files/dvc4206/files/document/2024/03/EN_Master_GreenUp_Strategy%20day_V270324.pdf</t>
        </is>
      </c>
      <c r="K11" s="28" t="inlineStr">
        <is>
          <t>2026-09-22</t>
        </is>
      </c>
      <c r="L11" s="30" t="inlineStr">
        <is>
          <t>à relire</t>
        </is>
      </c>
    </row>
    <row r="12">
      <c r="A12" s="20" t="inlineStr">
        <is>
          <t>F7</t>
        </is>
      </c>
      <c r="B12" s="5" t="inlineStr">
        <is>
          <t>GreenUp : investissements nets par an</t>
        </is>
      </c>
      <c r="C12" s="32" t="n">
        <v>3.1</v>
      </c>
      <c r="D12" s="5" t="inlineStr">
        <is>
          <t>Md EUR / an</t>
        </is>
      </c>
      <c r="E12" s="5" t="inlineStr">
        <is>
          <t>2024-2027</t>
        </is>
      </c>
      <c r="F12" s="22" t="inlineStr">
        <is>
          <t>3.1</t>
        </is>
      </c>
      <c r="G12" s="5" t="inlineStr">
        <is>
          <t>01_Financial/en_master_greenup_strategy-day_v270324.pdf</t>
        </is>
      </c>
      <c r="H12" s="23" t="n">
        <v>63</v>
      </c>
      <c r="I12" s="5" t="inlineStr">
        <is>
          <t>3 Capacité</t>
        </is>
      </c>
      <c r="J12" s="22" t="inlineStr">
        <is>
          <t>https://www.veolia.com/sites/g/files/dvc4206/files/document/2024/03/EN_Master_GreenUp_Strategy%20day_V270324.pdf</t>
        </is>
      </c>
      <c r="K12" s="22" t="inlineStr">
        <is>
          <t>2026-09-22</t>
        </is>
      </c>
      <c r="L12" s="24" t="inlineStr">
        <is>
          <t>à relire</t>
        </is>
      </c>
    </row>
    <row r="13">
      <c r="A13" s="25" t="inlineStr">
        <is>
          <t>F8</t>
        </is>
      </c>
      <c r="B13" s="26" t="inlineStr">
        <is>
          <t>Endettement financier net (groupe)</t>
        </is>
      </c>
      <c r="C13" s="31" t="n">
        <v>19657</v>
      </c>
      <c r="D13" s="26" t="inlineStr">
        <is>
          <t>M EUR</t>
        </is>
      </c>
      <c r="E13" s="26" t="inlineStr">
        <is>
          <t>31/12/2025</t>
        </is>
      </c>
      <c r="F13" s="28" t="inlineStr">
        <is>
          <t>19,657</t>
        </is>
      </c>
      <c r="G13" s="26" t="inlineStr">
        <is>
          <t>05_Commercial_Strategy/annual-resultats-2025.pdf</t>
        </is>
      </c>
      <c r="H13" s="29" t="n">
        <v>1</v>
      </c>
      <c r="I13" s="26" t="inlineStr">
        <is>
          <t>2 Contrainte</t>
        </is>
      </c>
      <c r="J13" s="28" t="inlineStr">
        <is>
          <t>https://www.veolia.com/sites/g/files/dvc4206/files/document/2026/02/annual-resultats-2025.pdf</t>
        </is>
      </c>
      <c r="K13" s="28" t="inlineStr">
        <is>
          <t>2026-09-22</t>
        </is>
      </c>
      <c r="L13" s="30" t="inlineStr">
        <is>
          <t>à relire</t>
        </is>
      </c>
    </row>
    <row r="14">
      <c r="A14" s="20" t="inlineStr">
        <is>
          <t>F9</t>
        </is>
      </c>
      <c r="B14" s="5" t="inlineStr">
        <is>
          <t>GreenUp : capex de croissance discrétionnaire, haut de fourchette</t>
        </is>
      </c>
      <c r="C14" s="32" t="n">
        <v>0.7</v>
      </c>
      <c r="D14" s="5" t="inlineStr">
        <is>
          <t>Md EUR / an</t>
        </is>
      </c>
      <c r="E14" s="5" t="inlineStr">
        <is>
          <t>2024-2027</t>
        </is>
      </c>
      <c r="F14" s="22" t="inlineStr">
        <is>
          <t>0.7</t>
        </is>
      </c>
      <c r="G14" s="5" t="inlineStr">
        <is>
          <t>01_Financial/en_master_greenup_strategy-day_v270324.pdf</t>
        </is>
      </c>
      <c r="H14" s="23" t="n">
        <v>63</v>
      </c>
      <c r="I14" s="5" t="inlineStr">
        <is>
          <t>3 Capacité</t>
        </is>
      </c>
      <c r="J14" s="22" t="inlineStr">
        <is>
          <t>https://www.veolia.com/sites/g/files/dvc4206/files/document/2024/03/EN_Master_GreenUp_Strategy%20day_V270324.pdf</t>
        </is>
      </c>
      <c r="K14" s="22" t="inlineStr">
        <is>
          <t>2026-09-22</t>
        </is>
      </c>
      <c r="L14" s="24" t="inlineStr">
        <is>
          <t>à relire</t>
        </is>
      </c>
    </row>
    <row r="15">
      <c r="A15" s="25" t="inlineStr">
        <is>
          <t>F10</t>
        </is>
      </c>
      <c r="B15" s="26" t="inlineStr">
        <is>
          <t>Dettes hybrides (titres super-subordonnés), hors coupons</t>
        </is>
      </c>
      <c r="C15" s="27" t="n">
        <v>4.1</v>
      </c>
      <c r="D15" s="26" t="inlineStr">
        <is>
          <t>Md EUR</t>
        </is>
      </c>
      <c r="E15" s="26" t="inlineStr">
        <is>
          <t>30/06/2026</t>
        </is>
      </c>
      <c r="F15" s="28" t="inlineStr">
        <is>
          <t>4.1</t>
        </is>
      </c>
      <c r="G15" s="26" t="inlineStr">
        <is>
          <t>01_Financial/veolia_finance_amendment_urd_2025.pdf</t>
        </is>
      </c>
      <c r="H15" s="29" t="n">
        <v>64</v>
      </c>
      <c r="I15" s="26" t="inlineStr">
        <is>
          <t>2 Contrainte</t>
        </is>
      </c>
      <c r="J15" s="28" t="inlineStr">
        <is>
          <t>https://www.veolia.com/sites/g/files/dvc4206/files/document/2026/07/Veolia_Finance_Amendment_URD_2025.pdf</t>
        </is>
      </c>
      <c r="K15" s="28" t="inlineStr">
        <is>
          <t>2026-09-22</t>
        </is>
      </c>
      <c r="L15" s="30" t="inlineStr">
        <is>
          <t>à relire</t>
        </is>
      </c>
    </row>
    <row r="16">
      <c r="A16" s="20" t="inlineStr">
        <is>
          <t>F11</t>
        </is>
      </c>
      <c r="B16" s="5" t="inlineStr">
        <is>
          <t>Endettement financier net (groupe), après Clean Earth</t>
        </is>
      </c>
      <c r="C16" s="21" t="n">
        <v>24548</v>
      </c>
      <c r="D16" s="5" t="inlineStr">
        <is>
          <t>M EUR</t>
        </is>
      </c>
      <c r="E16" s="5" t="inlineStr">
        <is>
          <t>30/06/2026</t>
        </is>
      </c>
      <c r="F16" s="22" t="inlineStr">
        <is>
          <t>24 548</t>
        </is>
      </c>
      <c r="G16" s="5" t="inlineStr">
        <is>
          <t>01_Financial/veolia-amendement-deu-2025-s1-2026.pdf</t>
        </is>
      </c>
      <c r="H16" s="23" t="n">
        <v>14</v>
      </c>
      <c r="I16" s="5" t="inlineStr">
        <is>
          <t>2 Contrainte</t>
        </is>
      </c>
      <c r="J16" s="22" t="inlineStr">
        <is>
          <t>https://www.veolia.com/sites/g/files/dvc4206/files/document/2026/07/Veolia_Finance_amendement_DEU_2025.pdf</t>
        </is>
      </c>
      <c r="K16" s="22" t="inlineStr">
        <is>
          <t>2026-09-22</t>
        </is>
      </c>
      <c r="L16" s="24" t="inlineStr">
        <is>
          <t>à relire</t>
        </is>
      </c>
    </row>
    <row r="17">
      <c r="A17" s="25" t="inlineStr">
        <is>
          <t>F12</t>
        </is>
      </c>
      <c r="B17" s="26" t="inlineStr">
        <is>
          <t>Objectif GreenUp : EBITDA ≥</t>
        </is>
      </c>
      <c r="C17" s="31" t="n">
        <v>8</v>
      </c>
      <c r="D17" s="26" t="inlineStr">
        <is>
          <t>Md EUR</t>
        </is>
      </c>
      <c r="E17" s="26" t="inlineStr">
        <is>
          <t>2027</t>
        </is>
      </c>
      <c r="F17" s="28" t="inlineStr">
        <is>
          <t>8</t>
        </is>
      </c>
      <c r="G17" s="26" t="inlineStr">
        <is>
          <t>01_Financial/en_master_greenup_strategy-day_v270324.pdf</t>
        </is>
      </c>
      <c r="H17" s="29" t="n">
        <v>9</v>
      </c>
      <c r="I17" s="26" t="inlineStr">
        <is>
          <t>2 Contrainte</t>
        </is>
      </c>
      <c r="J17" s="28" t="inlineStr">
        <is>
          <t>https://www.veolia.com/sites/g/files/dvc4206/files/document/2024/03/EN_Master_GreenUp_Strategy%20day_V270324.pdf</t>
        </is>
      </c>
      <c r="K17" s="28" t="inlineStr">
        <is>
          <t>2026-09-22</t>
        </is>
      </c>
      <c r="L17" s="30" t="inlineStr">
        <is>
          <t>à relire</t>
        </is>
      </c>
    </row>
    <row r="18">
      <c r="A18" s="20" t="inlineStr">
        <is>
          <t>F13</t>
        </is>
      </c>
      <c r="B18" s="5" t="inlineStr">
        <is>
          <t>Cash-flow libre net (net free cash flow)</t>
        </is>
      </c>
      <c r="C18" s="21" t="n">
        <v>1156</v>
      </c>
      <c r="D18" s="5" t="inlineStr">
        <is>
          <t>M EUR</t>
        </is>
      </c>
      <c r="E18" s="5" t="inlineStr">
        <is>
          <t>FY2024</t>
        </is>
      </c>
      <c r="F18" s="22" t="inlineStr">
        <is>
          <t>1,156</t>
        </is>
      </c>
      <c r="G18" s="5" t="inlineStr">
        <is>
          <t>05_Commercial_Strategy/annual-resultats-2025.pdf</t>
        </is>
      </c>
      <c r="H18" s="23" t="n">
        <v>1</v>
      </c>
      <c r="I18" s="5" t="inlineStr">
        <is>
          <t>3 Capacité</t>
        </is>
      </c>
      <c r="J18" s="22" t="inlineStr">
        <is>
          <t>https://www.veolia.com/sites/g/files/dvc4206/files/document/2026/02/annual-resultats-2025.pdf</t>
        </is>
      </c>
      <c r="K18" s="22" t="inlineStr">
        <is>
          <t>2026-09-22</t>
        </is>
      </c>
      <c r="L18" s="24" t="inlineStr">
        <is>
          <t>à relire</t>
        </is>
      </c>
    </row>
    <row r="19">
      <c r="A19" s="25" t="inlineStr">
        <is>
          <t>F14</t>
        </is>
      </c>
      <c r="B19" s="26" t="inlineStr">
        <is>
          <t>Ratio de levier publié, hors Clean Earth</t>
        </is>
      </c>
      <c r="C19" s="27" t="n">
        <v>2.92</v>
      </c>
      <c r="D19" s="26" t="inlineStr">
        <is>
          <t>x</t>
        </is>
      </c>
      <c r="E19" s="26" t="inlineStr">
        <is>
          <t>31/03/2026</t>
        </is>
      </c>
      <c r="F19" s="28" t="inlineStr">
        <is>
          <t>2.92</t>
        </is>
      </c>
      <c r="G19" s="26" t="inlineStr">
        <is>
          <t>01_Financial/operating_and_financial_review_consolidated_financial_statements_q1_2026.pdf</t>
        </is>
      </c>
      <c r="H19" s="29" t="n">
        <v>5</v>
      </c>
      <c r="I19" s="26" t="inlineStr">
        <is>
          <t>2 Contrainte</t>
        </is>
      </c>
      <c r="J19" s="28" t="inlineStr">
        <is>
          <t>https://www.veolia.com/sites/g/files/dvc4206/files/document/2026/05/Operating_and_financial_review_consolidated_financial_statements_Q1_2026.pdf</t>
        </is>
      </c>
      <c r="K19" s="28" t="inlineStr">
        <is>
          <t>2026-09-22</t>
        </is>
      </c>
      <c r="L19" s="30" t="inlineStr">
        <is>
          <t>à relire</t>
        </is>
      </c>
    </row>
    <row r="20">
      <c r="A20" s="20" t="inlineStr">
        <is>
          <t>F15</t>
        </is>
      </c>
      <c r="B20" s="5" t="inlineStr">
        <is>
          <t>Dividende versé au titre de 2024</t>
        </is>
      </c>
      <c r="C20" s="21" t="n">
        <v>1023</v>
      </c>
      <c r="D20" s="5" t="inlineStr">
        <is>
          <t>M EUR</t>
        </is>
      </c>
      <c r="E20" s="5" t="inlineStr">
        <is>
          <t>2025</t>
        </is>
      </c>
      <c r="F20" s="22" t="inlineStr">
        <is>
          <t>1,023</t>
        </is>
      </c>
      <c r="G20" s="5" t="inlineStr">
        <is>
          <t>01_Financial/finance_veolia_urd_2025_en.pdf</t>
        </is>
      </c>
      <c r="H20" s="23" t="n">
        <v>337</v>
      </c>
      <c r="I20" s="5" t="inlineStr">
        <is>
          <t>3 Capacité</t>
        </is>
      </c>
      <c r="J20" s="22" t="inlineStr">
        <is>
          <t>https://www.veolia.com/sites/g/files/dvc4206/files/document/2026/03/Finance_Veolia_URD_2025_en.pdf</t>
        </is>
      </c>
      <c r="K20" s="22" t="inlineStr">
        <is>
          <t>2026-09-22</t>
        </is>
      </c>
      <c r="L20" s="24" t="inlineStr">
        <is>
          <t>à relire</t>
        </is>
      </c>
    </row>
    <row r="21">
      <c r="A21" s="25" t="inlineStr">
        <is>
          <t>F16</t>
        </is>
      </c>
      <c r="B21" s="26" t="inlineStr">
        <is>
          <t>Ratio de levier publié</t>
        </is>
      </c>
      <c r="C21" s="27" t="n">
        <v>2.79</v>
      </c>
      <c r="D21" s="26" t="inlineStr">
        <is>
          <t>x</t>
        </is>
      </c>
      <c r="E21" s="26" t="inlineStr">
        <is>
          <t>FY2025</t>
        </is>
      </c>
      <c r="F21" s="28" t="inlineStr">
        <is>
          <t>2.79</t>
        </is>
      </c>
      <c r="G21" s="26" t="inlineStr">
        <is>
          <t>05_Commercial_Strategy/annual-resultats-2025.pdf</t>
        </is>
      </c>
      <c r="H21" s="29" t="n">
        <v>1</v>
      </c>
      <c r="I21" s="26" t="inlineStr">
        <is>
          <t>2 Contrainte</t>
        </is>
      </c>
      <c r="J21" s="28" t="inlineStr">
        <is>
          <t>https://www.veolia.com/sites/g/files/dvc4206/files/document/2026/02/annual-resultats-2025.pdf</t>
        </is>
      </c>
      <c r="K21" s="28" t="inlineStr">
        <is>
          <t>2026-09-22</t>
        </is>
      </c>
      <c r="L21" s="30" t="inlineStr">
        <is>
          <t>à relire</t>
        </is>
      </c>
    </row>
    <row r="22">
      <c r="A22" s="20" t="inlineStr">
        <is>
          <t>F17</t>
        </is>
      </c>
      <c r="B22" s="5" t="inlineStr">
        <is>
          <t>EBITDA (groupe)</t>
        </is>
      </c>
      <c r="C22" s="21" t="n">
        <v>6788</v>
      </c>
      <c r="D22" s="5" t="inlineStr">
        <is>
          <t>M EUR</t>
        </is>
      </c>
      <c r="E22" s="5" t="inlineStr">
        <is>
          <t>FY2024</t>
        </is>
      </c>
      <c r="F22" s="22" t="inlineStr">
        <is>
          <t>6,788</t>
        </is>
      </c>
      <c r="G22" s="5" t="inlineStr">
        <is>
          <t>05_Commercial_Strategy/annual-resultats-2025.pdf</t>
        </is>
      </c>
      <c r="H22" s="23" t="n">
        <v>1</v>
      </c>
      <c r="I22" s="5" t="inlineStr">
        <is>
          <t>2 Contrainte</t>
        </is>
      </c>
      <c r="J22" s="22" t="inlineStr">
        <is>
          <t>https://www.veolia.com/sites/g/files/dvc4206/files/document/2026/02/annual-resultats-2025.pdf</t>
        </is>
      </c>
      <c r="K22" s="22" t="inlineStr">
        <is>
          <t>2026-09-22</t>
        </is>
      </c>
      <c r="L22" s="24" t="inlineStr">
        <is>
          <t>à relire</t>
        </is>
      </c>
    </row>
    <row r="23">
      <c r="A23" s="25" t="inlineStr">
        <is>
          <t>F18</t>
        </is>
      </c>
      <c r="B23" s="26" t="inlineStr">
        <is>
          <t>GreenUp : cessions continues d'actifs non stratégiques</t>
        </is>
      </c>
      <c r="C23" s="27" t="n">
        <v>0.5</v>
      </c>
      <c r="D23" s="26" t="inlineStr">
        <is>
          <t>Md EUR</t>
        </is>
      </c>
      <c r="E23" s="26" t="inlineStr">
        <is>
          <t>2024-2027</t>
        </is>
      </c>
      <c r="F23" s="28" t="inlineStr">
        <is>
          <t>0.5</t>
        </is>
      </c>
      <c r="G23" s="26" t="inlineStr">
        <is>
          <t>01_Financial/en_master_greenup_strategy-day_v270324.pdf</t>
        </is>
      </c>
      <c r="H23" s="29" t="n">
        <v>63</v>
      </c>
      <c r="I23" s="26" t="inlineStr">
        <is>
          <t>1 Périmètre</t>
        </is>
      </c>
      <c r="J23" s="28" t="inlineStr">
        <is>
          <t>https://www.veolia.com/sites/g/files/dvc4206/files/document/2024/03/EN_Master_GreenUp_Strategy%20day_V270324.pdf</t>
        </is>
      </c>
      <c r="K23" s="28" t="inlineStr">
        <is>
          <t>2026-09-22</t>
        </is>
      </c>
      <c r="L23" s="30" t="inlineStr">
        <is>
          <t>à relire</t>
        </is>
      </c>
    </row>
    <row r="24">
      <c r="A24" s="20" t="inlineStr">
        <is>
          <t>F19</t>
        </is>
      </c>
      <c r="B24" s="5" t="inlineStr">
        <is>
          <t>EBITDA (groupe)</t>
        </is>
      </c>
      <c r="C24" s="21" t="n">
        <v>3367</v>
      </c>
      <c r="D24" s="5" t="inlineStr">
        <is>
          <t>M EUR</t>
        </is>
      </c>
      <c r="E24" s="5" t="inlineStr">
        <is>
          <t>S1 2025</t>
        </is>
      </c>
      <c r="F24" s="22" t="inlineStr">
        <is>
          <t>3 367</t>
        </is>
      </c>
      <c r="G24" s="5" t="inlineStr">
        <is>
          <t>01_Financial/veolia-amendement-deu-2025-s1-2026.pdf</t>
        </is>
      </c>
      <c r="H24" s="23" t="n">
        <v>47</v>
      </c>
      <c r="I24" s="5" t="inlineStr">
        <is>
          <t>2 Contrainte</t>
        </is>
      </c>
      <c r="J24" s="22" t="inlineStr">
        <is>
          <t>https://www.veolia.com/sites/g/files/dvc4206/files/document/2026/07/Veolia_Finance_amendement_DEU_2025.pdf</t>
        </is>
      </c>
      <c r="K24" s="22" t="inlineStr">
        <is>
          <t>2026-09-22</t>
        </is>
      </c>
      <c r="L24" s="24" t="inlineStr">
        <is>
          <t>à relire</t>
        </is>
      </c>
    </row>
    <row r="25">
      <c r="A25" s="25" t="inlineStr">
        <is>
          <t>F20</t>
        </is>
      </c>
      <c r="B25" s="26" t="inlineStr">
        <is>
          <t>Ratio de levier publié</t>
        </is>
      </c>
      <c r="C25" s="27" t="n">
        <v>2.63</v>
      </c>
      <c r="D25" s="26" t="inlineStr">
        <is>
          <t>x</t>
        </is>
      </c>
      <c r="E25" s="26" t="inlineStr">
        <is>
          <t>FY2024</t>
        </is>
      </c>
      <c r="F25" s="28" t="inlineStr">
        <is>
          <t>2.63</t>
        </is>
      </c>
      <c r="G25" s="26" t="inlineStr">
        <is>
          <t>05_Commercial_Strategy/annual-resultats-2025.pdf</t>
        </is>
      </c>
      <c r="H25" s="29" t="n">
        <v>1</v>
      </c>
      <c r="I25" s="26" t="inlineStr">
        <is>
          <t>2 Contrainte</t>
        </is>
      </c>
      <c r="J25" s="28" t="inlineStr">
        <is>
          <t>https://www.veolia.com/sites/g/files/dvc4206/files/document/2026/02/annual-resultats-2025.pdf</t>
        </is>
      </c>
      <c r="K25" s="28" t="inlineStr">
        <is>
          <t>2026-09-22</t>
        </is>
      </c>
      <c r="L25" s="30" t="inlineStr">
        <is>
          <t>à relire</t>
        </is>
      </c>
    </row>
    <row r="26">
      <c r="A26" s="20" t="inlineStr">
        <is>
          <t>F21</t>
        </is>
      </c>
      <c r="B26" s="5" t="inlineStr">
        <is>
          <t>GreenUp : tuck-ins, haut de fourchette</t>
        </is>
      </c>
      <c r="C26" s="21" t="n">
        <v>1</v>
      </c>
      <c r="D26" s="5" t="inlineStr">
        <is>
          <t>Md EUR</t>
        </is>
      </c>
      <c r="E26" s="5" t="inlineStr">
        <is>
          <t>2024-2027</t>
        </is>
      </c>
      <c r="F26" s="22" t="inlineStr">
        <is>
          <t>1.0</t>
        </is>
      </c>
      <c r="G26" s="5" t="inlineStr">
        <is>
          <t>01_Financial/en_master_greenup_strategy-day_v270324.pdf</t>
        </is>
      </c>
      <c r="H26" s="23" t="n">
        <v>63</v>
      </c>
      <c r="I26" s="5" t="inlineStr">
        <is>
          <t>3 Capacité</t>
        </is>
      </c>
      <c r="J26" s="22" t="inlineStr">
        <is>
          <t>https://www.veolia.com/sites/g/files/dvc4206/files/document/2024/03/EN_Master_GreenUp_Strategy%20day_V270324.pdf</t>
        </is>
      </c>
      <c r="K26" s="22" t="inlineStr">
        <is>
          <t>2026-09-22</t>
        </is>
      </c>
      <c r="L26" s="24" t="inlineStr">
        <is>
          <t>à relire</t>
        </is>
      </c>
    </row>
    <row r="27">
      <c r="A27" s="25" t="inlineStr">
        <is>
          <t>F22</t>
        </is>
      </c>
      <c r="B27" s="26" t="inlineStr">
        <is>
          <t>Guidance levier 2026 : égal ou légèrement supérieur à, avec Clean Earth</t>
        </is>
      </c>
      <c r="C27" s="31" t="n">
        <v>3</v>
      </c>
      <c r="D27" s="26" t="inlineStr">
        <is>
          <t>x</t>
        </is>
      </c>
      <c r="E27" s="26" t="inlineStr">
        <is>
          <t>2026</t>
        </is>
      </c>
      <c r="F27" s="28" t="inlineStr">
        <is>
          <t>3</t>
        </is>
      </c>
      <c r="G27" s="26" t="inlineStr">
        <is>
          <t>01_Financial/veolia-amendement-deu-2025-s1-2026.pdf</t>
        </is>
      </c>
      <c r="H27" s="29" t="n">
        <v>29</v>
      </c>
      <c r="I27" s="26" t="inlineStr">
        <is>
          <t>2 Contrainte</t>
        </is>
      </c>
      <c r="J27" s="28" t="inlineStr">
        <is>
          <t>https://www.veolia.com/sites/g/files/dvc4206/files/document/2026/07/Veolia_Finance_amendement_DEU_2025.pdf</t>
        </is>
      </c>
      <c r="K27" s="28" t="inlineStr">
        <is>
          <t>2026-09-22</t>
        </is>
      </c>
      <c r="L27" s="30" t="inlineStr">
        <is>
          <t>à relire</t>
        </is>
      </c>
    </row>
    <row r="28">
      <c r="A28" s="20" t="inlineStr">
        <is>
          <t>F23</t>
        </is>
      </c>
      <c r="B28" s="5" t="inlineStr">
        <is>
          <t>Endettement financier net (groupe)</t>
        </is>
      </c>
      <c r="C28" s="21" t="n">
        <v>17819</v>
      </c>
      <c r="D28" s="5" t="inlineStr">
        <is>
          <t>M EUR</t>
        </is>
      </c>
      <c r="E28" s="5" t="inlineStr">
        <is>
          <t>31/12/2024</t>
        </is>
      </c>
      <c r="F28" s="22" t="inlineStr">
        <is>
          <t>17,819</t>
        </is>
      </c>
      <c r="G28" s="5" t="inlineStr">
        <is>
          <t>05_Commercial_Strategy/annual-resultats-2025.pdf</t>
        </is>
      </c>
      <c r="H28" s="23" t="n">
        <v>1</v>
      </c>
      <c r="I28" s="5" t="inlineStr">
        <is>
          <t>2 Contrainte</t>
        </is>
      </c>
      <c r="J28" s="22" t="inlineStr">
        <is>
          <t>https://www.veolia.com/sites/g/files/dvc4206/files/document/2026/02/annual-resultats-2025.pdf</t>
        </is>
      </c>
      <c r="K28" s="22" t="inlineStr">
        <is>
          <t>2026-09-22</t>
        </is>
      </c>
      <c r="L28" s="24" t="inlineStr">
        <is>
          <t>à relire</t>
        </is>
      </c>
    </row>
    <row r="29">
      <c r="A29" s="25" t="inlineStr">
        <is>
          <t>F24</t>
        </is>
      </c>
      <c r="B29" s="26" t="inlineStr">
        <is>
          <t>GreenUp : capex de croissance discrétionnaire, bas de fourchette</t>
        </is>
      </c>
      <c r="C29" s="27" t="n">
        <v>0.5</v>
      </c>
      <c r="D29" s="26" t="inlineStr">
        <is>
          <t>Md EUR / an</t>
        </is>
      </c>
      <c r="E29" s="26" t="inlineStr">
        <is>
          <t>2024-2027</t>
        </is>
      </c>
      <c r="F29" s="28" t="inlineStr">
        <is>
          <t>0.5</t>
        </is>
      </c>
      <c r="G29" s="26" t="inlineStr">
        <is>
          <t>01_Financial/en_master_greenup_strategy-day_v270324.pdf</t>
        </is>
      </c>
      <c r="H29" s="29" t="n">
        <v>63</v>
      </c>
      <c r="I29" s="26" t="inlineStr">
        <is>
          <t>3 Capacité</t>
        </is>
      </c>
      <c r="J29" s="28" t="inlineStr">
        <is>
          <t>https://www.veolia.com/sites/g/files/dvc4206/files/document/2024/03/EN_Master_GreenUp_Strategy%20day_V270324.pdf</t>
        </is>
      </c>
      <c r="K29" s="28" t="inlineStr">
        <is>
          <t>2026-09-22</t>
        </is>
      </c>
      <c r="L29" s="30" t="inlineStr">
        <is>
          <t>à relire</t>
        </is>
      </c>
    </row>
    <row r="30">
      <c r="A30" s="20" t="inlineStr">
        <is>
          <t>F25</t>
        </is>
      </c>
      <c r="B30" s="5" t="inlineStr">
        <is>
          <t>Programme de cessions, à réaliser d'ici mi-2028 : plus de</t>
        </is>
      </c>
      <c r="C30" s="21" t="n">
        <v>2</v>
      </c>
      <c r="D30" s="5" t="inlineStr">
        <is>
          <t>Md EUR</t>
        </is>
      </c>
      <c r="E30" s="5" t="inlineStr">
        <is>
          <t>2026-2028</t>
        </is>
      </c>
      <c r="F30" s="22" t="inlineStr">
        <is>
          <t>2</t>
        </is>
      </c>
      <c r="G30" s="5" t="inlineStr">
        <is>
          <t>01_Financial/veolia-amendement-deu-2025-s1-2026.pdf</t>
        </is>
      </c>
      <c r="H30" s="23" t="n">
        <v>29</v>
      </c>
      <c r="I30" s="5" t="inlineStr">
        <is>
          <t>3 Capacité</t>
        </is>
      </c>
      <c r="J30" s="22" t="inlineStr">
        <is>
          <t>https://www.veolia.com/sites/g/files/dvc4206/files/document/2026/07/Veolia_Finance_amendement_DEU_2025.pdf</t>
        </is>
      </c>
      <c r="K30" s="22" t="inlineStr">
        <is>
          <t>2026-09-22</t>
        </is>
      </c>
      <c r="L30" s="24" t="inlineStr">
        <is>
          <t>à relire</t>
        </is>
      </c>
    </row>
    <row r="31">
      <c r="A31" s="25" t="inlineStr">
        <is>
          <t>F26</t>
        </is>
      </c>
      <c r="B31" s="26" t="inlineStr">
        <is>
          <t>Trésorerie (groupe)</t>
        </is>
      </c>
      <c r="C31" s="31" t="n">
        <v>9332</v>
      </c>
      <c r="D31" s="26" t="inlineStr">
        <is>
          <t>M EUR</t>
        </is>
      </c>
      <c r="E31" s="26" t="inlineStr">
        <is>
          <t>30/06/2026</t>
        </is>
      </c>
      <c r="F31" s="28" t="inlineStr">
        <is>
          <t>9 332</t>
        </is>
      </c>
      <c r="G31" s="26" t="inlineStr">
        <is>
          <t>01_Financial/veolia-amendement-deu-2025-s1-2026.pdf</t>
        </is>
      </c>
      <c r="H31" s="29" t="n">
        <v>14</v>
      </c>
      <c r="I31" s="26" t="inlineStr">
        <is>
          <t>2 Contrainte</t>
        </is>
      </c>
      <c r="J31" s="28" t="inlineStr">
        <is>
          <t>https://www.veolia.com/sites/g/files/dvc4206/files/document/2026/07/Veolia_Finance_amendement_DEU_2025.pdf</t>
        </is>
      </c>
      <c r="K31" s="28" t="inlineStr">
        <is>
          <t>2026-09-22</t>
        </is>
      </c>
      <c r="L31" s="30" t="inlineStr">
        <is>
          <t>à relire</t>
        </is>
      </c>
    </row>
    <row r="32">
      <c r="A32" s="20" t="inlineStr">
        <is>
          <t>F27</t>
        </is>
      </c>
      <c r="B32" s="5" t="inlineStr">
        <is>
          <t>Dividende proposé au titre de 2025</t>
        </is>
      </c>
      <c r="C32" s="32" t="n">
        <v>1.5</v>
      </c>
      <c r="D32" s="5" t="inlineStr">
        <is>
          <t>EUR par action</t>
        </is>
      </c>
      <c r="E32" s="5" t="inlineStr">
        <is>
          <t>2025</t>
        </is>
      </c>
      <c r="F32" s="22" t="inlineStr">
        <is>
          <t>1,50</t>
        </is>
      </c>
      <c r="G32" s="5" t="inlineStr">
        <is>
          <t>01_Financial/finance_veolia_urd_2025_en.pdf</t>
        </is>
      </c>
      <c r="H32" s="23" t="n">
        <v>337</v>
      </c>
      <c r="I32" s="5" t="inlineStr">
        <is>
          <t>3 Capacité</t>
        </is>
      </c>
      <c r="J32" s="22" t="inlineStr">
        <is>
          <t>https://www.veolia.com/sites/g/files/dvc4206/files/document/2026/03/Finance_Veolia_URD_2025_en.pdf</t>
        </is>
      </c>
      <c r="K32" s="22" t="inlineStr">
        <is>
          <t>2026-09-22</t>
        </is>
      </c>
      <c r="L32" s="24" t="inlineStr">
        <is>
          <t>à relire</t>
        </is>
      </c>
    </row>
    <row r="33">
      <c r="A33" s="25" t="inlineStr">
        <is>
          <t>F28</t>
        </is>
      </c>
      <c r="B33" s="26" t="inlineStr">
        <is>
          <t>Cash-flow libre net avant investissements financiers et dividendes</t>
        </is>
      </c>
      <c r="C33" s="31" t="n">
        <v>-288</v>
      </c>
      <c r="D33" s="26" t="inlineStr">
        <is>
          <t>M EUR</t>
        </is>
      </c>
      <c r="E33" s="26" t="inlineStr">
        <is>
          <t>S1 2026</t>
        </is>
      </c>
      <c r="F33" s="28" t="inlineStr">
        <is>
          <t>-288</t>
        </is>
      </c>
      <c r="G33" s="26" t="inlineStr">
        <is>
          <t>01_Financial/veolia_finance_amendment_urd_2025.pdf</t>
        </is>
      </c>
      <c r="H33" s="29" t="n">
        <v>25</v>
      </c>
      <c r="I33" s="26" t="inlineStr">
        <is>
          <t>3 Capacité</t>
        </is>
      </c>
      <c r="J33" s="28" t="inlineStr">
        <is>
          <t>https://www.veolia.com/sites/g/files/dvc4206/files/document/2026/07/Veolia_Finance_Amendment_URD_2025.pdf</t>
        </is>
      </c>
      <c r="K33" s="28" t="inlineStr">
        <is>
          <t>2026-09-22</t>
        </is>
      </c>
      <c r="L33" s="30" t="inlineStr">
        <is>
          <t>à relire</t>
        </is>
      </c>
    </row>
    <row r="34">
      <c r="A34" s="20" t="inlineStr">
        <is>
          <t>F29</t>
        </is>
      </c>
      <c r="B34" s="5" t="inlineStr">
        <is>
          <t>Cash-flow libre net (net free cash flow)</t>
        </is>
      </c>
      <c r="C34" s="21" t="n">
        <v>1178</v>
      </c>
      <c r="D34" s="5" t="inlineStr">
        <is>
          <t>M EUR</t>
        </is>
      </c>
      <c r="E34" s="5" t="inlineStr">
        <is>
          <t>FY2025</t>
        </is>
      </c>
      <c r="F34" s="22" t="inlineStr">
        <is>
          <t>1,178</t>
        </is>
      </c>
      <c r="G34" s="5" t="inlineStr">
        <is>
          <t>05_Commercial_Strategy/annual-resultats-2025.pdf</t>
        </is>
      </c>
      <c r="H34" s="23" t="n">
        <v>1</v>
      </c>
      <c r="I34" s="5" t="inlineStr">
        <is>
          <t>3 Capacité</t>
        </is>
      </c>
      <c r="J34" s="22" t="inlineStr">
        <is>
          <t>https://www.veolia.com/sites/g/files/dvc4206/files/document/2026/02/annual-resultats-2025.pdf</t>
        </is>
      </c>
      <c r="K34" s="22" t="inlineStr">
        <is>
          <t>2026-09-22</t>
        </is>
      </c>
      <c r="L34" s="24" t="inlineStr">
        <is>
          <t>à relire</t>
        </is>
      </c>
    </row>
    <row r="35">
      <c r="A35" s="25" t="inlineStr">
        <is>
          <t>F30</t>
        </is>
      </c>
      <c r="B35" s="26" t="inlineStr">
        <is>
          <t>Cessions réalisées (Mexique, Belgique)</t>
        </is>
      </c>
      <c r="C35" s="27" t="n">
        <v>0.1</v>
      </c>
      <c r="D35" s="26" t="inlineStr">
        <is>
          <t>Md EUR</t>
        </is>
      </c>
      <c r="E35" s="26" t="inlineStr">
        <is>
          <t>S1 2026</t>
        </is>
      </c>
      <c r="F35" s="28" t="inlineStr">
        <is>
          <t>0.1</t>
        </is>
      </c>
      <c r="G35" s="26" t="inlineStr">
        <is>
          <t>01_Financial/veolia_finance_presentation_h1_2026_results.pdf</t>
        </is>
      </c>
      <c r="H35" s="29" t="n">
        <v>14</v>
      </c>
      <c r="I35" s="26" t="inlineStr">
        <is>
          <t>3 Capacité</t>
        </is>
      </c>
      <c r="J35" s="28" t="inlineStr">
        <is>
          <t>https://www.veolia.com/sites/g/files/dvc4206/files/document/2026/07/Veolia_Finance_presentation_H1_2026_results.pdf</t>
        </is>
      </c>
      <c r="K35" s="28" t="inlineStr">
        <is>
          <t>2026-09-22</t>
        </is>
      </c>
      <c r="L35" s="30" t="inlineStr">
        <is>
          <t>à relire</t>
        </is>
      </c>
    </row>
    <row r="36">
      <c r="A36" s="20" t="inlineStr">
        <is>
          <t>F31</t>
        </is>
      </c>
      <c r="B36" s="5" t="inlineStr">
        <is>
          <t>Signatures de cessions attendues</t>
        </is>
      </c>
      <c r="C36" s="32" t="n">
        <v>0.5</v>
      </c>
      <c r="D36" s="5" t="inlineStr">
        <is>
          <t>Md EUR</t>
        </is>
      </c>
      <c r="E36" s="5" t="inlineStr">
        <is>
          <t>2026</t>
        </is>
      </c>
      <c r="F36" s="22" t="inlineStr">
        <is>
          <t>0.5</t>
        </is>
      </c>
      <c r="G36" s="5" t="inlineStr">
        <is>
          <t>01_Financial/veolia_finance_presentation_h1_2026_results.pdf</t>
        </is>
      </c>
      <c r="H36" s="23" t="n">
        <v>14</v>
      </c>
      <c r="I36" s="5" t="inlineStr">
        <is>
          <t>3 Capacité</t>
        </is>
      </c>
      <c r="J36" s="22" t="inlineStr">
        <is>
          <t>https://www.veolia.com/sites/g/files/dvc4206/files/document/2026/07/Veolia_Finance_presentation_H1_2026_results.pdf</t>
        </is>
      </c>
      <c r="K36" s="22" t="inlineStr">
        <is>
          <t>2026-09-22</t>
        </is>
      </c>
      <c r="L36" s="24" t="inlineStr">
        <is>
          <t>à relire</t>
        </is>
      </c>
    </row>
    <row r="37">
      <c r="A37" s="25" t="inlineStr">
        <is>
          <t>F32</t>
        </is>
      </c>
      <c r="B37" s="26" t="inlineStr">
        <is>
          <t>Rotation d'actifs sur 4 ans : plus de</t>
        </is>
      </c>
      <c r="C37" s="31" t="n">
        <v>8</v>
      </c>
      <c r="D37" s="26" t="inlineStr">
        <is>
          <t>Md EUR</t>
        </is>
      </c>
      <c r="E37" s="26" t="inlineStr">
        <is>
          <t>2024-2027</t>
        </is>
      </c>
      <c r="F37" s="28" t="inlineStr">
        <is>
          <t>8</t>
        </is>
      </c>
      <c r="G37" s="26" t="inlineStr">
        <is>
          <t>01_Financial/veolia_finance_presentation_h1_2026_results.pdf</t>
        </is>
      </c>
      <c r="H37" s="29" t="n">
        <v>4</v>
      </c>
      <c r="I37" s="26" t="inlineStr">
        <is>
          <t>1 Périmètre</t>
        </is>
      </c>
      <c r="J37" s="28" t="inlineStr">
        <is>
          <t>https://www.veolia.com/sites/g/files/dvc4206/files/document/2026/07/Veolia_Finance_presentation_H1_2026_results.pdf</t>
        </is>
      </c>
      <c r="K37" s="28" t="inlineStr">
        <is>
          <t>2026-09-22</t>
        </is>
      </c>
      <c r="L37" s="30" t="inlineStr">
        <is>
          <t>à relire</t>
        </is>
      </c>
    </row>
    <row r="38">
      <c r="A38" s="20" t="inlineStr">
        <is>
          <t>F33</t>
        </is>
      </c>
      <c r="B38" s="5" t="inlineStr">
        <is>
          <t>Déchets dangereux traités</t>
        </is>
      </c>
      <c r="C38" s="21" t="n">
        <v>9196</v>
      </c>
      <c r="D38" s="5" t="inlineStr">
        <is>
          <t>kt</t>
        </is>
      </c>
      <c r="E38" s="5" t="inlineStr">
        <is>
          <t>2024</t>
        </is>
      </c>
      <c r="F38" s="22" t="inlineStr">
        <is>
          <t>9 196</t>
        </is>
      </c>
      <c r="G38" s="5" t="inlineStr">
        <is>
          <t>01_Financial/finance_veolia_urd_2025_en.pdf</t>
        </is>
      </c>
      <c r="H38" s="23" t="n">
        <v>226</v>
      </c>
      <c r="I38" s="5" t="inlineStr">
        <is>
          <t>4 Écart</t>
        </is>
      </c>
      <c r="J38" s="22" t="inlineStr">
        <is>
          <t>https://www.veolia.com/sites/g/files/dvc4206/files/document/2026/03/Finance_Veolia_URD_2025_en.pdf</t>
        </is>
      </c>
      <c r="K38" s="22" t="inlineStr">
        <is>
          <t>2026-09-22</t>
        </is>
      </c>
      <c r="L38" s="24" t="inlineStr">
        <is>
          <t>à relire</t>
        </is>
      </c>
    </row>
    <row r="39">
      <c r="A39" s="25" t="inlineStr">
        <is>
          <t>F34</t>
        </is>
      </c>
      <c r="B39" s="26" t="inlineStr">
        <is>
          <t>Déchets dangereux traités</t>
        </is>
      </c>
      <c r="C39" s="31" t="n">
        <v>9181</v>
      </c>
      <c r="D39" s="26" t="inlineStr">
        <is>
          <t>kt</t>
        </is>
      </c>
      <c r="E39" s="26" t="inlineStr">
        <is>
          <t>2025</t>
        </is>
      </c>
      <c r="F39" s="28" t="inlineStr">
        <is>
          <t>9,181</t>
        </is>
      </c>
      <c r="G39" s="26" t="inlineStr">
        <is>
          <t>01_Financial/finance_veolia_urd_2025_en.pdf</t>
        </is>
      </c>
      <c r="H39" s="29" t="n">
        <v>226</v>
      </c>
      <c r="I39" s="26" t="inlineStr">
        <is>
          <t>4 Écart</t>
        </is>
      </c>
      <c r="J39" s="28" t="inlineStr">
        <is>
          <t>https://www.veolia.com/sites/g/files/dvc4206/files/document/2026/03/Finance_Veolia_URD_2025_en.pdf</t>
        </is>
      </c>
      <c r="K39" s="28" t="inlineStr">
        <is>
          <t>2026-09-22</t>
        </is>
      </c>
      <c r="L39" s="30" t="inlineStr">
        <is>
          <t>à relire</t>
        </is>
      </c>
    </row>
    <row r="40">
      <c r="A40" s="20" t="inlineStr">
        <is>
          <t>F35</t>
        </is>
      </c>
      <c r="B40" s="5" t="inlineStr">
        <is>
          <t>Objectif : déchets dangereux traités en 2027</t>
        </is>
      </c>
      <c r="C40" s="21" t="n">
        <v>9</v>
      </c>
      <c r="D40" s="5" t="inlineStr">
        <is>
          <t>Mt</t>
        </is>
      </c>
      <c r="E40" s="5" t="inlineStr">
        <is>
          <t>2027</t>
        </is>
      </c>
      <c r="F40" s="22" t="inlineStr">
        <is>
          <t>9</t>
        </is>
      </c>
      <c r="G40" s="5" t="inlineStr">
        <is>
          <t>01_Financial/finance_veolia_urd_2025_en.pdf</t>
        </is>
      </c>
      <c r="H40" s="23" t="n">
        <v>226</v>
      </c>
      <c r="I40" s="5" t="inlineStr">
        <is>
          <t>4 Écart</t>
        </is>
      </c>
      <c r="J40" s="22" t="inlineStr">
        <is>
          <t>https://www.veolia.com/sites/g/files/dvc4206/files/document/2026/03/Finance_Veolia_URD_2025_en.pdf</t>
        </is>
      </c>
      <c r="K40" s="22" t="inlineStr">
        <is>
          <t>2026-09-22</t>
        </is>
      </c>
      <c r="L40" s="24" t="inlineStr">
        <is>
          <t>à relire</t>
        </is>
      </c>
    </row>
    <row r="41">
      <c r="A41" s="25" t="inlineStr">
        <is>
          <t>F36</t>
        </is>
      </c>
      <c r="B41" s="26" t="inlineStr">
        <is>
          <t>Objectif GreenUp initial : déchets dangereux et polluants traités en 2027</t>
        </is>
      </c>
      <c r="C41" s="31" t="n">
        <v>10</v>
      </c>
      <c r="D41" s="26" t="inlineStr">
        <is>
          <t>Mt</t>
        </is>
      </c>
      <c r="E41" s="26" t="inlineStr">
        <is>
          <t>2027</t>
        </is>
      </c>
      <c r="F41" s="28" t="inlineStr">
        <is>
          <t>10</t>
        </is>
      </c>
      <c r="G41" s="26" t="inlineStr">
        <is>
          <t>01_Financial/en_master_greenup_strategy-day_v270324.pdf</t>
        </is>
      </c>
      <c r="H41" s="29" t="n">
        <v>9</v>
      </c>
      <c r="I41" s="26" t="inlineStr">
        <is>
          <t>4 Écart</t>
        </is>
      </c>
      <c r="J41" s="28" t="inlineStr">
        <is>
          <t>https://www.veolia.com/sites/g/files/dvc4206/files/document/2024/03/EN_Master_GreenUp_Strategy%20day_V270324.pdf</t>
        </is>
      </c>
      <c r="K41" s="28" t="inlineStr">
        <is>
          <t>2026-09-22</t>
        </is>
      </c>
      <c r="L41" s="30" t="inlineStr">
        <is>
          <t>à relire</t>
        </is>
      </c>
    </row>
    <row r="42">
      <c r="A42" s="20" t="inlineStr">
        <is>
          <t>F37</t>
        </is>
      </c>
      <c r="B42" s="5" t="inlineStr">
        <is>
          <t>EBITDA France et Déchets dangereux Europe</t>
        </is>
      </c>
      <c r="C42" s="21" t="n">
        <v>1392</v>
      </c>
      <c r="D42" s="5" t="inlineStr">
        <is>
          <t>M EUR</t>
        </is>
      </c>
      <c r="E42" s="5" t="inlineStr">
        <is>
          <t>FY2024</t>
        </is>
      </c>
      <c r="F42" s="22" t="inlineStr">
        <is>
          <t>1,392</t>
        </is>
      </c>
      <c r="G42" s="5" t="inlineStr">
        <is>
          <t>05_Commercial_Strategy/annual-resultats-2025.pdf</t>
        </is>
      </c>
      <c r="H42" s="23" t="n">
        <v>9</v>
      </c>
      <c r="I42" s="5" t="inlineStr">
        <is>
          <t>4 Écart</t>
        </is>
      </c>
      <c r="J42" s="22" t="inlineStr">
        <is>
          <t>https://www.veolia.com/sites/g/files/dvc4206/files/document/2026/02/annual-resultats-2025.pdf</t>
        </is>
      </c>
      <c r="K42" s="22" t="inlineStr">
        <is>
          <t>2026-09-22</t>
        </is>
      </c>
      <c r="L42" s="24" t="inlineStr">
        <is>
          <t>à relire</t>
        </is>
      </c>
    </row>
    <row r="43">
      <c r="A43" s="25" t="inlineStr">
        <is>
          <t>F38</t>
        </is>
      </c>
      <c r="B43" s="26" t="inlineStr">
        <is>
          <t>EBITDA France et Déchets dangereux Europe</t>
        </is>
      </c>
      <c r="C43" s="31" t="n">
        <v>1475</v>
      </c>
      <c r="D43" s="26" t="inlineStr">
        <is>
          <t>M EUR</t>
        </is>
      </c>
      <c r="E43" s="26" t="inlineStr">
        <is>
          <t>FY2025</t>
        </is>
      </c>
      <c r="F43" s="28" t="inlineStr">
        <is>
          <t>1,475</t>
        </is>
      </c>
      <c r="G43" s="26" t="inlineStr">
        <is>
          <t>05_Commercial_Strategy/annual-resultats-2025.pdf</t>
        </is>
      </c>
      <c r="H43" s="29" t="n">
        <v>9</v>
      </c>
      <c r="I43" s="26" t="inlineStr">
        <is>
          <t>4 Écart</t>
        </is>
      </c>
      <c r="J43" s="28" t="inlineStr">
        <is>
          <t>https://www.veolia.com/sites/g/files/dvc4206/files/document/2026/02/annual-resultats-2025.pdf</t>
        </is>
      </c>
      <c r="K43" s="28" t="inlineStr">
        <is>
          <t>2026-09-22</t>
        </is>
      </c>
      <c r="L43" s="30" t="inlineStr">
        <is>
          <t>à relire</t>
        </is>
      </c>
    </row>
    <row r="44">
      <c r="A44" s="20" t="inlineStr">
        <is>
          <t>F39</t>
        </is>
      </c>
      <c r="B44" s="5" t="inlineStr">
        <is>
          <t>Chiffre d'affaires Déchets dangereux Europe</t>
        </is>
      </c>
      <c r="C44" s="21" t="n">
        <v>1189</v>
      </c>
      <c r="D44" s="5" t="inlineStr">
        <is>
          <t>M EUR</t>
        </is>
      </c>
      <c r="E44" s="5" t="inlineStr">
        <is>
          <t>S1 2026</t>
        </is>
      </c>
      <c r="F44" s="22" t="inlineStr">
        <is>
          <t>1,189</t>
        </is>
      </c>
      <c r="G44" s="5" t="inlineStr">
        <is>
          <t>05_Commercial_Strategy/veolia-2026-first-half-results.pdf</t>
        </is>
      </c>
      <c r="H44" s="23" t="n">
        <v>7</v>
      </c>
      <c r="I44" s="5" t="inlineStr">
        <is>
          <t>4 Écart</t>
        </is>
      </c>
      <c r="J44" s="22" t="inlineStr">
        <is>
          <t>https://www.veolia.com/sites/g/files/dvc4206/files/document/2026/07/veolia-2026-first-half-results.pdf</t>
        </is>
      </c>
      <c r="K44" s="22" t="inlineStr">
        <is>
          <t>2026-09-22</t>
        </is>
      </c>
      <c r="L44" s="24" t="inlineStr">
        <is>
          <t>à relire</t>
        </is>
      </c>
    </row>
    <row r="45">
      <c r="A45" s="25" t="inlineStr">
        <is>
          <t>F40</t>
        </is>
      </c>
      <c r="B45" s="26" t="inlineStr">
        <is>
          <t>Clean Earth : prix d'acquisition</t>
        </is>
      </c>
      <c r="C45" s="31" t="n">
        <v>2989</v>
      </c>
      <c r="D45" s="26" t="inlineStr">
        <is>
          <t>M USD</t>
        </is>
      </c>
      <c r="E45" s="26" t="inlineStr">
        <is>
          <t>01/06/2026</t>
        </is>
      </c>
      <c r="F45" s="28" t="inlineStr">
        <is>
          <t>2 989</t>
        </is>
      </c>
      <c r="G45" s="26" t="inlineStr">
        <is>
          <t>01_Financial/veolia-amendement-deu-2025-s1-2026.pdf</t>
        </is>
      </c>
      <c r="H45" s="29" t="n">
        <v>46</v>
      </c>
      <c r="I45" s="26" t="inlineStr">
        <is>
          <t>4 Écart</t>
        </is>
      </c>
      <c r="J45" s="28" t="inlineStr">
        <is>
          <t>https://www.veolia.com/sites/g/files/dvc4206/files/document/2026/07/Veolia_Finance_amendement_DEU_2025.pdf</t>
        </is>
      </c>
      <c r="K45" s="28" t="inlineStr">
        <is>
          <t>2026-09-22</t>
        </is>
      </c>
      <c r="L45" s="30" t="inlineStr">
        <is>
          <t>à relire</t>
        </is>
      </c>
    </row>
    <row r="46">
      <c r="A46" s="20" t="inlineStr">
        <is>
          <t>F41</t>
        </is>
      </c>
      <c r="B46" s="5" t="inlineStr">
        <is>
          <t>Clean Earth : prix d'acquisition</t>
        </is>
      </c>
      <c r="C46" s="21" t="n">
        <v>2542</v>
      </c>
      <c r="D46" s="5" t="inlineStr">
        <is>
          <t>M EUR</t>
        </is>
      </c>
      <c r="E46" s="5" t="inlineStr">
        <is>
          <t>01/06/2026</t>
        </is>
      </c>
      <c r="F46" s="22" t="inlineStr">
        <is>
          <t>2 542</t>
        </is>
      </c>
      <c r="G46" s="5" t="inlineStr">
        <is>
          <t>01_Financial/veolia-amendement-deu-2025-s1-2026.pdf</t>
        </is>
      </c>
      <c r="H46" s="23" t="n">
        <v>46</v>
      </c>
      <c r="I46" s="5" t="inlineStr">
        <is>
          <t>4 Écart</t>
        </is>
      </c>
      <c r="J46" s="22" t="inlineStr">
        <is>
          <t>https://www.veolia.com/sites/g/files/dvc4206/files/document/2026/07/Veolia_Finance_amendement_DEU_2025.pdf</t>
        </is>
      </c>
      <c r="K46" s="22" t="inlineStr">
        <is>
          <t>2026-09-22</t>
        </is>
      </c>
      <c r="L46" s="24" t="inlineStr">
        <is>
          <t>à relire</t>
        </is>
      </c>
    </row>
    <row r="47">
      <c r="A47" s="25" t="inlineStr">
        <is>
          <t>F42</t>
        </is>
      </c>
      <c r="B47" s="26" t="inlineStr">
        <is>
          <t>Provisions pour réhabilitation de sites</t>
        </is>
      </c>
      <c r="C47" s="31" t="n">
        <v>1106</v>
      </c>
      <c r="D47" s="26" t="inlineStr">
        <is>
          <t>M EUR</t>
        </is>
      </c>
      <c r="E47" s="26" t="inlineStr">
        <is>
          <t>31/12/2025</t>
        </is>
      </c>
      <c r="F47" s="28" t="inlineStr">
        <is>
          <t>1,106</t>
        </is>
      </c>
      <c r="G47" s="26" t="inlineStr">
        <is>
          <t>01_Financial/finance_veolia_urd_2025_en.pdf</t>
        </is>
      </c>
      <c r="H47" s="29" t="n">
        <v>432</v>
      </c>
      <c r="I47" s="26" t="inlineStr">
        <is>
          <t>5 ESG</t>
        </is>
      </c>
      <c r="J47" s="28" t="inlineStr">
        <is>
          <t>https://www.veolia.com/sites/g/files/dvc4206/files/document/2026/03/Finance_Veolia_URD_2025_en.pdf</t>
        </is>
      </c>
      <c r="K47" s="28" t="inlineStr">
        <is>
          <t>2026-09-22</t>
        </is>
      </c>
      <c r="L47" s="30" t="inlineStr">
        <is>
          <t>à relire</t>
        </is>
      </c>
    </row>
    <row r="48">
      <c r="A48" s="20" t="inlineStr">
        <is>
          <t>F43</t>
        </is>
      </c>
      <c r="B48" s="5" t="inlineStr">
        <is>
          <t>Provisions pour risques environnementaux</t>
        </is>
      </c>
      <c r="C48" s="21" t="n">
        <v>53</v>
      </c>
      <c r="D48" s="5" t="inlineStr">
        <is>
          <t>M EUR</t>
        </is>
      </c>
      <c r="E48" s="5" t="inlineStr">
        <is>
          <t>31/12/2025</t>
        </is>
      </c>
      <c r="F48" s="22" t="inlineStr">
        <is>
          <t>53</t>
        </is>
      </c>
      <c r="G48" s="5" t="inlineStr">
        <is>
          <t>01_Financial/finance_veolia_urd_2025_en.pdf</t>
        </is>
      </c>
      <c r="H48" s="23" t="n">
        <v>432</v>
      </c>
      <c r="I48" s="5" t="inlineStr">
        <is>
          <t>5 ESG</t>
        </is>
      </c>
      <c r="J48" s="22" t="inlineStr">
        <is>
          <t>https://www.veolia.com/sites/g/files/dvc4206/files/document/2026/03/Finance_Veolia_URD_2025_en.pdf</t>
        </is>
      </c>
      <c r="K48" s="22" t="inlineStr">
        <is>
          <t>2026-09-22</t>
        </is>
      </c>
      <c r="L48" s="24" t="inlineStr">
        <is>
          <t>à relire</t>
        </is>
      </c>
    </row>
    <row r="49">
      <c r="A49" s="25" t="inlineStr">
        <is>
          <t>F44</t>
        </is>
      </c>
      <c r="B49" s="26" t="inlineStr">
        <is>
          <t>Provisions de fermeture et post-fermeture (réhabilitation, démantèlement)</t>
        </is>
      </c>
      <c r="C49" s="31" t="n">
        <v>1290</v>
      </c>
      <c r="D49" s="26" t="inlineStr">
        <is>
          <t>M EUR</t>
        </is>
      </c>
      <c r="E49" s="26" t="inlineStr">
        <is>
          <t>30/06/2026</t>
        </is>
      </c>
      <c r="F49" s="28" t="inlineStr">
        <is>
          <t>1,290</t>
        </is>
      </c>
      <c r="G49" s="26" t="inlineStr">
        <is>
          <t>01_Financial/veolia_finance_amendment_urd_2025.pdf</t>
        </is>
      </c>
      <c r="H49" s="29" t="n">
        <v>65</v>
      </c>
      <c r="I49" s="26" t="inlineStr">
        <is>
          <t>5 ESG</t>
        </is>
      </c>
      <c r="J49" s="28" t="inlineStr">
        <is>
          <t>https://www.veolia.com/sites/g/files/dvc4206/files/document/2026/07/Veolia_Finance_Amendment_URD_2025.pdf</t>
        </is>
      </c>
      <c r="K49" s="28" t="inlineStr">
        <is>
          <t>2026-09-22</t>
        </is>
      </c>
      <c r="L49" s="30" t="inlineStr">
        <is>
          <t>à relire</t>
        </is>
      </c>
    </row>
    <row r="50">
      <c r="A50" s="20" t="inlineStr">
        <is>
          <t>F45</t>
        </is>
      </c>
      <c r="B50" s="5" t="inlineStr">
        <is>
          <t>dont segment France et Déchets dangereux Europe</t>
        </is>
      </c>
      <c r="C50" s="21" t="n">
        <v>461</v>
      </c>
      <c r="D50" s="5" t="inlineStr">
        <is>
          <t>M EUR</t>
        </is>
      </c>
      <c r="E50" s="5" t="inlineStr">
        <is>
          <t>30/06/2026</t>
        </is>
      </c>
      <c r="F50" s="22" t="inlineStr">
        <is>
          <t>461</t>
        </is>
      </c>
      <c r="G50" s="5" t="inlineStr">
        <is>
          <t>01_Financial/veolia_finance_amendment_urd_2025.pdf</t>
        </is>
      </c>
      <c r="H50" s="23" t="n">
        <v>65</v>
      </c>
      <c r="I50" s="5" t="inlineStr">
        <is>
          <t>5 ESG</t>
        </is>
      </c>
      <c r="J50" s="22" t="inlineStr">
        <is>
          <t>https://www.veolia.com/sites/g/files/dvc4206/files/document/2026/07/Veolia_Finance_Amendment_URD_2025.pdf</t>
        </is>
      </c>
      <c r="K50" s="22" t="inlineStr">
        <is>
          <t>2026-09-22</t>
        </is>
      </c>
      <c r="L50" s="24" t="inlineStr">
        <is>
          <t>à relire</t>
        </is>
      </c>
    </row>
    <row r="51">
      <c r="A51" s="25" t="inlineStr">
        <is>
          <t>F46</t>
        </is>
      </c>
      <c r="B51" s="26" t="inlineStr">
        <is>
          <t>Clean Earth : valeur d'entreprise</t>
        </is>
      </c>
      <c r="C51" s="31" t="n">
        <v>3</v>
      </c>
      <c r="D51" s="26" t="inlineStr">
        <is>
          <t>Md USD</t>
        </is>
      </c>
      <c r="E51" s="26" t="inlineStr">
        <is>
          <t>annonce 11/2025</t>
        </is>
      </c>
      <c r="F51" s="28" t="inlineStr">
        <is>
          <t>3.0</t>
        </is>
      </c>
      <c r="G51" s="26" t="inlineStr">
        <is>
          <t>01_Financial/veolia_clean_earth_investor_presentation.pdf</t>
        </is>
      </c>
      <c r="H51" s="29" t="n">
        <v>3</v>
      </c>
      <c r="I51" s="26" t="inlineStr">
        <is>
          <t>6 Cibles</t>
        </is>
      </c>
      <c r="J51" s="28" t="inlineStr">
        <is>
          <t>https://www.veolia.com/sites/g/files/dvc4206/files/document/2025/11/Veolia_Clean_Earth_Investor_Presentation.pdf</t>
        </is>
      </c>
      <c r="K51" s="28" t="inlineStr">
        <is>
          <t>2026-09-22</t>
        </is>
      </c>
      <c r="L51" s="30" t="inlineStr">
        <is>
          <t>à relire</t>
        </is>
      </c>
    </row>
    <row r="52">
      <c r="A52" s="20" t="inlineStr">
        <is>
          <t>F47</t>
        </is>
      </c>
      <c r="B52" s="5" t="inlineStr">
        <is>
          <t>Clean Earth : valeur d'entreprise (équivalent)</t>
        </is>
      </c>
      <c r="C52" s="32" t="n">
        <v>2.6</v>
      </c>
      <c r="D52" s="5" t="inlineStr">
        <is>
          <t>Md EUR</t>
        </is>
      </c>
      <c r="E52" s="5" t="inlineStr">
        <is>
          <t>annonce 11/2025</t>
        </is>
      </c>
      <c r="F52" s="22" t="inlineStr">
        <is>
          <t>2.6</t>
        </is>
      </c>
      <c r="G52" s="5" t="inlineStr">
        <is>
          <t>01_Financial/veolia_clean_earth_investor_presentation.pdf</t>
        </is>
      </c>
      <c r="H52" s="23" t="n">
        <v>3</v>
      </c>
      <c r="I52" s="5" t="inlineStr">
        <is>
          <t>6 Cibles</t>
        </is>
      </c>
      <c r="J52" s="22" t="inlineStr">
        <is>
          <t>https://www.veolia.com/sites/g/files/dvc4206/files/document/2025/11/Veolia_Clean_Earth_Investor_Presentation.pdf</t>
        </is>
      </c>
      <c r="K52" s="22" t="inlineStr">
        <is>
          <t>2026-09-22</t>
        </is>
      </c>
      <c r="L52" s="24" t="inlineStr">
        <is>
          <t>à relire</t>
        </is>
      </c>
    </row>
    <row r="53">
      <c r="A53" s="25" t="inlineStr">
        <is>
          <t>F48</t>
        </is>
      </c>
      <c r="B53" s="26" t="inlineStr">
        <is>
          <t>Clean Earth : multiple VE / EBITDA 2026e après synergies en régime de croisière</t>
        </is>
      </c>
      <c r="C53" s="27" t="n">
        <v>9.800000000000001</v>
      </c>
      <c r="D53" s="26" t="inlineStr">
        <is>
          <t>x</t>
        </is>
      </c>
      <c r="E53" s="26" t="inlineStr">
        <is>
          <t>2026e</t>
        </is>
      </c>
      <c r="F53" s="28" t="inlineStr">
        <is>
          <t>9.8</t>
        </is>
      </c>
      <c r="G53" s="26" t="inlineStr">
        <is>
          <t>01_Financial/veolia_clean_earth_investor_presentation.pdf</t>
        </is>
      </c>
      <c r="H53" s="29" t="n">
        <v>3</v>
      </c>
      <c r="I53" s="26" t="inlineStr">
        <is>
          <t>6 Cibles</t>
        </is>
      </c>
      <c r="J53" s="28" t="inlineStr">
        <is>
          <t>https://www.veolia.com/sites/g/files/dvc4206/files/document/2025/11/Veolia_Clean_Earth_Investor_Presentation.pdf</t>
        </is>
      </c>
      <c r="K53" s="28" t="inlineStr">
        <is>
          <t>2026-09-22</t>
        </is>
      </c>
      <c r="L53" s="30" t="inlineStr">
        <is>
          <t>à relire</t>
        </is>
      </c>
    </row>
    <row r="54">
      <c r="A54" s="20" t="inlineStr">
        <is>
          <t>F49</t>
        </is>
      </c>
      <c r="B54" s="5" t="inlineStr">
        <is>
          <t>Clean Earth : synergies de coûts en régime de croisière, année 4</t>
        </is>
      </c>
      <c r="C54" s="21" t="n">
        <v>120</v>
      </c>
      <c r="D54" s="5" t="inlineStr">
        <is>
          <t>M USD</t>
        </is>
      </c>
      <c r="E54" s="5" t="inlineStr">
        <is>
          <t>année 4</t>
        </is>
      </c>
      <c r="F54" s="22" t="inlineStr">
        <is>
          <t>120</t>
        </is>
      </c>
      <c r="G54" s="5" t="inlineStr">
        <is>
          <t>01_Financial/veolia_clean_earth_investor_presentation.pdf</t>
        </is>
      </c>
      <c r="H54" s="23" t="n">
        <v>13</v>
      </c>
      <c r="I54" s="5" t="inlineStr">
        <is>
          <t>6 Cibles</t>
        </is>
      </c>
      <c r="J54" s="22" t="inlineStr">
        <is>
          <t>https://www.veolia.com/sites/g/files/dvc4206/files/document/2025/11/Veolia_Clean_Earth_Investor_Presentation.pdf</t>
        </is>
      </c>
      <c r="K54" s="22" t="inlineStr">
        <is>
          <t>2026-09-22</t>
        </is>
      </c>
      <c r="L54" s="24" t="inlineStr">
        <is>
          <t>à relire</t>
        </is>
      </c>
    </row>
    <row r="55">
      <c r="A55" s="25" t="inlineStr">
        <is>
          <t>F50</t>
        </is>
      </c>
      <c r="B55" s="26" t="inlineStr">
        <is>
          <t>Clean Earth : coûts de mise en œuvre attendus des synergies</t>
        </is>
      </c>
      <c r="C55" s="31" t="n">
        <v>90</v>
      </c>
      <c r="D55" s="26" t="inlineStr">
        <is>
          <t>M USD</t>
        </is>
      </c>
      <c r="E55" s="26" t="inlineStr">
        <is>
          <t>année 1-4</t>
        </is>
      </c>
      <c r="F55" s="28" t="inlineStr">
        <is>
          <t>90</t>
        </is>
      </c>
      <c r="G55" s="26" t="inlineStr">
        <is>
          <t>01_Financial/veolia_clean_earth_investor_presentation.pdf</t>
        </is>
      </c>
      <c r="H55" s="29" t="n">
        <v>13</v>
      </c>
      <c r="I55" s="26" t="inlineStr">
        <is>
          <t>6 Cibles</t>
        </is>
      </c>
      <c r="J55" s="28" t="inlineStr">
        <is>
          <t>https://www.veolia.com/sites/g/files/dvc4206/files/document/2025/11/Veolia_Clean_Earth_Investor_Presentation.pdf</t>
        </is>
      </c>
      <c r="K55" s="28" t="inlineStr">
        <is>
          <t>2026-09-22</t>
        </is>
      </c>
      <c r="L55" s="30" t="inlineStr">
        <is>
          <t>à relire</t>
        </is>
      </c>
    </row>
    <row r="56">
      <c r="A56" s="20" t="inlineStr">
        <is>
          <t>F51</t>
        </is>
      </c>
      <c r="B56" s="5" t="inlineStr">
        <is>
          <t>Clean Earth : EBITDA (ajusté, post IFRS 16)</t>
        </is>
      </c>
      <c r="C56" s="21" t="n">
        <v>200</v>
      </c>
      <c r="D56" s="5" t="inlineStr">
        <is>
          <t>M USD</t>
        </is>
      </c>
      <c r="E56" s="5" t="inlineStr">
        <is>
          <t>2026E</t>
        </is>
      </c>
      <c r="F56" s="22" t="inlineStr">
        <is>
          <t>200</t>
        </is>
      </c>
      <c r="G56" s="5" t="inlineStr">
        <is>
          <t>01_Financial/veolia_clean_earth_investor_presentation.pdf</t>
        </is>
      </c>
      <c r="H56" s="23" t="n">
        <v>6</v>
      </c>
      <c r="I56" s="5" t="inlineStr">
        <is>
          <t>2 Contrainte</t>
        </is>
      </c>
      <c r="J56" s="22" t="inlineStr">
        <is>
          <t>https://www.veolia.com/sites/g/files/dvc4206/files/document/2025/11/Veolia_Clean_Earth_Investor_Presentation.pdf</t>
        </is>
      </c>
      <c r="K56" s="22" t="inlineStr">
        <is>
          <t>2026-09-22</t>
        </is>
      </c>
      <c r="L56" s="24" t="inlineStr">
        <is>
          <t>à relire</t>
        </is>
      </c>
    </row>
    <row r="57">
      <c r="A57" s="25" t="inlineStr">
        <is>
          <t>F52</t>
        </is>
      </c>
      <c r="B57" s="26" t="inlineStr">
        <is>
          <t>Clean Earth : chiffre d'affaires</t>
        </is>
      </c>
      <c r="C57" s="31" t="n">
        <v>1030</v>
      </c>
      <c r="D57" s="26" t="inlineStr">
        <is>
          <t>M USD</t>
        </is>
      </c>
      <c r="E57" s="26" t="inlineStr">
        <is>
          <t>2026E</t>
        </is>
      </c>
      <c r="F57" s="28" t="inlineStr">
        <is>
          <t>1,030</t>
        </is>
      </c>
      <c r="G57" s="26" t="inlineStr">
        <is>
          <t>01_Financial/veolia_clean_earth_investor_presentation.pdf</t>
        </is>
      </c>
      <c r="H57" s="29" t="n">
        <v>6</v>
      </c>
      <c r="I57" s="26" t="inlineStr">
        <is>
          <t>4 Écart</t>
        </is>
      </c>
      <c r="J57" s="28" t="inlineStr">
        <is>
          <t>https://www.veolia.com/sites/g/files/dvc4206/files/document/2025/11/Veolia_Clean_Earth_Investor_Presentation.pdf</t>
        </is>
      </c>
      <c r="K57" s="28" t="inlineStr">
        <is>
          <t>2026-09-22</t>
        </is>
      </c>
      <c r="L57" s="30" t="inlineStr">
        <is>
          <t>à relire</t>
        </is>
      </c>
    </row>
    <row r="58">
      <c r="A58" s="20" t="inlineStr">
        <is>
          <t>F53</t>
        </is>
      </c>
      <c r="B58" s="5" t="inlineStr">
        <is>
          <t>Clean Earth : conversion FCF / EBITDA, plus de</t>
        </is>
      </c>
      <c r="C58" s="21" t="n">
        <v>60</v>
      </c>
      <c r="D58" s="5" t="inlineStr">
        <is>
          <t>%</t>
        </is>
      </c>
      <c r="E58" s="5" t="inlineStr">
        <is>
          <t>2026E</t>
        </is>
      </c>
      <c r="F58" s="22" t="inlineStr">
        <is>
          <t>60</t>
        </is>
      </c>
      <c r="G58" s="5" t="inlineStr">
        <is>
          <t>01_Financial/veolia_clean_earth_investor_presentation.pdf</t>
        </is>
      </c>
      <c r="H58" s="23" t="n">
        <v>6</v>
      </c>
      <c r="I58" s="5" t="inlineStr">
        <is>
          <t>3 Capacité</t>
        </is>
      </c>
      <c r="J58" s="22" t="inlineStr">
        <is>
          <t>https://www.veolia.com/sites/g/files/dvc4206/files/document/2025/11/Veolia_Clean_Earth_Investor_Presentation.pdf</t>
        </is>
      </c>
      <c r="K58" s="22" t="inlineStr">
        <is>
          <t>2026-09-22</t>
        </is>
      </c>
      <c r="L58" s="24" t="inlineStr">
        <is>
          <t>à relire</t>
        </is>
      </c>
    </row>
    <row r="59">
      <c r="A59" s="25" t="inlineStr">
        <is>
          <t>F54</t>
        </is>
      </c>
      <c r="B59" s="26" t="inlineStr">
        <is>
          <t>Clean Earth : chiffre d'affaires</t>
        </is>
      </c>
      <c r="C59" s="31" t="n">
        <v>980</v>
      </c>
      <c r="D59" s="26" t="inlineStr">
        <is>
          <t>M USD</t>
        </is>
      </c>
      <c r="E59" s="26" t="inlineStr">
        <is>
          <t>2025E</t>
        </is>
      </c>
      <c r="F59" s="28" t="inlineStr">
        <is>
          <t>980</t>
        </is>
      </c>
      <c r="G59" s="26" t="inlineStr">
        <is>
          <t>01_Financial/veolia_clean_earth_investor_presentation.pdf</t>
        </is>
      </c>
      <c r="H59" s="29" t="n">
        <v>7</v>
      </c>
      <c r="I59" s="26" t="inlineStr">
        <is>
          <t>4 Écart</t>
        </is>
      </c>
      <c r="J59" s="28" t="inlineStr">
        <is>
          <t>https://www.veolia.com/sites/g/files/dvc4206/files/document/2025/11/Veolia_Clean_Earth_Investor_Presentation.pdf</t>
        </is>
      </c>
      <c r="K59" s="28" t="inlineStr">
        <is>
          <t>2026-09-22</t>
        </is>
      </c>
      <c r="L59" s="30" t="inlineStr">
        <is>
          <t>à relire</t>
        </is>
      </c>
    </row>
    <row r="60">
      <c r="A60" s="20" t="inlineStr">
        <is>
          <t>F55</t>
        </is>
      </c>
      <c r="B60" s="5" t="inlineStr">
        <is>
          <t>Engagement de levier du groupe : autour ou légèrement au-dessus de, selon le calendrier des cessions</t>
        </is>
      </c>
      <c r="C60" s="21" t="n">
        <v>3</v>
      </c>
      <c r="D60" s="5" t="inlineStr">
        <is>
          <t>x</t>
        </is>
      </c>
      <c r="E60" s="5" t="inlineStr">
        <is>
          <t>2026</t>
        </is>
      </c>
      <c r="F60" s="22" t="inlineStr">
        <is>
          <t>3</t>
        </is>
      </c>
      <c r="G60" s="5" t="inlineStr">
        <is>
          <t>01_Financial/veolia_clean_earth_investor_presentation.pdf</t>
        </is>
      </c>
      <c r="H60" s="23" t="n">
        <v>16</v>
      </c>
      <c r="I60" s="5" t="inlineStr">
        <is>
          <t>2 Contrainte</t>
        </is>
      </c>
      <c r="J60" s="22" t="inlineStr">
        <is>
          <t>https://www.veolia.com/sites/g/files/dvc4206/files/document/2025/11/Veolia_Clean_Earth_Investor_Presentation.pdf</t>
        </is>
      </c>
      <c r="K60" s="22" t="inlineStr">
        <is>
          <t>2026-09-22</t>
        </is>
      </c>
      <c r="L60" s="24" t="inlineStr">
        <is>
          <t>à relire</t>
        </is>
      </c>
    </row>
    <row r="61">
      <c r="A61" s="25" t="inlineStr">
        <is>
          <t>F56</t>
        </is>
      </c>
      <c r="B61" s="26" t="inlineStr">
        <is>
          <t>Engagement de levier du groupe : ≤</t>
        </is>
      </c>
      <c r="C61" s="31" t="n">
        <v>3</v>
      </c>
      <c r="D61" s="26" t="inlineStr">
        <is>
          <t>x</t>
        </is>
      </c>
      <c r="E61" s="26" t="inlineStr">
        <is>
          <t>2027</t>
        </is>
      </c>
      <c r="F61" s="28" t="inlineStr">
        <is>
          <t>3</t>
        </is>
      </c>
      <c r="G61" s="26" t="inlineStr">
        <is>
          <t>01_Financial/veolia_clean_earth_investor_presentation.pdf</t>
        </is>
      </c>
      <c r="H61" s="29" t="n">
        <v>16</v>
      </c>
      <c r="I61" s="26" t="inlineStr">
        <is>
          <t>2 Contrainte</t>
        </is>
      </c>
      <c r="J61" s="28" t="inlineStr">
        <is>
          <t>https://www.veolia.com/sites/g/files/dvc4206/files/document/2025/11/Veolia_Clean_Earth_Investor_Presentation.pdf</t>
        </is>
      </c>
      <c r="K61" s="28" t="inlineStr">
        <is>
          <t>2026-09-22</t>
        </is>
      </c>
      <c r="L61" s="30" t="inlineStr">
        <is>
          <t>à relire</t>
        </is>
      </c>
    </row>
    <row r="62">
      <c r="A62" s="20" t="inlineStr">
        <is>
          <t>F57</t>
        </is>
      </c>
      <c r="B62" s="5" t="inlineStr">
        <is>
          <t>Guidance : levier égal ou légèrement supérieur à 3x en fin d'année, Clean Earth inclus</t>
        </is>
      </c>
      <c r="C62" s="21" t="n">
        <v>3</v>
      </c>
      <c r="D62" s="5" t="inlineStr">
        <is>
          <t>x</t>
        </is>
      </c>
      <c r="E62" s="5" t="inlineStr">
        <is>
          <t>31/12/2026</t>
        </is>
      </c>
      <c r="F62" s="22" t="inlineStr">
        <is>
          <t>3</t>
        </is>
      </c>
      <c r="G62" s="5" t="inlineStr">
        <is>
          <t>05_Commercial_Strategy/veolia-2026-first-half-results.pdf</t>
        </is>
      </c>
      <c r="H62" s="23" t="n">
        <v>3</v>
      </c>
      <c r="I62" s="5" t="inlineStr">
        <is>
          <t>2 Contrainte</t>
        </is>
      </c>
      <c r="J62" s="22" t="inlineStr">
        <is>
          <t>https://www.veolia.com/sites/g/files/dvc4206/files/document/2026/07/veolia-2026-first-half-results.pdf</t>
        </is>
      </c>
      <c r="K62" s="22" t="inlineStr">
        <is>
          <t>2026-09-22</t>
        </is>
      </c>
      <c r="L62" s="24" t="inlineStr">
        <is>
          <t>à relire</t>
        </is>
      </c>
    </row>
    <row r="63">
      <c r="A63" s="25" t="inlineStr">
        <is>
          <t>F58</t>
        </is>
      </c>
      <c r="B63" s="26" t="inlineStr">
        <is>
          <t>Déchets dangereux Veolia : chiffre d'affaires</t>
        </is>
      </c>
      <c r="C63" s="27" t="n">
        <v>4.3</v>
      </c>
      <c r="D63" s="26" t="inlineStr">
        <is>
          <t>Md EUR</t>
        </is>
      </c>
      <c r="E63" s="26" t="inlineStr">
        <is>
          <t>2024</t>
        </is>
      </c>
      <c r="F63" s="28" t="inlineStr">
        <is>
          <t>4.3</t>
        </is>
      </c>
      <c r="G63" s="26" t="inlineStr">
        <is>
          <t>01_Financial/veolia_clean_earth_investor_presentation.pdf</t>
        </is>
      </c>
      <c r="H63" s="29" t="n">
        <v>4</v>
      </c>
      <c r="I63" s="26" t="inlineStr">
        <is>
          <t>4 Écart</t>
        </is>
      </c>
      <c r="J63" s="28" t="inlineStr">
        <is>
          <t>https://www.veolia.com/sites/g/files/dvc4206/files/document/2025/11/Veolia_Clean_Earth_Investor_Presentation.pdf</t>
        </is>
      </c>
      <c r="K63" s="28" t="inlineStr">
        <is>
          <t>2026-09-22</t>
        </is>
      </c>
      <c r="L63" s="30" t="inlineStr">
        <is>
          <t>à relire</t>
        </is>
      </c>
    </row>
    <row r="64">
      <c r="A64" s="20" t="inlineStr">
        <is>
          <t>F59</t>
        </is>
      </c>
      <c r="B64" s="5" t="inlineStr">
        <is>
          <t>Déchets dangereux Veolia + Clean Earth : chiffre d'affaires pro forma</t>
        </is>
      </c>
      <c r="C64" s="32" t="n">
        <v>5.2</v>
      </c>
      <c r="D64" s="5" t="inlineStr">
        <is>
          <t>Md EUR</t>
        </is>
      </c>
      <c r="E64" s="5" t="inlineStr">
        <is>
          <t>2025E</t>
        </is>
      </c>
      <c r="F64" s="22" t="inlineStr">
        <is>
          <t>5.2</t>
        </is>
      </c>
      <c r="G64" s="5" t="inlineStr">
        <is>
          <t>01_Financial/veolia_clean_earth_investor_presentation.pdf</t>
        </is>
      </c>
      <c r="H64" s="23" t="n">
        <v>9</v>
      </c>
      <c r="I64" s="5" t="inlineStr">
        <is>
          <t>4 Écart</t>
        </is>
      </c>
      <c r="J64" s="22" t="inlineStr">
        <is>
          <t>https://www.veolia.com/sites/g/files/dvc4206/files/document/2025/11/Veolia_Clean_Earth_Investor_Presentation.pdf</t>
        </is>
      </c>
      <c r="K64" s="22" t="inlineStr">
        <is>
          <t>2026-09-22</t>
        </is>
      </c>
      <c r="L64" s="24" t="inlineStr">
        <is>
          <t>à relire</t>
        </is>
      </c>
    </row>
    <row r="65">
      <c r="A65" s="25" t="inlineStr">
        <is>
          <t>F60</t>
        </is>
      </c>
      <c r="B65" s="26" t="inlineStr">
        <is>
          <t>Déchets dangereux Veolia + Clean Earth : EBITDA pro forma</t>
        </is>
      </c>
      <c r="C65" s="27" t="n">
        <v>0.9</v>
      </c>
      <c r="D65" s="26" t="inlineStr">
        <is>
          <t>Md EUR</t>
        </is>
      </c>
      <c r="E65" s="26" t="inlineStr">
        <is>
          <t>2025E</t>
        </is>
      </c>
      <c r="F65" s="28" t="inlineStr">
        <is>
          <t>0.9</t>
        </is>
      </c>
      <c r="G65" s="26" t="inlineStr">
        <is>
          <t>01_Financial/veolia_clean_earth_investor_presentation.pdf</t>
        </is>
      </c>
      <c r="H65" s="29" t="n">
        <v>9</v>
      </c>
      <c r="I65" s="26" t="inlineStr">
        <is>
          <t>4 Écart</t>
        </is>
      </c>
      <c r="J65" s="28" t="inlineStr">
        <is>
          <t>https://www.veolia.com/sites/g/files/dvc4206/files/document/2025/11/Veolia_Clean_Earth_Investor_Presentation.pdf</t>
        </is>
      </c>
      <c r="K65" s="28" t="inlineStr">
        <is>
          <t>2026-09-22</t>
        </is>
      </c>
      <c r="L65" s="30" t="inlineStr">
        <is>
          <t>à relire</t>
        </is>
      </c>
    </row>
    <row r="66">
      <c r="A66" s="20" t="inlineStr">
        <is>
          <t>F61</t>
        </is>
      </c>
      <c r="B66" s="5" t="inlineStr">
        <is>
          <t>Déchets dangereux Veolia + Clean Earth : marge d'EBITDA pro forma</t>
        </is>
      </c>
      <c r="C66" s="21" t="n">
        <v>17</v>
      </c>
      <c r="D66" s="5" t="inlineStr">
        <is>
          <t>%</t>
        </is>
      </c>
      <c r="E66" s="5" t="inlineStr">
        <is>
          <t>2025E</t>
        </is>
      </c>
      <c r="F66" s="22" t="inlineStr">
        <is>
          <t>17</t>
        </is>
      </c>
      <c r="G66" s="5" t="inlineStr">
        <is>
          <t>01_Financial/veolia_clean_earth_investor_presentation.pdf</t>
        </is>
      </c>
      <c r="H66" s="23" t="n">
        <v>9</v>
      </c>
      <c r="I66" s="5" t="inlineStr">
        <is>
          <t>4 Écart</t>
        </is>
      </c>
      <c r="J66" s="22" t="inlineStr">
        <is>
          <t>https://www.veolia.com/sites/g/files/dvc4206/files/document/2025/11/Veolia_Clean_Earth_Investor_Presentation.pdf</t>
        </is>
      </c>
      <c r="K66" s="22" t="inlineStr">
        <is>
          <t>2026-09-22</t>
        </is>
      </c>
      <c r="L66" s="24" t="inlineStr">
        <is>
          <t>à relire</t>
        </is>
      </c>
    </row>
    <row r="67">
      <c r="A67" s="25" t="inlineStr">
        <is>
          <t>F62</t>
        </is>
      </c>
      <c r="B67" s="26" t="inlineStr">
        <is>
          <t>Ambition GreenUp relevée : croissance annuelle de l'EBITDA déchets dangereux, plus de</t>
        </is>
      </c>
      <c r="C67" s="31" t="n">
        <v>10</v>
      </c>
      <c r="D67" s="26" t="inlineStr">
        <is>
          <t>% / an</t>
        </is>
      </c>
      <c r="E67" s="26" t="inlineStr">
        <is>
          <t>2024-2027</t>
        </is>
      </c>
      <c r="F67" s="28" t="inlineStr">
        <is>
          <t>10</t>
        </is>
      </c>
      <c r="G67" s="26" t="inlineStr">
        <is>
          <t>01_Financial/veolia_clean_earth_investor_presentation.pdf</t>
        </is>
      </c>
      <c r="H67" s="29" t="n">
        <v>9</v>
      </c>
      <c r="I67" s="26" t="inlineStr">
        <is>
          <t>4 Écart</t>
        </is>
      </c>
      <c r="J67" s="28" t="inlineStr">
        <is>
          <t>https://www.veolia.com/sites/g/files/dvc4206/files/document/2025/11/Veolia_Clean_Earth_Investor_Presentation.pdf</t>
        </is>
      </c>
      <c r="K67" s="28" t="inlineStr">
        <is>
          <t>2026-09-22</t>
        </is>
      </c>
      <c r="L67" s="30" t="inlineStr">
        <is>
          <t>à relire</t>
        </is>
      </c>
    </row>
    <row r="68">
      <c r="A68" s="20" t="inlineStr">
        <is>
          <t>F63</t>
        </is>
      </c>
      <c r="B68" s="5" t="inlineStr">
        <is>
          <t>Capacité ajoutée par 5 usines de traitement en construction</t>
        </is>
      </c>
      <c r="C68" s="21" t="n">
        <v>430</v>
      </c>
      <c r="D68" s="5" t="inlineStr">
        <is>
          <t>kt</t>
        </is>
      </c>
      <c r="E68" s="5" t="inlineStr">
        <is>
          <t>en construction</t>
        </is>
      </c>
      <c r="F68" s="22" t="inlineStr">
        <is>
          <t>430</t>
        </is>
      </c>
      <c r="G68" s="5" t="inlineStr">
        <is>
          <t>01_Financial/veolia_clean_earth_investor_presentation.pdf</t>
        </is>
      </c>
      <c r="H68" s="23" t="n">
        <v>9</v>
      </c>
      <c r="I68" s="5" t="inlineStr">
        <is>
          <t>4 Écart</t>
        </is>
      </c>
      <c r="J68" s="22" t="inlineStr">
        <is>
          <t>https://www.veolia.com/sites/g/files/dvc4206/files/document/2025/11/Veolia_Clean_Earth_Investor_Presentation.pdf</t>
        </is>
      </c>
      <c r="K68" s="22" t="inlineStr">
        <is>
          <t>2026-09-22</t>
        </is>
      </c>
      <c r="L68" s="24" t="inlineStr">
        <is>
          <t>à relire</t>
        </is>
      </c>
    </row>
    <row r="69">
      <c r="A69" s="25" t="inlineStr">
        <is>
          <t>F64</t>
        </is>
      </c>
      <c r="B69" s="26" t="inlineStr">
        <is>
          <t>Pont de dette 2025 : investissements financiers nets des cessions</t>
        </is>
      </c>
      <c r="C69" s="31" t="n">
        <v>-2301</v>
      </c>
      <c r="D69" s="26" t="inlineStr">
        <is>
          <t>M EUR</t>
        </is>
      </c>
      <c r="E69" s="26" t="inlineStr">
        <is>
          <t>FY2025</t>
        </is>
      </c>
      <c r="F69" s="28" t="inlineStr">
        <is>
          <t>-2,301</t>
        </is>
      </c>
      <c r="G69" s="26" t="inlineStr">
        <is>
          <t>05_Commercial_Strategy/annual-resultats-2025.pdf</t>
        </is>
      </c>
      <c r="H69" s="29" t="n">
        <v>14</v>
      </c>
      <c r="I69" s="26" t="inlineStr">
        <is>
          <t>3 Capacité</t>
        </is>
      </c>
      <c r="J69" s="28" t="inlineStr">
        <is>
          <t>https://www.veolia.com/sites/g/files/dvc4206/files/document/2026/02/annual-resultats-2025.pdf</t>
        </is>
      </c>
      <c r="K69" s="28" t="inlineStr">
        <is>
          <t>2026-09-22</t>
        </is>
      </c>
      <c r="L69" s="30" t="inlineStr">
        <is>
          <t>à relire</t>
        </is>
      </c>
    </row>
    <row r="70">
      <c r="A70" s="20" t="inlineStr">
        <is>
          <t>F65</t>
        </is>
      </c>
      <c r="B70" s="5" t="inlineStr">
        <is>
          <t>Pont de dette 2025 : dividendes versés</t>
        </is>
      </c>
      <c r="C70" s="21" t="n">
        <v>-1023</v>
      </c>
      <c r="D70" s="5" t="inlineStr">
        <is>
          <t>M EUR</t>
        </is>
      </c>
      <c r="E70" s="5" t="inlineStr">
        <is>
          <t>FY2025</t>
        </is>
      </c>
      <c r="F70" s="22" t="inlineStr">
        <is>
          <t>-1,023</t>
        </is>
      </c>
      <c r="G70" s="5" t="inlineStr">
        <is>
          <t>05_Commercial_Strategy/annual-resultats-2025.pdf</t>
        </is>
      </c>
      <c r="H70" s="23" t="n">
        <v>15</v>
      </c>
      <c r="I70" s="5" t="inlineStr">
        <is>
          <t>3 Capacité</t>
        </is>
      </c>
      <c r="J70" s="22" t="inlineStr">
        <is>
          <t>https://www.veolia.com/sites/g/files/dvc4206/files/document/2026/02/annual-resultats-2025.pdf</t>
        </is>
      </c>
      <c r="K70" s="22" t="inlineStr">
        <is>
          <t>2026-09-22</t>
        </is>
      </c>
      <c r="L70" s="24" t="inlineStr">
        <is>
          <t>à relire</t>
        </is>
      </c>
    </row>
    <row r="71">
      <c r="A71" s="25" t="inlineStr">
        <is>
          <t>F66</t>
        </is>
      </c>
      <c r="B71" s="26" t="inlineStr">
        <is>
          <t>Pont de dette 2025 : émission de la première obligation hybride verte (nette) — réduit la dette nette</t>
        </is>
      </c>
      <c r="C71" s="31" t="n">
        <v>497</v>
      </c>
      <c r="D71" s="26" t="inlineStr">
        <is>
          <t>M EUR</t>
        </is>
      </c>
      <c r="E71" s="26" t="inlineStr">
        <is>
          <t>FY2025</t>
        </is>
      </c>
      <c r="F71" s="28" t="inlineStr">
        <is>
          <t>497</t>
        </is>
      </c>
      <c r="G71" s="26" t="inlineStr">
        <is>
          <t>05_Commercial_Strategy/annual-resultats-2025.pdf</t>
        </is>
      </c>
      <c r="H71" s="29" t="n">
        <v>15</v>
      </c>
      <c r="I71" s="26" t="inlineStr">
        <is>
          <t>2 Contrainte</t>
        </is>
      </c>
      <c r="J71" s="28" t="inlineStr">
        <is>
          <t>https://www.veolia.com/sites/g/files/dvc4206/files/document/2026/02/annual-resultats-2025.pdf</t>
        </is>
      </c>
      <c r="K71" s="28" t="inlineStr">
        <is>
          <t>2026-09-22</t>
        </is>
      </c>
      <c r="L71" s="30" t="inlineStr">
        <is>
          <t>à relire</t>
        </is>
      </c>
    </row>
    <row r="72">
      <c r="A72" s="20" t="inlineStr">
        <is>
          <t>F67</t>
        </is>
      </c>
      <c r="B72" s="5" t="inlineStr">
        <is>
          <t>Pont de dette 2025 : augmentation de capital Sequoia 2025 (nette)</t>
        </is>
      </c>
      <c r="C72" s="21" t="n">
        <v>318</v>
      </c>
      <c r="D72" s="5" t="inlineStr">
        <is>
          <t>M EUR</t>
        </is>
      </c>
      <c r="E72" s="5" t="inlineStr">
        <is>
          <t>FY2025</t>
        </is>
      </c>
      <c r="F72" s="22" t="inlineStr">
        <is>
          <t>318</t>
        </is>
      </c>
      <c r="G72" s="5" t="inlineStr">
        <is>
          <t>05_Commercial_Strategy/annual-resultats-2025.pdf</t>
        </is>
      </c>
      <c r="H72" s="23" t="n">
        <v>15</v>
      </c>
      <c r="I72" s="5" t="inlineStr">
        <is>
          <t>3 Capacité</t>
        </is>
      </c>
      <c r="J72" s="22" t="inlineStr">
        <is>
          <t>https://www.veolia.com/sites/g/files/dvc4206/files/document/2026/02/annual-resultats-2025.pdf</t>
        </is>
      </c>
      <c r="K72" s="22" t="inlineStr">
        <is>
          <t>2026-09-22</t>
        </is>
      </c>
      <c r="L72" s="24" t="inlineStr">
        <is>
          <t>à relire</t>
        </is>
      </c>
    </row>
    <row r="73">
      <c r="A73" s="25" t="inlineStr">
        <is>
          <t>F68</t>
        </is>
      </c>
      <c r="B73" s="26" t="inlineStr">
        <is>
          <t>Pont de dette 2025 : réduction de capital par annulation d'actions rachetées</t>
        </is>
      </c>
      <c r="C73" s="31" t="n">
        <v>-402</v>
      </c>
      <c r="D73" s="26" t="inlineStr">
        <is>
          <t>M EUR</t>
        </is>
      </c>
      <c r="E73" s="26" t="inlineStr">
        <is>
          <t>FY2025</t>
        </is>
      </c>
      <c r="F73" s="28" t="inlineStr">
        <is>
          <t>-402</t>
        </is>
      </c>
      <c r="G73" s="26" t="inlineStr">
        <is>
          <t>05_Commercial_Strategy/annual-resultats-2025.pdf</t>
        </is>
      </c>
      <c r="H73" s="29" t="n">
        <v>15</v>
      </c>
      <c r="I73" s="26" t="inlineStr">
        <is>
          <t>3 Capacité</t>
        </is>
      </c>
      <c r="J73" s="28" t="inlineStr">
        <is>
          <t>https://www.veolia.com/sites/g/files/dvc4206/files/document/2026/02/annual-resultats-2025.pdf</t>
        </is>
      </c>
      <c r="K73" s="28" t="inlineStr">
        <is>
          <t>2026-09-22</t>
        </is>
      </c>
      <c r="L73" s="30" t="inlineStr">
        <is>
          <t>à relire</t>
        </is>
      </c>
    </row>
    <row r="74">
      <c r="A74" s="20" t="inlineStr">
        <is>
          <t>F69</t>
        </is>
      </c>
      <c r="B74" s="5" t="inlineStr">
        <is>
          <t>Pont de dette 2025 : effet de change et de juste valeur (favorable)</t>
        </is>
      </c>
      <c r="C74" s="21" t="n">
        <v>293</v>
      </c>
      <c r="D74" s="5" t="inlineStr">
        <is>
          <t>M EUR</t>
        </is>
      </c>
      <c r="E74" s="5" t="inlineStr">
        <is>
          <t>FY2025</t>
        </is>
      </c>
      <c r="F74" s="22" t="inlineStr">
        <is>
          <t>293</t>
        </is>
      </c>
      <c r="G74" s="5" t="inlineStr">
        <is>
          <t>05_Commercial_Strategy/annual-resultats-2025.pdf</t>
        </is>
      </c>
      <c r="H74" s="23" t="n">
        <v>15</v>
      </c>
      <c r="I74" s="5" t="inlineStr">
        <is>
          <t>3 Capacité</t>
        </is>
      </c>
      <c r="J74" s="22" t="inlineStr">
        <is>
          <t>https://www.veolia.com/sites/g/files/dvc4206/files/document/2026/02/annual-resultats-2025.pdf</t>
        </is>
      </c>
      <c r="K74" s="22" t="inlineStr">
        <is>
          <t>2026-09-22</t>
        </is>
      </c>
      <c r="L74" s="24" t="inlineStr">
        <is>
          <t>à relire</t>
        </is>
      </c>
    </row>
    <row r="75">
      <c r="A75" s="25" t="inlineStr">
        <is>
          <t>F70</t>
        </is>
      </c>
      <c r="B75" s="26" t="inlineStr">
        <is>
          <t>Cash-flow libre net avant investissements financiers et dividendes</t>
        </is>
      </c>
      <c r="C75" s="31" t="n">
        <v>-451</v>
      </c>
      <c r="D75" s="26" t="inlineStr">
        <is>
          <t>M EUR</t>
        </is>
      </c>
      <c r="E75" s="26" t="inlineStr">
        <is>
          <t>S1 2025</t>
        </is>
      </c>
      <c r="F75" s="28" t="inlineStr">
        <is>
          <t>-451</t>
        </is>
      </c>
      <c r="G75" s="26" t="inlineStr">
        <is>
          <t>01_Financial/veolia_finance_amendment_urd_2025.pdf</t>
        </is>
      </c>
      <c r="H75" s="29" t="n">
        <v>25</v>
      </c>
      <c r="I75" s="26" t="inlineStr">
        <is>
          <t>3 Capacité</t>
        </is>
      </c>
      <c r="J75" s="28" t="inlineStr">
        <is>
          <t>https://www.veolia.com/sites/g/files/dvc4206/files/document/2026/07/Veolia_Finance_Amendment_URD_2025.pdf</t>
        </is>
      </c>
      <c r="K75" s="28" t="inlineStr">
        <is>
          <t>2026-09-22</t>
        </is>
      </c>
      <c r="L75" s="30" t="inlineStr">
        <is>
          <t>à relire</t>
        </is>
      </c>
    </row>
    <row r="76">
      <c r="A76" s="20" t="inlineStr">
        <is>
          <t>F71</t>
        </is>
      </c>
      <c r="B76" s="5" t="inlineStr">
        <is>
          <t>Endettement financier net (groupe)</t>
        </is>
      </c>
      <c r="C76" s="21" t="n">
        <v>20764</v>
      </c>
      <c r="D76" s="5" t="inlineStr">
        <is>
          <t>M EUR</t>
        </is>
      </c>
      <c r="E76" s="5" t="inlineStr">
        <is>
          <t>30/06/2025</t>
        </is>
      </c>
      <c r="F76" s="22" t="inlineStr">
        <is>
          <t>20,764</t>
        </is>
      </c>
      <c r="G76" s="5" t="inlineStr">
        <is>
          <t>01_Financial/veolia_finance_amendment_urd_2025.pdf</t>
        </is>
      </c>
      <c r="H76" s="23" t="n">
        <v>26</v>
      </c>
      <c r="I76" s="5" t="inlineStr">
        <is>
          <t>2 Contrainte</t>
        </is>
      </c>
      <c r="J76" s="22" t="inlineStr">
        <is>
          <t>https://www.veolia.com/sites/g/files/dvc4206/files/document/2026/07/Veolia_Finance_Amendment_URD_2025.pdf</t>
        </is>
      </c>
      <c r="K76" s="22" t="inlineStr">
        <is>
          <t>2026-09-22</t>
        </is>
      </c>
      <c r="L76" s="24" t="inlineStr">
        <is>
          <t>à relire</t>
        </is>
      </c>
    </row>
    <row r="77">
      <c r="A77" s="25" t="inlineStr">
        <is>
          <t>F72</t>
        </is>
      </c>
      <c r="B77" s="26" t="inlineStr">
        <is>
          <t>Pont de dette S1 2026 : dividendes versés (total, minoritaires compris)</t>
        </is>
      </c>
      <c r="C77" s="31" t="n">
        <v>-1394</v>
      </c>
      <c r="D77" s="26" t="inlineStr">
        <is>
          <t>M EUR</t>
        </is>
      </c>
      <c r="E77" s="26" t="inlineStr">
        <is>
          <t>S1 2026</t>
        </is>
      </c>
      <c r="F77" s="28" t="inlineStr">
        <is>
          <t>-1,394</t>
        </is>
      </c>
      <c r="G77" s="26" t="inlineStr">
        <is>
          <t>01_Financial/veolia_finance_amendment_urd_2025.pdf</t>
        </is>
      </c>
      <c r="H77" s="29" t="n">
        <v>26</v>
      </c>
      <c r="I77" s="26" t="inlineStr">
        <is>
          <t>3 Capacité</t>
        </is>
      </c>
      <c r="J77" s="28" t="inlineStr">
        <is>
          <t>https://www.veolia.com/sites/g/files/dvc4206/files/document/2026/07/Veolia_Finance_Amendment_URD_2025.pdf</t>
        </is>
      </c>
      <c r="K77" s="28" t="inlineStr">
        <is>
          <t>2026-09-22</t>
        </is>
      </c>
      <c r="L77" s="30" t="inlineStr">
        <is>
          <t>à relire</t>
        </is>
      </c>
    </row>
    <row r="78">
      <c r="A78" s="20" t="inlineStr">
        <is>
          <t>F73</t>
        </is>
      </c>
      <c r="B78" s="5" t="inlineStr">
        <is>
          <t>Pont de dette S1 2025 : dividendes versés (total, minoritaires compris)</t>
        </is>
      </c>
      <c r="C78" s="21" t="n">
        <v>-1267</v>
      </c>
      <c r="D78" s="5" t="inlineStr">
        <is>
          <t>M EUR</t>
        </is>
      </c>
      <c r="E78" s="5" t="inlineStr">
        <is>
          <t>S1 2025</t>
        </is>
      </c>
      <c r="F78" s="22" t="inlineStr">
        <is>
          <t>-1,267</t>
        </is>
      </c>
      <c r="G78" s="5" t="inlineStr">
        <is>
          <t>01_Financial/veolia_finance_amendment_urd_2025.pdf</t>
        </is>
      </c>
      <c r="H78" s="23" t="n">
        <v>26</v>
      </c>
      <c r="I78" s="5" t="inlineStr">
        <is>
          <t>3 Capacité</t>
        </is>
      </c>
      <c r="J78" s="22" t="inlineStr">
        <is>
          <t>https://www.veolia.com/sites/g/files/dvc4206/files/document/2026/07/Veolia_Finance_Amendment_URD_2025.pdf</t>
        </is>
      </c>
      <c r="K78" s="22" t="inlineStr">
        <is>
          <t>2026-09-22</t>
        </is>
      </c>
      <c r="L78" s="24" t="inlineStr">
        <is>
          <t>à relire</t>
        </is>
      </c>
    </row>
    <row r="79">
      <c r="A79" s="25" t="inlineStr">
        <is>
          <t>F74</t>
        </is>
      </c>
      <c r="B79" s="26" t="inlineStr">
        <is>
          <t>Dividende versé aux actionnaires, approuvé par l'AG du 23 avril 2026</t>
        </is>
      </c>
      <c r="C79" s="31" t="n">
        <v>1099</v>
      </c>
      <c r="D79" s="26" t="inlineStr">
        <is>
          <t>M EUR</t>
        </is>
      </c>
      <c r="E79" s="26" t="inlineStr">
        <is>
          <t>2026</t>
        </is>
      </c>
      <c r="F79" s="28" t="inlineStr">
        <is>
          <t>1,099</t>
        </is>
      </c>
      <c r="G79" s="26" t="inlineStr">
        <is>
          <t>01_Financial/veolia_finance_amendment_urd_2025.pdf</t>
        </is>
      </c>
      <c r="H79" s="29" t="n">
        <v>25</v>
      </c>
      <c r="I79" s="26" t="inlineStr">
        <is>
          <t>3 Capacité</t>
        </is>
      </c>
      <c r="J79" s="28" t="inlineStr">
        <is>
          <t>https://www.veolia.com/sites/g/files/dvc4206/files/document/2026/07/Veolia_Finance_Amendment_URD_2025.pdf</t>
        </is>
      </c>
      <c r="K79" s="28" t="inlineStr">
        <is>
          <t>2026-09-22</t>
        </is>
      </c>
      <c r="L79" s="30" t="inlineStr">
        <is>
          <t>à relire</t>
        </is>
      </c>
    </row>
    <row r="80">
      <c r="A80" s="20" t="inlineStr">
        <is>
          <t>F75</t>
        </is>
      </c>
      <c r="B80" s="5" t="inlineStr">
        <is>
          <t>Pont de dette S1 2026 : investissements financiers nets des cessions</t>
        </is>
      </c>
      <c r="C80" s="21" t="n">
        <v>-2869</v>
      </c>
      <c r="D80" s="5" t="inlineStr">
        <is>
          <t>M EUR</t>
        </is>
      </c>
      <c r="E80" s="5" t="inlineStr">
        <is>
          <t>S1 2026</t>
        </is>
      </c>
      <c r="F80" s="22" t="inlineStr">
        <is>
          <t>-2,869</t>
        </is>
      </c>
      <c r="G80" s="5" t="inlineStr">
        <is>
          <t>01_Financial/veolia_finance_amendment_urd_2025.pdf</t>
        </is>
      </c>
      <c r="H80" s="23" t="n">
        <v>25</v>
      </c>
      <c r="I80" s="5" t="inlineStr">
        <is>
          <t>3 Capacité</t>
        </is>
      </c>
      <c r="J80" s="22" t="inlineStr">
        <is>
          <t>https://www.veolia.com/sites/g/files/dvc4206/files/document/2026/07/Veolia_Finance_Amendment_URD_2025.pdf</t>
        </is>
      </c>
      <c r="K80" s="22" t="inlineStr">
        <is>
          <t>2026-09-22</t>
        </is>
      </c>
      <c r="L80" s="24" t="inlineStr">
        <is>
          <t>à relire</t>
        </is>
      </c>
    </row>
    <row r="81">
      <c r="A81" s="25" t="inlineStr">
        <is>
          <t>F76</t>
        </is>
      </c>
      <c r="B81" s="26" t="inlineStr">
        <is>
          <t>Clean Earth : effet sur l'endettement financier net</t>
        </is>
      </c>
      <c r="C81" s="31" t="n">
        <v>-2778</v>
      </c>
      <c r="D81" s="26" t="inlineStr">
        <is>
          <t>M EUR</t>
        </is>
      </c>
      <c r="E81" s="26" t="inlineStr">
        <is>
          <t>S1 2026</t>
        </is>
      </c>
      <c r="F81" s="28" t="inlineStr">
        <is>
          <t>-2,778</t>
        </is>
      </c>
      <c r="G81" s="26" t="inlineStr">
        <is>
          <t>01_Financial/veolia_finance_amendment_urd_2025.pdf</t>
        </is>
      </c>
      <c r="H81" s="29" t="n">
        <v>25</v>
      </c>
      <c r="I81" s="26" t="inlineStr">
        <is>
          <t>6 Cibles</t>
        </is>
      </c>
      <c r="J81" s="28" t="inlineStr">
        <is>
          <t>https://www.veolia.com/sites/g/files/dvc4206/files/document/2026/07/Veolia_Finance_Amendment_URD_2025.pdf</t>
        </is>
      </c>
      <c r="K81" s="28" t="inlineStr">
        <is>
          <t>2026-09-22</t>
        </is>
      </c>
      <c r="L81" s="30" t="inlineStr">
        <is>
          <t>à relire</t>
        </is>
      </c>
    </row>
    <row r="82">
      <c r="A82" s="20" t="inlineStr">
        <is>
          <t>F77</t>
        </is>
      </c>
      <c r="B82" s="5" t="inlineStr">
        <is>
          <t>Enviropacific Services : effet sur l'endettement financier net</t>
        </is>
      </c>
      <c r="C82" s="21" t="n">
        <v>-137</v>
      </c>
      <c r="D82" s="5" t="inlineStr">
        <is>
          <t>M EUR</t>
        </is>
      </c>
      <c r="E82" s="5" t="inlineStr">
        <is>
          <t>S1 2026</t>
        </is>
      </c>
      <c r="F82" s="22" t="inlineStr">
        <is>
          <t>-137</t>
        </is>
      </c>
      <c r="G82" s="5" t="inlineStr">
        <is>
          <t>01_Financial/veolia_finance_amendment_urd_2025.pdf</t>
        </is>
      </c>
      <c r="H82" s="23" t="n">
        <v>25</v>
      </c>
      <c r="I82" s="5" t="inlineStr">
        <is>
          <t>6 Cibles</t>
        </is>
      </c>
      <c r="J82" s="22" t="inlineStr">
        <is>
          <t>https://www.veolia.com/sites/g/files/dvc4206/files/document/2026/07/Veolia_Finance_Amendment_URD_2025.pdf</t>
        </is>
      </c>
      <c r="K82" s="22" t="inlineStr">
        <is>
          <t>2026-09-22</t>
        </is>
      </c>
      <c r="L82" s="24" t="inlineStr">
        <is>
          <t>à relire</t>
        </is>
      </c>
    </row>
    <row r="83">
      <c r="A83" s="25" t="inlineStr">
        <is>
          <t>F78</t>
        </is>
      </c>
      <c r="B83" s="26" t="inlineStr">
        <is>
          <t>Pont de dette S1 2026 : effet de change et de juste valeur (défavorable)</t>
        </is>
      </c>
      <c r="C83" s="31" t="n">
        <v>-260</v>
      </c>
      <c r="D83" s="26" t="inlineStr">
        <is>
          <t>M EUR</t>
        </is>
      </c>
      <c r="E83" s="26" t="inlineStr">
        <is>
          <t>S1 2026</t>
        </is>
      </c>
      <c r="F83" s="28" t="inlineStr">
        <is>
          <t>-260</t>
        </is>
      </c>
      <c r="G83" s="26" t="inlineStr">
        <is>
          <t>01_Financial/veolia_finance_amendment_urd_2025.pdf</t>
        </is>
      </c>
      <c r="H83" s="29" t="n">
        <v>25</v>
      </c>
      <c r="I83" s="26" t="inlineStr">
        <is>
          <t>2 Contrainte</t>
        </is>
      </c>
      <c r="J83" s="28" t="inlineStr">
        <is>
          <t>https://www.veolia.com/sites/g/files/dvc4206/files/document/2026/07/Veolia_Finance_Amendment_URD_2025.pdf</t>
        </is>
      </c>
      <c r="K83" s="28" t="inlineStr">
        <is>
          <t>2026-09-22</t>
        </is>
      </c>
      <c r="L83" s="30" t="inlineStr">
        <is>
          <t>à relire</t>
        </is>
      </c>
    </row>
    <row r="84">
      <c r="A84" s="20" t="inlineStr">
        <is>
          <t>F79</t>
        </is>
      </c>
      <c r="B84" s="5" t="inlineStr">
        <is>
          <t>Pont de dette S1 2026 : variation des créances et autres actifs financiers</t>
        </is>
      </c>
      <c r="C84" s="21" t="n">
        <v>-70</v>
      </c>
      <c r="D84" s="5" t="inlineStr">
        <is>
          <t>M EUR</t>
        </is>
      </c>
      <c r="E84" s="5" t="inlineStr">
        <is>
          <t>S1 2026</t>
        </is>
      </c>
      <c r="F84" s="22" t="inlineStr">
        <is>
          <t>-70</t>
        </is>
      </c>
      <c r="G84" s="5" t="inlineStr">
        <is>
          <t>01_Financial/veolia_finance_amendment_urd_2025.pdf</t>
        </is>
      </c>
      <c r="H84" s="23" t="n">
        <v>26</v>
      </c>
      <c r="I84" s="5" t="inlineStr">
        <is>
          <t>3 Capacité</t>
        </is>
      </c>
      <c r="J84" s="22" t="inlineStr">
        <is>
          <t>https://www.veolia.com/sites/g/files/dvc4206/files/document/2026/07/Veolia_Finance_Amendment_URD_2025.pdf</t>
        </is>
      </c>
      <c r="K84" s="22" t="inlineStr">
        <is>
          <t>2026-09-22</t>
        </is>
      </c>
      <c r="L84" s="24" t="inlineStr">
        <is>
          <t>à relire</t>
        </is>
      </c>
    </row>
    <row r="85">
      <c r="A85" s="25" t="inlineStr">
        <is>
          <t>F80</t>
        </is>
      </c>
      <c r="B85" s="26" t="inlineStr">
        <is>
          <t>Pont de dette S1 2026 : émission d'actions</t>
        </is>
      </c>
      <c r="C85" s="31" t="n">
        <v>10</v>
      </c>
      <c r="D85" s="26" t="inlineStr">
        <is>
          <t>M EUR</t>
        </is>
      </c>
      <c r="E85" s="26" t="inlineStr">
        <is>
          <t>S1 2026</t>
        </is>
      </c>
      <c r="F85" s="28" t="inlineStr">
        <is>
          <t>10</t>
        </is>
      </c>
      <c r="G85" s="26" t="inlineStr">
        <is>
          <t>01_Financial/veolia_finance_amendment_urd_2025.pdf</t>
        </is>
      </c>
      <c r="H85" s="29" t="n">
        <v>26</v>
      </c>
      <c r="I85" s="26" t="inlineStr">
        <is>
          <t>3 Capacité</t>
        </is>
      </c>
      <c r="J85" s="28" t="inlineStr">
        <is>
          <t>https://www.veolia.com/sites/g/files/dvc4206/files/document/2026/07/Veolia_Finance_Amendment_URD_2025.pdf</t>
        </is>
      </c>
      <c r="K85" s="28" t="inlineStr">
        <is>
          <t>2026-09-22</t>
        </is>
      </c>
      <c r="L85" s="30" t="inlineStr">
        <is>
          <t>à relire</t>
        </is>
      </c>
    </row>
    <row r="86">
      <c r="A86" s="20" t="inlineStr">
        <is>
          <t>F81</t>
        </is>
      </c>
      <c r="B86" s="5" t="inlineStr">
        <is>
          <t>Pont de dette S1 2026 : autres mouvements</t>
        </is>
      </c>
      <c r="C86" s="21" t="n">
        <v>2</v>
      </c>
      <c r="D86" s="5" t="inlineStr">
        <is>
          <t>M EUR</t>
        </is>
      </c>
      <c r="E86" s="5" t="inlineStr">
        <is>
          <t>S1 2026</t>
        </is>
      </c>
      <c r="F86" s="22" t="inlineStr">
        <is>
          <t>2</t>
        </is>
      </c>
      <c r="G86" s="5" t="inlineStr">
        <is>
          <t>01_Financial/veolia_finance_amendment_urd_2025.pdf</t>
        </is>
      </c>
      <c r="H86" s="23" t="n">
        <v>26</v>
      </c>
      <c r="I86" s="5" t="inlineStr">
        <is>
          <t>3 Capacité</t>
        </is>
      </c>
      <c r="J86" s="22" t="inlineStr">
        <is>
          <t>https://www.veolia.com/sites/g/files/dvc4206/files/document/2026/07/Veolia_Finance_Amendment_URD_2025.pdf</t>
        </is>
      </c>
      <c r="K86" s="22" t="inlineStr">
        <is>
          <t>2026-09-22</t>
        </is>
      </c>
      <c r="L86" s="24" t="inlineStr">
        <is>
          <t>à relire</t>
        </is>
      </c>
    </row>
    <row r="87">
      <c r="A87" s="25" t="inlineStr">
        <is>
          <t>F82</t>
        </is>
      </c>
      <c r="B87" s="26" t="inlineStr">
        <is>
          <t>Pont de dette S1 2026 : retraitement des passifs financiers (PPA Suez)</t>
        </is>
      </c>
      <c r="C87" s="31" t="n">
        <v>-21</v>
      </c>
      <c r="D87" s="26" t="inlineStr">
        <is>
          <t>M EUR</t>
        </is>
      </c>
      <c r="E87" s="26" t="inlineStr">
        <is>
          <t>S1 2026</t>
        </is>
      </c>
      <c r="F87" s="28" t="inlineStr">
        <is>
          <t>-21</t>
        </is>
      </c>
      <c r="G87" s="26" t="inlineStr">
        <is>
          <t>01_Financial/veolia_finance_amendment_urd_2025.pdf</t>
        </is>
      </c>
      <c r="H87" s="29" t="n">
        <v>26</v>
      </c>
      <c r="I87" s="26" t="inlineStr">
        <is>
          <t>2 Contrainte</t>
        </is>
      </c>
      <c r="J87" s="28" t="inlineStr">
        <is>
          <t>https://www.veolia.com/sites/g/files/dvc4206/files/document/2026/07/Veolia_Finance_Amendment_URD_2025.pdf</t>
        </is>
      </c>
      <c r="K87" s="28" t="inlineStr">
        <is>
          <t>2026-09-22</t>
        </is>
      </c>
      <c r="L87" s="30" t="inlineStr">
        <is>
          <t>à relire</t>
        </is>
      </c>
    </row>
    <row r="88">
      <c r="A88" s="20" t="inlineStr">
        <is>
          <t>F83</t>
        </is>
      </c>
      <c r="B88" s="5" t="inlineStr">
        <is>
          <t>Variation du BFR opérationnel</t>
        </is>
      </c>
      <c r="C88" s="21" t="n">
        <v>-1238</v>
      </c>
      <c r="D88" s="5" t="inlineStr">
        <is>
          <t>M EUR</t>
        </is>
      </c>
      <c r="E88" s="5" t="inlineStr">
        <is>
          <t>S1 2026</t>
        </is>
      </c>
      <c r="F88" s="22" t="inlineStr">
        <is>
          <t>-1,238</t>
        </is>
      </c>
      <c r="G88" s="5" t="inlineStr">
        <is>
          <t>01_Financial/veolia_finance_amendment_urd_2025.pdf</t>
        </is>
      </c>
      <c r="H88" s="23" t="n">
        <v>26</v>
      </c>
      <c r="I88" s="5" t="inlineStr">
        <is>
          <t>3 Capacité</t>
        </is>
      </c>
      <c r="J88" s="22" t="inlineStr">
        <is>
          <t>https://www.veolia.com/sites/g/files/dvc4206/files/document/2026/07/Veolia_Finance_Amendment_URD_2025.pdf</t>
        </is>
      </c>
      <c r="K88" s="22" t="inlineStr">
        <is>
          <t>2026-09-22</t>
        </is>
      </c>
      <c r="L88" s="24" t="inlineStr">
        <is>
          <t>à relire</t>
        </is>
      </c>
    </row>
    <row r="89">
      <c r="A89" s="25" t="inlineStr">
        <is>
          <t>F84</t>
        </is>
      </c>
      <c r="B89" s="26" t="inlineStr">
        <is>
          <t>Variation du BFR opérationnel</t>
        </is>
      </c>
      <c r="C89" s="31" t="n">
        <v>-1171</v>
      </c>
      <c r="D89" s="26" t="inlineStr">
        <is>
          <t>M EUR</t>
        </is>
      </c>
      <c r="E89" s="26" t="inlineStr">
        <is>
          <t>S1 2025</t>
        </is>
      </c>
      <c r="F89" s="28" t="inlineStr">
        <is>
          <t>-1,171</t>
        </is>
      </c>
      <c r="G89" s="26" t="inlineStr">
        <is>
          <t>01_Financial/veolia_finance_amendment_urd_2025.pdf</t>
        </is>
      </c>
      <c r="H89" s="29" t="n">
        <v>26</v>
      </c>
      <c r="I89" s="26" t="inlineStr">
        <is>
          <t>3 Capacité</t>
        </is>
      </c>
      <c r="J89" s="28" t="inlineStr">
        <is>
          <t>https://www.veolia.com/sites/g/files/dvc4206/files/document/2026/07/Veolia_Finance_Amendment_URD_2025.pdf</t>
        </is>
      </c>
      <c r="K89" s="28" t="inlineStr">
        <is>
          <t>2026-09-22</t>
        </is>
      </c>
      <c r="L89" s="30" t="inlineStr">
        <is>
          <t>à relire</t>
        </is>
      </c>
    </row>
    <row r="90">
      <c r="A90" s="20" t="inlineStr">
        <is>
          <t>F85</t>
        </is>
      </c>
      <c r="B90" s="5" t="inlineStr">
        <is>
          <t>Investissements industriels nets</t>
        </is>
      </c>
      <c r="C90" s="21" t="n">
        <v>-1630</v>
      </c>
      <c r="D90" s="5" t="inlineStr">
        <is>
          <t>M EUR</t>
        </is>
      </c>
      <c r="E90" s="5" t="inlineStr">
        <is>
          <t>S1 2026</t>
        </is>
      </c>
      <c r="F90" s="22" t="inlineStr">
        <is>
          <t>-1,630</t>
        </is>
      </c>
      <c r="G90" s="5" t="inlineStr">
        <is>
          <t>01_Financial/veolia_finance_amendment_urd_2025.pdf</t>
        </is>
      </c>
      <c r="H90" s="23" t="n">
        <v>26</v>
      </c>
      <c r="I90" s="5" t="inlineStr">
        <is>
          <t>3 Capacité</t>
        </is>
      </c>
      <c r="J90" s="22" t="inlineStr">
        <is>
          <t>https://www.veolia.com/sites/g/files/dvc4206/files/document/2026/07/Veolia_Finance_Amendment_URD_2025.pdf</t>
        </is>
      </c>
      <c r="K90" s="22" t="inlineStr">
        <is>
          <t>2026-09-22</t>
        </is>
      </c>
      <c r="L90" s="24" t="inlineStr">
        <is>
          <t>à relire</t>
        </is>
      </c>
    </row>
    <row r="91">
      <c r="A91" s="25" t="inlineStr">
        <is>
          <t>F86</t>
        </is>
      </c>
      <c r="B91" s="26" t="inlineStr">
        <is>
          <t>Nombre moyen pondéré d'actions (de base)</t>
        </is>
      </c>
      <c r="C91" s="31" t="n">
        <v>731697339</v>
      </c>
      <c r="D91" s="26" t="inlineStr">
        <is>
          <t>actions</t>
        </is>
      </c>
      <c r="E91" s="26" t="inlineStr">
        <is>
          <t>S1 2026</t>
        </is>
      </c>
      <c r="F91" s="28" t="inlineStr">
        <is>
          <t>731,697,339</t>
        </is>
      </c>
      <c r="G91" s="26" t="inlineStr">
        <is>
          <t>01_Financial/veolia_finance_amendment_urd_2025.pdf</t>
        </is>
      </c>
      <c r="H91" s="29" t="n">
        <v>64</v>
      </c>
      <c r="I91" s="26" t="inlineStr">
        <is>
          <t>3 Capacité</t>
        </is>
      </c>
      <c r="J91" s="28" t="inlineStr">
        <is>
          <t>https://www.veolia.com/sites/g/files/dvc4206/files/document/2026/07/Veolia_Finance_Amendment_URD_2025.pdf</t>
        </is>
      </c>
      <c r="K91" s="28" t="inlineStr">
        <is>
          <t>2026-09-22</t>
        </is>
      </c>
      <c r="L91" s="30" t="inlineStr">
        <is>
          <t>à relire</t>
        </is>
      </c>
    </row>
    <row r="92">
      <c r="A92" s="20" t="inlineStr">
        <is>
          <t>F87</t>
        </is>
      </c>
      <c r="B92" s="5" t="inlineStr">
        <is>
          <t>Guidance 2026 : croissance organique de l'EBITDA, bas de fourchette</t>
        </is>
      </c>
      <c r="C92" s="21" t="n">
        <v>5</v>
      </c>
      <c r="D92" s="5" t="inlineStr">
        <is>
          <t>%</t>
        </is>
      </c>
      <c r="E92" s="5" t="inlineStr">
        <is>
          <t>2026</t>
        </is>
      </c>
      <c r="F92" s="22" t="inlineStr">
        <is>
          <t>5</t>
        </is>
      </c>
      <c r="G92" s="5" t="inlineStr">
        <is>
          <t>05_Commercial_Strategy/veolia-2026-first-half-results.pdf</t>
        </is>
      </c>
      <c r="H92" s="23" t="n">
        <v>3</v>
      </c>
      <c r="I92" s="5" t="inlineStr">
        <is>
          <t>3 Capacité</t>
        </is>
      </c>
      <c r="J92" s="22" t="inlineStr">
        <is>
          <t>https://www.veolia.com/sites/g/files/dvc4206/files/document/2026/07/veolia-2026-first-half-results.pdf</t>
        </is>
      </c>
      <c r="K92" s="22" t="inlineStr">
        <is>
          <t>2026-09-22</t>
        </is>
      </c>
      <c r="L92" s="24" t="inlineStr">
        <is>
          <t>à relire</t>
        </is>
      </c>
    </row>
    <row r="93">
      <c r="A93" s="25" t="inlineStr">
        <is>
          <t>F88</t>
        </is>
      </c>
      <c r="B93" s="26" t="inlineStr">
        <is>
          <t>Guidance 2026 : croissance organique de l'EBITDA, haut de fourchette</t>
        </is>
      </c>
      <c r="C93" s="31" t="n">
        <v>6</v>
      </c>
      <c r="D93" s="26" t="inlineStr">
        <is>
          <t>%</t>
        </is>
      </c>
      <c r="E93" s="26" t="inlineStr">
        <is>
          <t>2026</t>
        </is>
      </c>
      <c r="F93" s="28" t="inlineStr">
        <is>
          <t>6</t>
        </is>
      </c>
      <c r="G93" s="26" t="inlineStr">
        <is>
          <t>05_Commercial_Strategy/veolia-2026-first-half-results.pdf</t>
        </is>
      </c>
      <c r="H93" s="29" t="n">
        <v>3</v>
      </c>
      <c r="I93" s="26" t="inlineStr">
        <is>
          <t>3 Capacité</t>
        </is>
      </c>
      <c r="J93" s="28" t="inlineStr">
        <is>
          <t>https://www.veolia.com/sites/g/files/dvc4206/files/document/2026/07/veolia-2026-first-half-results.pdf</t>
        </is>
      </c>
      <c r="K93" s="28" t="inlineStr">
        <is>
          <t>2026-09-22</t>
        </is>
      </c>
      <c r="L93" s="30" t="inlineStr">
        <is>
          <t>à relire</t>
        </is>
      </c>
    </row>
    <row r="94">
      <c r="A94" s="20" t="inlineStr">
        <is>
          <t>F89</t>
        </is>
      </c>
      <c r="B94" s="5" t="inlineStr">
        <is>
          <t>Guidance 2026 : croissance du résultat net courant, au moins</t>
        </is>
      </c>
      <c r="C94" s="21" t="n">
        <v>8</v>
      </c>
      <c r="D94" s="5" t="inlineStr">
        <is>
          <t>%</t>
        </is>
      </c>
      <c r="E94" s="5" t="inlineStr">
        <is>
          <t>2026</t>
        </is>
      </c>
      <c r="F94" s="22" t="inlineStr">
        <is>
          <t>8</t>
        </is>
      </c>
      <c r="G94" s="5" t="inlineStr">
        <is>
          <t>05_Commercial_Strategy/veolia-2026-first-half-results.pdf</t>
        </is>
      </c>
      <c r="H94" s="23" t="n">
        <v>3</v>
      </c>
      <c r="I94" s="5" t="inlineStr">
        <is>
          <t>3 Capacité</t>
        </is>
      </c>
      <c r="J94" s="22" t="inlineStr">
        <is>
          <t>https://www.veolia.com/sites/g/files/dvc4206/files/document/2026/07/veolia-2026-first-half-results.pdf</t>
        </is>
      </c>
      <c r="K94" s="22" t="inlineStr">
        <is>
          <t>2026-09-22</t>
        </is>
      </c>
      <c r="L94" s="24" t="inlineStr">
        <is>
          <t>à relire</t>
        </is>
      </c>
    </row>
    <row r="95">
      <c r="A95" s="25" t="inlineStr">
        <is>
          <t>F90</t>
        </is>
      </c>
      <c r="B95" s="26" t="inlineStr">
        <is>
          <t>GreenUp : investissements de maintenance</t>
        </is>
      </c>
      <c r="C95" s="27" t="n">
        <v>1.9</v>
      </c>
      <c r="D95" s="26" t="inlineStr">
        <is>
          <t>Md EUR / an</t>
        </is>
      </c>
      <c r="E95" s="26" t="inlineStr">
        <is>
          <t>2024-2027</t>
        </is>
      </c>
      <c r="F95" s="28" t="inlineStr">
        <is>
          <t>1.9</t>
        </is>
      </c>
      <c r="G95" s="26" t="inlineStr">
        <is>
          <t>01_Financial/en_master_greenup_strategy-day_v270324.pdf</t>
        </is>
      </c>
      <c r="H95" s="29" t="n">
        <v>63</v>
      </c>
      <c r="I95" s="26" t="inlineStr">
        <is>
          <t>1 Périmètre</t>
        </is>
      </c>
      <c r="J95" s="28" t="inlineStr">
        <is>
          <t>https://www.veolia.com/sites/g/files/dvc4206/files/document/2024/03/EN_Master_GreenUp_Strategy%20day_V270324.pdf</t>
        </is>
      </c>
      <c r="K95" s="28" t="inlineStr">
        <is>
          <t>2026-09-22</t>
        </is>
      </c>
      <c r="L95" s="30" t="inlineStr">
        <is>
          <t>à relire</t>
        </is>
      </c>
    </row>
    <row r="96">
      <c r="A96" s="20" t="inlineStr">
        <is>
          <t>F91</t>
        </is>
      </c>
      <c r="B96" s="5" t="inlineStr">
        <is>
          <t>GreenUp : croissance sur contrats existants</t>
        </is>
      </c>
      <c r="C96" s="32" t="n">
        <v>1.5</v>
      </c>
      <c r="D96" s="5" t="inlineStr">
        <is>
          <t>Md EUR / an</t>
        </is>
      </c>
      <c r="E96" s="5" t="inlineStr">
        <is>
          <t>2024-2027</t>
        </is>
      </c>
      <c r="F96" s="22" t="inlineStr">
        <is>
          <t>1.5</t>
        </is>
      </c>
      <c r="G96" s="5" t="inlineStr">
        <is>
          <t>01_Financial/en_master_greenup_strategy-day_v270324.pdf</t>
        </is>
      </c>
      <c r="H96" s="23" t="n">
        <v>63</v>
      </c>
      <c r="I96" s="5" t="inlineStr">
        <is>
          <t>1 Périmètre</t>
        </is>
      </c>
      <c r="J96" s="22" t="inlineStr">
        <is>
          <t>https://www.veolia.com/sites/g/files/dvc4206/files/document/2024/03/EN_Master_GreenUp_Strategy%20day_V270324.pdf</t>
        </is>
      </c>
      <c r="K96" s="22" t="inlineStr">
        <is>
          <t>2026-09-22</t>
        </is>
      </c>
      <c r="L96" s="24" t="inlineStr">
        <is>
          <t>à relire</t>
        </is>
      </c>
    </row>
    <row r="97">
      <c r="A97" s="25" t="inlineStr">
        <is>
          <t>F92</t>
        </is>
      </c>
      <c r="B97" s="26" t="inlineStr">
        <is>
          <t>GreenUp : cessions industrielles, moins de</t>
        </is>
      </c>
      <c r="C97" s="27" t="n">
        <v>0.3</v>
      </c>
      <c r="D97" s="26" t="inlineStr">
        <is>
          <t>Md EUR / an</t>
        </is>
      </c>
      <c r="E97" s="26" t="inlineStr">
        <is>
          <t>2024-2027</t>
        </is>
      </c>
      <c r="F97" s="28" t="inlineStr">
        <is>
          <t>0.3</t>
        </is>
      </c>
      <c r="G97" s="26" t="inlineStr">
        <is>
          <t>01_Financial/en_master_greenup_strategy-day_v270324.pdf</t>
        </is>
      </c>
      <c r="H97" s="29" t="n">
        <v>63</v>
      </c>
      <c r="I97" s="26" t="inlineStr">
        <is>
          <t>1 Périmètre</t>
        </is>
      </c>
      <c r="J97" s="28" t="inlineStr">
        <is>
          <t>https://www.veolia.com/sites/g/files/dvc4206/files/document/2024/03/EN_Master_GreenUp_Strategy%20day_V270324.pdf</t>
        </is>
      </c>
      <c r="K97" s="28" t="inlineStr">
        <is>
          <t>2026-09-22</t>
        </is>
      </c>
      <c r="L97" s="30" t="inlineStr">
        <is>
          <t>à relire</t>
        </is>
      </c>
    </row>
    <row r="98">
      <c r="A98" s="20" t="inlineStr">
        <is>
          <t>F93</t>
        </is>
      </c>
      <c r="B98" s="5" t="inlineStr">
        <is>
          <t>Déchets dangereux Europe : croissance du chiffre d'affaires à périmètre et change constants</t>
        </is>
      </c>
      <c r="C98" s="32" t="n">
        <v>-0.2</v>
      </c>
      <c r="D98" s="5" t="inlineStr">
        <is>
          <t>%</t>
        </is>
      </c>
      <c r="E98" s="5" t="inlineStr">
        <is>
          <t>S1 2026</t>
        </is>
      </c>
      <c r="F98" s="22" t="inlineStr">
        <is>
          <t>-0.2</t>
        </is>
      </c>
      <c r="G98" s="5" t="inlineStr">
        <is>
          <t>05_Commercial_Strategy/veolia-2026-first-half-results.pdf</t>
        </is>
      </c>
      <c r="H98" s="23" t="n">
        <v>7</v>
      </c>
      <c r="I98" s="5" t="inlineStr">
        <is>
          <t>4 Écart</t>
        </is>
      </c>
      <c r="J98" s="22" t="inlineStr">
        <is>
          <t>https://www.veolia.com/sites/g/files/dvc4206/files/document/2026/07/veolia-2026-first-half-results.pdf</t>
        </is>
      </c>
      <c r="K98" s="22" t="inlineStr">
        <is>
          <t>2026-09-22</t>
        </is>
      </c>
      <c r="L98" s="24" t="inlineStr">
        <is>
          <t>à relire</t>
        </is>
      </c>
    </row>
    <row r="99">
      <c r="A99" s="25" t="inlineStr">
        <is>
          <t>F94</t>
        </is>
      </c>
      <c r="B99" s="26" t="inlineStr">
        <is>
          <t>EBITDA France et Déchets dangereux Europe</t>
        </is>
      </c>
      <c r="C99" s="31" t="n">
        <v>653</v>
      </c>
      <c r="D99" s="26" t="inlineStr">
        <is>
          <t>M EUR</t>
        </is>
      </c>
      <c r="E99" s="26" t="inlineStr">
        <is>
          <t>S1 2025</t>
        </is>
      </c>
      <c r="F99" s="28" t="inlineStr">
        <is>
          <t>653</t>
        </is>
      </c>
      <c r="G99" s="26" t="inlineStr">
        <is>
          <t>05_Commercial_Strategy/veolia-2026-first-half-results.pdf</t>
        </is>
      </c>
      <c r="H99" s="29" t="n">
        <v>7</v>
      </c>
      <c r="I99" s="26" t="inlineStr">
        <is>
          <t>4 Écart</t>
        </is>
      </c>
      <c r="J99" s="28" t="inlineStr">
        <is>
          <t>https://www.veolia.com/sites/g/files/dvc4206/files/document/2026/07/veolia-2026-first-half-results.pdf</t>
        </is>
      </c>
      <c r="K99" s="28" t="inlineStr">
        <is>
          <t>2026-09-22</t>
        </is>
      </c>
      <c r="L99" s="30" t="inlineStr">
        <is>
          <t>à relire</t>
        </is>
      </c>
    </row>
    <row r="100">
      <c r="A100" s="20" t="inlineStr">
        <is>
          <t>F95</t>
        </is>
      </c>
      <c r="B100" s="5" t="inlineStr">
        <is>
          <t>EBITDA France et Déchets dangereux Europe</t>
        </is>
      </c>
      <c r="C100" s="21" t="n">
        <v>676</v>
      </c>
      <c r="D100" s="5" t="inlineStr">
        <is>
          <t>M EUR</t>
        </is>
      </c>
      <c r="E100" s="5" t="inlineStr">
        <is>
          <t>S1 2026</t>
        </is>
      </c>
      <c r="F100" s="22" t="inlineStr">
        <is>
          <t>676</t>
        </is>
      </c>
      <c r="G100" s="5" t="inlineStr">
        <is>
          <t>05_Commercial_Strategy/veolia-2026-first-half-results.pdf</t>
        </is>
      </c>
      <c r="H100" s="23" t="n">
        <v>7</v>
      </c>
      <c r="I100" s="5" t="inlineStr">
        <is>
          <t>4 Écart</t>
        </is>
      </c>
      <c r="J100" s="22" t="inlineStr">
        <is>
          <t>https://www.veolia.com/sites/g/files/dvc4206/files/document/2026/07/veolia-2026-first-half-results.pdf</t>
        </is>
      </c>
      <c r="K100" s="22" t="inlineStr">
        <is>
          <t>2026-09-22</t>
        </is>
      </c>
      <c r="L100" s="24" t="inlineStr">
        <is>
          <t>à relire</t>
        </is>
      </c>
    </row>
    <row r="101">
      <c r="A101" s="25" t="inlineStr">
        <is>
          <t>F96</t>
        </is>
      </c>
      <c r="B101" s="26" t="inlineStr">
        <is>
          <t>EBITDA Amériques, Asie-Pacifique, Afrique Moyen-Orient</t>
        </is>
      </c>
      <c r="C101" s="31" t="n">
        <v>894</v>
      </c>
      <c r="D101" s="26" t="inlineStr">
        <is>
          <t>M EUR</t>
        </is>
      </c>
      <c r="E101" s="26" t="inlineStr">
        <is>
          <t>S1 2025</t>
        </is>
      </c>
      <c r="F101" s="28" t="inlineStr">
        <is>
          <t>894</t>
        </is>
      </c>
      <c r="G101" s="26" t="inlineStr">
        <is>
          <t>05_Commercial_Strategy/veolia-2026-first-half-results.pdf</t>
        </is>
      </c>
      <c r="H101" s="29" t="n">
        <v>7</v>
      </c>
      <c r="I101" s="26" t="inlineStr">
        <is>
          <t>4 Écart</t>
        </is>
      </c>
      <c r="J101" s="28" t="inlineStr">
        <is>
          <t>https://www.veolia.com/sites/g/files/dvc4206/files/document/2026/07/veolia-2026-first-half-results.pdf</t>
        </is>
      </c>
      <c r="K101" s="28" t="inlineStr">
        <is>
          <t>2026-09-22</t>
        </is>
      </c>
      <c r="L101" s="30" t="inlineStr">
        <is>
          <t>à relire</t>
        </is>
      </c>
    </row>
    <row r="102">
      <c r="A102" s="20" t="inlineStr">
        <is>
          <t>F97</t>
        </is>
      </c>
      <c r="B102" s="5" t="inlineStr">
        <is>
          <t>EBITDA Amériques, Asie-Pacifique, Afrique Moyen-Orient</t>
        </is>
      </c>
      <c r="C102" s="21" t="n">
        <v>991</v>
      </c>
      <c r="D102" s="5" t="inlineStr">
        <is>
          <t>M EUR</t>
        </is>
      </c>
      <c r="E102" s="5" t="inlineStr">
        <is>
          <t>S1 2026</t>
        </is>
      </c>
      <c r="F102" s="22" t="inlineStr">
        <is>
          <t>991</t>
        </is>
      </c>
      <c r="G102" s="5" t="inlineStr">
        <is>
          <t>05_Commercial_Strategy/veolia-2026-first-half-results.pdf</t>
        </is>
      </c>
      <c r="H102" s="23" t="n">
        <v>7</v>
      </c>
      <c r="I102" s="5" t="inlineStr">
        <is>
          <t>4 Écart</t>
        </is>
      </c>
      <c r="J102" s="22" t="inlineStr">
        <is>
          <t>https://www.veolia.com/sites/g/files/dvc4206/files/document/2026/07/veolia-2026-first-half-results.pdf</t>
        </is>
      </c>
      <c r="K102" s="22" t="inlineStr">
        <is>
          <t>2026-09-22</t>
        </is>
      </c>
      <c r="L102" s="24" t="inlineStr">
        <is>
          <t>à relire</t>
        </is>
      </c>
    </row>
    <row r="103">
      <c r="A103" s="25" t="inlineStr">
        <is>
          <t>F98</t>
        </is>
      </c>
      <c r="B103" s="26" t="inlineStr">
        <is>
          <t>Clean Earth : goodwill préliminaire (affectation du prix non réalisée au 30/06/2026)</t>
        </is>
      </c>
      <c r="C103" s="31" t="n">
        <v>2066</v>
      </c>
      <c r="D103" s="26" t="inlineStr">
        <is>
          <t>M EUR</t>
        </is>
      </c>
      <c r="E103" s="26" t="inlineStr">
        <is>
          <t>30/06/2026</t>
        </is>
      </c>
      <c r="F103" s="28" t="inlineStr">
        <is>
          <t>2,066</t>
        </is>
      </c>
      <c r="G103" s="26" t="inlineStr">
        <is>
          <t>01_Financial/veolia_finance_amendment_urd_2025.pdf</t>
        </is>
      </c>
      <c r="H103" s="29" t="n">
        <v>53</v>
      </c>
      <c r="I103" s="26" t="inlineStr">
        <is>
          <t>5 ESG</t>
        </is>
      </c>
      <c r="J103" s="28" t="inlineStr">
        <is>
          <t>https://www.veolia.com/sites/g/files/dvc4206/files/document/2026/07/Veolia_Finance_Amendment_URD_2025.pdf</t>
        </is>
      </c>
      <c r="K103" s="28" t="inlineStr">
        <is>
          <t>2026-09-22</t>
        </is>
      </c>
      <c r="L103" s="30" t="inlineStr">
        <is>
          <t>à relire</t>
        </is>
      </c>
    </row>
    <row r="104">
      <c r="A104" s="20" t="inlineStr">
        <is>
          <t>F99</t>
        </is>
      </c>
      <c r="B104" s="5" t="inlineStr">
        <is>
          <t>Provisions de fermeture et post-fermeture (total)</t>
        </is>
      </c>
      <c r="C104" s="21" t="n">
        <v>1220</v>
      </c>
      <c r="D104" s="5" t="inlineStr">
        <is>
          <t>M EUR</t>
        </is>
      </c>
      <c r="E104" s="5" t="inlineStr">
        <is>
          <t>31/12/2024</t>
        </is>
      </c>
      <c r="F104" s="22" t="inlineStr">
        <is>
          <t>1,220</t>
        </is>
      </c>
      <c r="G104" s="5" t="inlineStr">
        <is>
          <t>01_Financial/finance_veolia_urd_2025_en.pdf</t>
        </is>
      </c>
      <c r="H104" s="23" t="n">
        <v>432</v>
      </c>
      <c r="I104" s="5" t="inlineStr">
        <is>
          <t>5 ESG</t>
        </is>
      </c>
      <c r="J104" s="22" t="inlineStr">
        <is>
          <t>https://www.veolia.com/sites/g/files/dvc4206/files/document/2026/03/Finance_Veolia_URD_2025_en.pdf</t>
        </is>
      </c>
      <c r="K104" s="22" t="inlineStr">
        <is>
          <t>2026-09-22</t>
        </is>
      </c>
      <c r="L104" s="24" t="inlineStr">
        <is>
          <t>à relire</t>
        </is>
      </c>
    </row>
    <row r="105">
      <c r="A105" s="25" t="inlineStr">
        <is>
          <t>F100</t>
        </is>
      </c>
      <c r="B105" s="26" t="inlineStr">
        <is>
          <t>Provisions de fermeture et post-fermeture (total)</t>
        </is>
      </c>
      <c r="C105" s="31" t="n">
        <v>1214</v>
      </c>
      <c r="D105" s="26" t="inlineStr">
        <is>
          <t>M EUR</t>
        </is>
      </c>
      <c r="E105" s="26" t="inlineStr">
        <is>
          <t>31/12/2025</t>
        </is>
      </c>
      <c r="F105" s="28" t="inlineStr">
        <is>
          <t>1,214</t>
        </is>
      </c>
      <c r="G105" s="26" t="inlineStr">
        <is>
          <t>01_Financial/finance_veolia_urd_2025_en.pdf</t>
        </is>
      </c>
      <c r="H105" s="29" t="n">
        <v>432</v>
      </c>
      <c r="I105" s="26" t="inlineStr">
        <is>
          <t>5 ESG</t>
        </is>
      </c>
      <c r="J105" s="28" t="inlineStr">
        <is>
          <t>https://www.veolia.com/sites/g/files/dvc4206/files/document/2026/03/Finance_Veolia_URD_2025_en.pdf</t>
        </is>
      </c>
      <c r="K105" s="28" t="inlineStr">
        <is>
          <t>2026-09-22</t>
        </is>
      </c>
      <c r="L105" s="30" t="inlineStr">
        <is>
          <t>à relire</t>
        </is>
      </c>
    </row>
    <row r="106">
      <c r="A106" s="20" t="inlineStr">
        <is>
          <t>F101</t>
        </is>
      </c>
      <c r="B106" s="5" t="inlineStr">
        <is>
          <t>Provisions de fermeture, dont Amériques, Asie-Pacifique, Afrique Moyen-Orient</t>
        </is>
      </c>
      <c r="C106" s="21" t="n">
        <v>418</v>
      </c>
      <c r="D106" s="5" t="inlineStr">
        <is>
          <t>M EUR</t>
        </is>
      </c>
      <c r="E106" s="5" t="inlineStr">
        <is>
          <t>31/12/2025</t>
        </is>
      </c>
      <c r="F106" s="22" t="inlineStr">
        <is>
          <t>418</t>
        </is>
      </c>
      <c r="G106" s="5" t="inlineStr">
        <is>
          <t>01_Financial/finance_veolia_urd_2025_en.pdf</t>
        </is>
      </c>
      <c r="H106" s="23" t="n">
        <v>432</v>
      </c>
      <c r="I106" s="5" t="inlineStr">
        <is>
          <t>5 ESG</t>
        </is>
      </c>
      <c r="J106" s="22" t="inlineStr">
        <is>
          <t>https://www.veolia.com/sites/g/files/dvc4206/files/document/2026/03/Finance_Veolia_URD_2025_en.pdf</t>
        </is>
      </c>
      <c r="K106" s="22" t="inlineStr">
        <is>
          <t>2026-09-22</t>
        </is>
      </c>
      <c r="L106" s="24" t="inlineStr">
        <is>
          <t>à relire</t>
        </is>
      </c>
    </row>
    <row r="107">
      <c r="A107" s="25" t="inlineStr">
        <is>
          <t>F102</t>
        </is>
      </c>
      <c r="B107" s="26" t="inlineStr">
        <is>
          <t>Provisions de fermeture, dont Amériques, Asie-Pacifique, Afrique Moyen-Orient</t>
        </is>
      </c>
      <c r="C107" s="31" t="n">
        <v>472</v>
      </c>
      <c r="D107" s="26" t="inlineStr">
        <is>
          <t>M EUR</t>
        </is>
      </c>
      <c r="E107" s="26" t="inlineStr">
        <is>
          <t>30/06/2026</t>
        </is>
      </c>
      <c r="F107" s="28" t="inlineStr">
        <is>
          <t>472</t>
        </is>
      </c>
      <c r="G107" s="26" t="inlineStr">
        <is>
          <t>01_Financial/veolia_finance_amendment_urd_2025.pdf</t>
        </is>
      </c>
      <c r="H107" s="29" t="n">
        <v>65</v>
      </c>
      <c r="I107" s="26" t="inlineStr">
        <is>
          <t>5 ESG</t>
        </is>
      </c>
      <c r="J107" s="28" t="inlineStr">
        <is>
          <t>https://www.veolia.com/sites/g/files/dvc4206/files/document/2026/07/Veolia_Finance_Amendment_URD_2025.pdf</t>
        </is>
      </c>
      <c r="K107" s="28" t="inlineStr">
        <is>
          <t>2026-09-22</t>
        </is>
      </c>
      <c r="L107" s="30" t="inlineStr">
        <is>
          <t>à relire</t>
        </is>
      </c>
    </row>
    <row r="108">
      <c r="A108" s="20" t="inlineStr">
        <is>
          <t>F103</t>
        </is>
      </c>
      <c r="B108" s="5" t="inlineStr">
        <is>
          <t>Provisions de fermeture, dont France et Déchets dangereux Europe</t>
        </is>
      </c>
      <c r="C108" s="21" t="n">
        <v>454</v>
      </c>
      <c r="D108" s="5" t="inlineStr">
        <is>
          <t>M EUR</t>
        </is>
      </c>
      <c r="E108" s="5" t="inlineStr">
        <is>
          <t>31/12/2025</t>
        </is>
      </c>
      <c r="F108" s="22" t="inlineStr">
        <is>
          <t>454</t>
        </is>
      </c>
      <c r="G108" s="5" t="inlineStr">
        <is>
          <t>01_Financial/finance_veolia_urd_2025_en.pdf</t>
        </is>
      </c>
      <c r="H108" s="23" t="n">
        <v>432</v>
      </c>
      <c r="I108" s="5" t="inlineStr">
        <is>
          <t>5 ESG</t>
        </is>
      </c>
      <c r="J108" s="22" t="inlineStr">
        <is>
          <t>https://www.veolia.com/sites/g/files/dvc4206/files/document/2026/03/Finance_Veolia_URD_2025_en.pdf</t>
        </is>
      </c>
      <c r="K108" s="22" t="inlineStr">
        <is>
          <t>2026-09-22</t>
        </is>
      </c>
      <c r="L108" s="24" t="inlineStr">
        <is>
          <t>à relire</t>
        </is>
      </c>
    </row>
    <row r="109">
      <c r="A109" s="25" t="inlineStr">
        <is>
          <t>F104</t>
        </is>
      </c>
      <c r="B109" s="26" t="inlineStr">
        <is>
          <t>Provisions de fermeture, dont Europe</t>
        </is>
      </c>
      <c r="C109" s="31" t="n">
        <v>315</v>
      </c>
      <c r="D109" s="26" t="inlineStr">
        <is>
          <t>M EUR</t>
        </is>
      </c>
      <c r="E109" s="26" t="inlineStr">
        <is>
          <t>31/12/2025</t>
        </is>
      </c>
      <c r="F109" s="28" t="inlineStr">
        <is>
          <t>315</t>
        </is>
      </c>
      <c r="G109" s="26" t="inlineStr">
        <is>
          <t>01_Financial/finance_veolia_urd_2025_en.pdf</t>
        </is>
      </c>
      <c r="H109" s="29" t="n">
        <v>432</v>
      </c>
      <c r="I109" s="26" t="inlineStr">
        <is>
          <t>5 ESG</t>
        </is>
      </c>
      <c r="J109" s="28" t="inlineStr">
        <is>
          <t>https://www.veolia.com/sites/g/files/dvc4206/files/document/2026/03/Finance_Veolia_URD_2025_en.pdf</t>
        </is>
      </c>
      <c r="K109" s="28" t="inlineStr">
        <is>
          <t>2026-09-22</t>
        </is>
      </c>
      <c r="L109" s="30" t="inlineStr">
        <is>
          <t>à relire</t>
        </is>
      </c>
    </row>
    <row r="110">
      <c r="A110" s="20" t="inlineStr">
        <is>
          <t>F105</t>
        </is>
      </c>
      <c r="B110" s="5" t="inlineStr">
        <is>
          <t>Provisions de fermeture, dont Europe</t>
        </is>
      </c>
      <c r="C110" s="21" t="n">
        <v>328</v>
      </c>
      <c r="D110" s="5" t="inlineStr">
        <is>
          <t>M EUR</t>
        </is>
      </c>
      <c r="E110" s="5" t="inlineStr">
        <is>
          <t>30/06/2026</t>
        </is>
      </c>
      <c r="F110" s="22" t="inlineStr">
        <is>
          <t>328</t>
        </is>
      </c>
      <c r="G110" s="5" t="inlineStr">
        <is>
          <t>01_Financial/veolia_finance_amendment_urd_2025.pdf</t>
        </is>
      </c>
      <c r="H110" s="23" t="n">
        <v>65</v>
      </c>
      <c r="I110" s="5" t="inlineStr">
        <is>
          <t>5 ESG</t>
        </is>
      </c>
      <c r="J110" s="22" t="inlineStr">
        <is>
          <t>https://www.veolia.com/sites/g/files/dvc4206/files/document/2026/07/Veolia_Finance_Amendment_URD_2025.pdf</t>
        </is>
      </c>
      <c r="K110" s="22" t="inlineStr">
        <is>
          <t>2026-09-22</t>
        </is>
      </c>
      <c r="L110" s="24" t="inlineStr">
        <is>
          <t>à relire</t>
        </is>
      </c>
    </row>
    <row r="111">
      <c r="A111" s="25" t="inlineStr">
        <is>
          <t>F106</t>
        </is>
      </c>
      <c r="B111" s="26" t="inlineStr">
        <is>
          <t>Provisions pour démantèlement d'installations</t>
        </is>
      </c>
      <c r="C111" s="31" t="n">
        <v>55</v>
      </c>
      <c r="D111" s="26" t="inlineStr">
        <is>
          <t>M EUR</t>
        </is>
      </c>
      <c r="E111" s="26" t="inlineStr">
        <is>
          <t>31/12/2025</t>
        </is>
      </c>
      <c r="F111" s="28" t="inlineStr">
        <is>
          <t>55</t>
        </is>
      </c>
      <c r="G111" s="26" t="inlineStr">
        <is>
          <t>01_Financial/finance_veolia_urd_2025_en.pdf</t>
        </is>
      </c>
      <c r="H111" s="29" t="n">
        <v>432</v>
      </c>
      <c r="I111" s="26" t="inlineStr">
        <is>
          <t>5 ESG</t>
        </is>
      </c>
      <c r="J111" s="28" t="inlineStr">
        <is>
          <t>https://www.veolia.com/sites/g/files/dvc4206/files/document/2026/03/Finance_Veolia_URD_2025_en.pdf</t>
        </is>
      </c>
      <c r="K111" s="28" t="inlineStr">
        <is>
          <t>2026-09-22</t>
        </is>
      </c>
      <c r="L111" s="30" t="inlineStr">
        <is>
          <t>à relire</t>
        </is>
      </c>
    </row>
    <row r="112">
      <c r="A112" s="20" t="inlineStr">
        <is>
          <t>F107</t>
        </is>
      </c>
      <c r="B112" s="5" t="inlineStr">
        <is>
          <t>Désactualisation des provisions de fermeture et post-fermeture</t>
        </is>
      </c>
      <c r="C112" s="21" t="n">
        <v>72</v>
      </c>
      <c r="D112" s="5" t="inlineStr">
        <is>
          <t>M EUR</t>
        </is>
      </c>
      <c r="E112" s="5" t="inlineStr">
        <is>
          <t>FY2025</t>
        </is>
      </c>
      <c r="F112" s="22" t="inlineStr">
        <is>
          <t>72</t>
        </is>
      </c>
      <c r="G112" s="5" t="inlineStr">
        <is>
          <t>01_Financial/finance_veolia_urd_2025_en.pdf</t>
        </is>
      </c>
      <c r="H112" s="23" t="n">
        <v>432</v>
      </c>
      <c r="I112" s="5" t="inlineStr">
        <is>
          <t>5 ESG</t>
        </is>
      </c>
      <c r="J112" s="22" t="inlineStr">
        <is>
          <t>https://www.veolia.com/sites/g/files/dvc4206/files/document/2026/03/Finance_Veolia_URD_2025_en.pdf</t>
        </is>
      </c>
      <c r="K112" s="22" t="inlineStr">
        <is>
          <t>2026-09-22</t>
        </is>
      </c>
      <c r="L112" s="24" t="inlineStr">
        <is>
          <t>à relire</t>
        </is>
      </c>
    </row>
    <row r="113">
      <c r="A113" s="25" t="inlineStr">
        <is>
          <t>F108</t>
        </is>
      </c>
      <c r="B113" s="26" t="inlineStr">
        <is>
          <t>Engagements reçus liés au périmètre (garanties liées à des acquisitions)</t>
        </is>
      </c>
      <c r="C113" s="31" t="n">
        <v>45</v>
      </c>
      <c r="D113" s="26" t="inlineStr">
        <is>
          <t>M EUR</t>
        </is>
      </c>
      <c r="E113" s="26" t="inlineStr">
        <is>
          <t>31/12/2025</t>
        </is>
      </c>
      <c r="F113" s="28" t="inlineStr">
        <is>
          <t>45</t>
        </is>
      </c>
      <c r="G113" s="26" t="inlineStr">
        <is>
          <t>01_Financial/veolia-amendement-deu-2025-s1-2026.pdf</t>
        </is>
      </c>
      <c r="H113" s="29" t="n">
        <v>46</v>
      </c>
      <c r="I113" s="26" t="inlineStr">
        <is>
          <t>5 ESG</t>
        </is>
      </c>
      <c r="J113" s="28" t="inlineStr">
        <is>
          <t>https://www.veolia.com/sites/g/files/dvc4206/files/document/2026/07/Veolia_Finance_amendement_DEU_2025.pdf</t>
        </is>
      </c>
      <c r="K113" s="28" t="inlineStr">
        <is>
          <t>2026-09-22</t>
        </is>
      </c>
      <c r="L113" s="30" t="inlineStr">
        <is>
          <t>à relire</t>
        </is>
      </c>
    </row>
    <row r="114">
      <c r="A114" s="20" t="inlineStr">
        <is>
          <t>F109</t>
        </is>
      </c>
      <c r="B114" s="5" t="inlineStr">
        <is>
          <t>Engagements reçus liés au périmètre (garanties liées à des acquisitions)</t>
        </is>
      </c>
      <c r="C114" s="21" t="n">
        <v>75</v>
      </c>
      <c r="D114" s="5" t="inlineStr">
        <is>
          <t>M EUR</t>
        </is>
      </c>
      <c r="E114" s="5" t="inlineStr">
        <is>
          <t>30/06/2026</t>
        </is>
      </c>
      <c r="F114" s="22" t="inlineStr">
        <is>
          <t>75</t>
        </is>
      </c>
      <c r="G114" s="5" t="inlineStr">
        <is>
          <t>01_Financial/veolia-amendement-deu-2025-s1-2026.pdf</t>
        </is>
      </c>
      <c r="H114" s="23" t="n">
        <v>46</v>
      </c>
      <c r="I114" s="5" t="inlineStr">
        <is>
          <t>5 ESG</t>
        </is>
      </c>
      <c r="J114" s="22" t="inlineStr">
        <is>
          <t>https://www.veolia.com/sites/g/files/dvc4206/files/document/2026/07/Veolia_Finance_amendement_DEU_2025.pdf</t>
        </is>
      </c>
      <c r="K114" s="22" t="inlineStr">
        <is>
          <t>2026-09-22</t>
        </is>
      </c>
      <c r="L114" s="24" t="inlineStr">
        <is>
          <t>à relire</t>
        </is>
      </c>
    </row>
    <row r="115">
      <c r="A115" s="25" t="inlineStr">
        <is>
          <t>F127</t>
        </is>
      </c>
      <c r="B115" s="26" t="inlineStr">
        <is>
          <t>Clean Earth : sites spécialisés</t>
        </is>
      </c>
      <c r="C115" s="31" t="n">
        <v>82</v>
      </c>
      <c r="D115" s="26" t="inlineStr">
        <is>
          <t>sites</t>
        </is>
      </c>
      <c r="E115" s="26" t="inlineStr">
        <is>
          <t>annonce 11/2025</t>
        </is>
      </c>
      <c r="F115" s="28" t="inlineStr">
        <is>
          <t>82</t>
        </is>
      </c>
      <c r="G115" s="26" t="inlineStr">
        <is>
          <t>01_Financial/veolia_clean_earth_investor_presentation.pdf</t>
        </is>
      </c>
      <c r="H115" s="29" t="n">
        <v>4</v>
      </c>
      <c r="I115" s="26" t="inlineStr">
        <is>
          <t>5 ESG</t>
        </is>
      </c>
      <c r="J115" s="28" t="inlineStr">
        <is>
          <t>https://www.veolia.com/sites/g/files/dvc4206/files/document/2025/11/Veolia_Clean_Earth_Investor_Presentation.pdf</t>
        </is>
      </c>
      <c r="K115" s="28" t="inlineStr">
        <is>
          <t>2026-09-22</t>
        </is>
      </c>
      <c r="L115" s="30" t="inlineStr">
        <is>
          <t>à relire</t>
        </is>
      </c>
    </row>
    <row r="116">
      <c r="A116" s="20" t="inlineStr">
        <is>
          <t>F128</t>
        </is>
      </c>
      <c r="B116" s="5" t="inlineStr">
        <is>
          <t>Clean Earth : permis</t>
        </is>
      </c>
      <c r="C116" s="21" t="n">
        <v>700</v>
      </c>
      <c r="D116" s="5" t="inlineStr">
        <is>
          <t>permis</t>
        </is>
      </c>
      <c r="E116" s="5" t="inlineStr">
        <is>
          <t>annonce 11/2025</t>
        </is>
      </c>
      <c r="F116" s="22" t="inlineStr">
        <is>
          <t>700</t>
        </is>
      </c>
      <c r="G116" s="5" t="inlineStr">
        <is>
          <t>01_Financial/veolia_clean_earth_investor_presentation.pdf</t>
        </is>
      </c>
      <c r="H116" s="23" t="n">
        <v>4</v>
      </c>
      <c r="I116" s="5" t="inlineStr">
        <is>
          <t>5 ESG</t>
        </is>
      </c>
      <c r="J116" s="22" t="inlineStr">
        <is>
          <t>https://www.veolia.com/sites/g/files/dvc4206/files/document/2025/11/Veolia_Clean_Earth_Investor_Presentation.pdf</t>
        </is>
      </c>
      <c r="K116" s="22" t="inlineStr">
        <is>
          <t>2026-09-22</t>
        </is>
      </c>
      <c r="L116" s="24" t="inlineStr">
        <is>
          <t>à relire</t>
        </is>
      </c>
    </row>
    <row r="117">
      <c r="A117" s="25" t="inlineStr">
        <is>
          <t>F129</t>
        </is>
      </c>
      <c r="B117" s="26" t="inlineStr">
        <is>
          <t>GreenUp : investissements nets de croissance 2024-2027 dans les boosters (« 2 x Impact 2023 »)</t>
        </is>
      </c>
      <c r="C117" s="31" t="n">
        <v>4</v>
      </c>
      <c r="D117" s="26" t="inlineStr">
        <is>
          <t>Md EUR</t>
        </is>
      </c>
      <c r="E117" s="26" t="inlineStr">
        <is>
          <t>2024-2027</t>
        </is>
      </c>
      <c r="F117" s="28" t="inlineStr">
        <is>
          <t>4</t>
        </is>
      </c>
      <c r="G117" s="26" t="inlineStr">
        <is>
          <t>01_Financial/en_master_greenup_strategy-day_v270324.pdf</t>
        </is>
      </c>
      <c r="H117" s="29" t="n">
        <v>44</v>
      </c>
      <c r="I117" s="26" t="inlineStr">
        <is>
          <t>1 Périmètre</t>
        </is>
      </c>
      <c r="J117" s="28" t="inlineStr">
        <is>
          <t>https://www.veolia.com/sites/g/files/dvc4206/files/document/2024/03/EN_Master_GreenUp_Strategy%20day_V270324.pdf</t>
        </is>
      </c>
      <c r="K117" s="28" t="inlineStr">
        <is>
          <t>2026-09-22</t>
        </is>
      </c>
      <c r="L117" s="30" t="inlineStr">
        <is>
          <t>à relire</t>
        </is>
      </c>
    </row>
    <row r="118">
      <c r="A118" s="20" t="inlineStr">
        <is>
          <t>F130</t>
        </is>
      </c>
      <c r="B118" s="5" t="inlineStr">
        <is>
          <t>GreenUp : à investir dans les strongholds</t>
        </is>
      </c>
      <c r="C118" s="21" t="n">
        <v>2</v>
      </c>
      <c r="D118" s="5" t="inlineStr">
        <is>
          <t>Md EUR</t>
        </is>
      </c>
      <c r="E118" s="5" t="inlineStr">
        <is>
          <t>2024-2027</t>
        </is>
      </c>
      <c r="F118" s="22" t="inlineStr">
        <is>
          <t>2</t>
        </is>
      </c>
      <c r="G118" s="5" t="inlineStr">
        <is>
          <t>01_Financial/en_master_greenup_strategy-day_v270324.pdf</t>
        </is>
      </c>
      <c r="H118" s="23" t="n">
        <v>44</v>
      </c>
      <c r="I118" s="5" t="inlineStr">
        <is>
          <t>1 Périmètre</t>
        </is>
      </c>
      <c r="J118" s="22" t="inlineStr">
        <is>
          <t>https://www.veolia.com/sites/g/files/dvc4206/files/document/2024/03/EN_Master_GreenUp_Strategy%20day_V270324.pdf</t>
        </is>
      </c>
      <c r="K118" s="22" t="inlineStr">
        <is>
          <t>2026-09-22</t>
        </is>
      </c>
      <c r="L118" s="24" t="inlineStr">
        <is>
          <t>à relire</t>
        </is>
      </c>
    </row>
    <row r="119">
      <c r="A119" s="25" t="inlineStr">
        <is>
          <t>F131</t>
        </is>
      </c>
      <c r="B119" s="26" t="inlineStr">
        <is>
          <t>Rotation d'actifs déjà réalisée depuis le début de GreenUp, environ</t>
        </is>
      </c>
      <c r="C119" s="31" t="n">
        <v>4</v>
      </c>
      <c r="D119" s="26" t="inlineStr">
        <is>
          <t>Md EUR</t>
        </is>
      </c>
      <c r="E119" s="26" t="inlineStr">
        <is>
          <t>2024-2025e</t>
        </is>
      </c>
      <c r="F119" s="28" t="inlineStr">
        <is>
          <t>4</t>
        </is>
      </c>
      <c r="G119" s="26" t="inlineStr">
        <is>
          <t>01_Financial/veolia_clean_earth_investor_presentation.pdf</t>
        </is>
      </c>
      <c r="H119" s="29" t="n">
        <v>17</v>
      </c>
      <c r="I119" s="26" t="inlineStr">
        <is>
          <t>1 Périmètre</t>
        </is>
      </c>
      <c r="J119" s="28" t="inlineStr">
        <is>
          <t>https://www.veolia.com/sites/g/files/dvc4206/files/document/2025/11/Veolia_Clean_Earth_Investor_Presentation.pdf</t>
        </is>
      </c>
      <c r="K119" s="28" t="inlineStr">
        <is>
          <t>2026-09-22</t>
        </is>
      </c>
      <c r="L119" s="30" t="inlineStr">
        <is>
          <t>à relire</t>
        </is>
      </c>
    </row>
    <row r="120">
      <c r="A120" s="20" t="inlineStr">
        <is>
          <t>F132</t>
        </is>
      </c>
      <c r="B120" s="5" t="inlineStr">
        <is>
          <t>Cessions nouvelles d'actifs matures dans les 2 ans après la clôture de Clean Earth, plus de</t>
        </is>
      </c>
      <c r="C120" s="21" t="n">
        <v>2</v>
      </c>
      <c r="D120" s="5" t="inlineStr">
        <is>
          <t>Md EUR</t>
        </is>
      </c>
      <c r="E120" s="5" t="inlineStr">
        <is>
          <t>2026-2028</t>
        </is>
      </c>
      <c r="F120" s="22" t="inlineStr">
        <is>
          <t>2</t>
        </is>
      </c>
      <c r="G120" s="5" t="inlineStr">
        <is>
          <t>01_Financial/veolia_clean_earth_investor_presentation.pdf</t>
        </is>
      </c>
      <c r="H120" s="23" t="n">
        <v>17</v>
      </c>
      <c r="I120" s="5" t="inlineStr">
        <is>
          <t>1 Périmètre</t>
        </is>
      </c>
      <c r="J120" s="22" t="inlineStr">
        <is>
          <t>https://www.veolia.com/sites/g/files/dvc4206/files/document/2025/11/Veolia_Clean_Earth_Investor_Presentation.pdf</t>
        </is>
      </c>
      <c r="K120" s="22" t="inlineStr">
        <is>
          <t>2026-09-22</t>
        </is>
      </c>
      <c r="L120" s="24" t="inlineStr">
        <is>
          <t>à relire</t>
        </is>
      </c>
    </row>
    <row r="121">
      <c r="A121" s="25" t="inlineStr">
        <is>
          <t>F133</t>
        </is>
      </c>
      <c r="B121" s="26" t="inlineStr">
        <is>
          <t>Rotation d'actifs totale GreenUp avec Clean Earth et le plan de cessions, environ</t>
        </is>
      </c>
      <c r="C121" s="27" t="n">
        <v>8.5</v>
      </c>
      <c r="D121" s="26" t="inlineStr">
        <is>
          <t>Md EUR</t>
        </is>
      </c>
      <c r="E121" s="26" t="inlineStr">
        <is>
          <t>2024-2028</t>
        </is>
      </c>
      <c r="F121" s="28" t="inlineStr">
        <is>
          <t>8.5</t>
        </is>
      </c>
      <c r="G121" s="26" t="inlineStr">
        <is>
          <t>01_Financial/veolia_clean_earth_investor_presentation.pdf</t>
        </is>
      </c>
      <c r="H121" s="29" t="n">
        <v>17</v>
      </c>
      <c r="I121" s="26" t="inlineStr">
        <is>
          <t>1 Périmètre</t>
        </is>
      </c>
      <c r="J121" s="28" t="inlineStr">
        <is>
          <t>https://www.veolia.com/sites/g/files/dvc4206/files/document/2025/11/Veolia_Clean_Earth_Investor_Presentation.pdf</t>
        </is>
      </c>
      <c r="K121" s="28" t="inlineStr">
        <is>
          <t>2026-09-22</t>
        </is>
      </c>
      <c r="L121" s="30" t="inlineStr">
        <is>
          <t>à relire</t>
        </is>
      </c>
    </row>
    <row r="122">
      <c r="A122" s="20" t="inlineStr">
        <is>
          <t>F134</t>
        </is>
      </c>
      <c r="B122" s="5" t="inlineStr">
        <is>
          <t>Part des acquisitions GreenUp dans les boosters, environ</t>
        </is>
      </c>
      <c r="C122" s="21" t="n">
        <v>90</v>
      </c>
      <c r="D122" s="5" t="inlineStr">
        <is>
          <t>%</t>
        </is>
      </c>
      <c r="E122" s="5" t="inlineStr">
        <is>
          <t>2024-2025e</t>
        </is>
      </c>
      <c r="F122" s="22" t="inlineStr">
        <is>
          <t>90</t>
        </is>
      </c>
      <c r="G122" s="5" t="inlineStr">
        <is>
          <t>01_Financial/veolia_clean_earth_investor_presentation.pdf</t>
        </is>
      </c>
      <c r="H122" s="23" t="n">
        <v>17</v>
      </c>
      <c r="I122" s="5" t="inlineStr">
        <is>
          <t>1 Périmètre</t>
        </is>
      </c>
      <c r="J122" s="22" t="inlineStr">
        <is>
          <t>https://www.veolia.com/sites/g/files/dvc4206/files/document/2025/11/Veolia_Clean_Earth_Investor_Presentation.pdf</t>
        </is>
      </c>
      <c r="K122" s="22" t="inlineStr">
        <is>
          <t>2026-09-22</t>
        </is>
      </c>
      <c r="L122" s="24" t="inlineStr">
        <is>
          <t>à relire</t>
        </is>
      </c>
    </row>
    <row r="123">
      <c r="A123" s="25" t="inlineStr">
        <is>
          <t>F135</t>
        </is>
      </c>
      <c r="B123" s="26" t="inlineStr">
        <is>
          <t>Part des acquisitions GreenUp hors d'Europe, environ</t>
        </is>
      </c>
      <c r="C123" s="31" t="n">
        <v>80</v>
      </c>
      <c r="D123" s="26" t="inlineStr">
        <is>
          <t>%</t>
        </is>
      </c>
      <c r="E123" s="26" t="inlineStr">
        <is>
          <t>2024-2025e</t>
        </is>
      </c>
      <c r="F123" s="28" t="inlineStr">
        <is>
          <t>80</t>
        </is>
      </c>
      <c r="G123" s="26" t="inlineStr">
        <is>
          <t>01_Financial/veolia_clean_earth_investor_presentation.pdf</t>
        </is>
      </c>
      <c r="H123" s="29" t="n">
        <v>17</v>
      </c>
      <c r="I123" s="26" t="inlineStr">
        <is>
          <t>1 Périmètre</t>
        </is>
      </c>
      <c r="J123" s="28" t="inlineStr">
        <is>
          <t>https://www.veolia.com/sites/g/files/dvc4206/files/document/2025/11/Veolia_Clean_Earth_Investor_Presentation.pdf</t>
        </is>
      </c>
      <c r="K123" s="28" t="inlineStr">
        <is>
          <t>2026-09-22</t>
        </is>
      </c>
      <c r="L123" s="30" t="inlineStr">
        <is>
          <t>à relire</t>
        </is>
      </c>
    </row>
    <row r="124">
      <c r="A124" s="20" t="inlineStr">
        <is>
          <t>F136</t>
        </is>
      </c>
      <c r="B124" s="5" t="inlineStr">
        <is>
          <t>Investissements financiers nets 2024 (cessions SADE, RGS, Lydec, Haikou ; achat Hofmann)</t>
        </is>
      </c>
      <c r="C124" s="32" t="n">
        <v>-0.4</v>
      </c>
      <c r="D124" s="5" t="inlineStr">
        <is>
          <t>Md EUR</t>
        </is>
      </c>
      <c r="E124" s="5" t="inlineStr">
        <is>
          <t>FY2024</t>
        </is>
      </c>
      <c r="F124" s="22" t="inlineStr">
        <is>
          <t>-0.4</t>
        </is>
      </c>
      <c r="G124" s="5" t="inlineStr">
        <is>
          <t>01_Financial/veolia_clean_earth_investor_presentation.pdf</t>
        </is>
      </c>
      <c r="H124" s="23" t="n">
        <v>17</v>
      </c>
      <c r="I124" s="5" t="inlineStr">
        <is>
          <t>1 Périmètre</t>
        </is>
      </c>
      <c r="J124" s="22" t="inlineStr">
        <is>
          <t>https://www.veolia.com/sites/g/files/dvc4206/files/document/2025/11/Veolia_Clean_Earth_Investor_Presentation.pdf</t>
        </is>
      </c>
      <c r="K124" s="22" t="inlineStr">
        <is>
          <t>2026-09-22</t>
        </is>
      </c>
      <c r="L124" s="24" t="inlineStr">
        <is>
          <t>à relire</t>
        </is>
      </c>
    </row>
    <row r="125">
      <c r="A125" s="25" t="inlineStr">
        <is>
          <t>F137</t>
        </is>
      </c>
      <c r="B125" s="26" t="inlineStr">
        <is>
          <t>Investissements financiers nets 2025e (déchets dangereux US, WTS minoritaires…)</t>
        </is>
      </c>
      <c r="C125" s="27" t="n">
        <v>2.3</v>
      </c>
      <c r="D125" s="26" t="inlineStr">
        <is>
          <t>Md EUR</t>
        </is>
      </c>
      <c r="E125" s="26" t="inlineStr">
        <is>
          <t>FY2025e</t>
        </is>
      </c>
      <c r="F125" s="28" t="inlineStr">
        <is>
          <t>2.3</t>
        </is>
      </c>
      <c r="G125" s="26" t="inlineStr">
        <is>
          <t>01_Financial/veolia_clean_earth_investor_presentation.pdf</t>
        </is>
      </c>
      <c r="H125" s="29" t="n">
        <v>17</v>
      </c>
      <c r="I125" s="26" t="inlineStr">
        <is>
          <t>1 Périmètre</t>
        </is>
      </c>
      <c r="J125" s="28" t="inlineStr">
        <is>
          <t>https://www.veolia.com/sites/g/files/dvc4206/files/document/2025/11/Veolia_Clean_Earth_Investor_Presentation.pdf</t>
        </is>
      </c>
      <c r="K125" s="28" t="inlineStr">
        <is>
          <t>2026-09-22</t>
        </is>
      </c>
      <c r="L125" s="30" t="inlineStr">
        <is>
          <t>à relire</t>
        </is>
      </c>
    </row>
    <row r="126">
      <c r="A126" s="20" t="inlineStr">
        <is>
          <t>F138</t>
        </is>
      </c>
      <c r="B126" s="5" t="inlineStr">
        <is>
          <t>Pont de dette 2024 : investissements financiers nets des cessions (entrée nette)</t>
        </is>
      </c>
      <c r="C126" s="21" t="n">
        <v>397</v>
      </c>
      <c r="D126" s="5" t="inlineStr">
        <is>
          <t>M EUR</t>
        </is>
      </c>
      <c r="E126" s="5" t="inlineStr">
        <is>
          <t>FY2024</t>
        </is>
      </c>
      <c r="F126" s="22" t="inlineStr">
        <is>
          <t>+397</t>
        </is>
      </c>
      <c r="G126" s="5" t="inlineStr">
        <is>
          <t>05_Commercial_Strategy/pr-2024-annual-results-veolia.pdf</t>
        </is>
      </c>
      <c r="H126" s="23" t="n">
        <v>9</v>
      </c>
      <c r="I126" s="5" t="inlineStr">
        <is>
          <t>1 Périmètre</t>
        </is>
      </c>
      <c r="J126" s="22" t="inlineStr">
        <is>
          <t>https://www.veolia.com/sites/g/files/dvc4206/files/document/2025/02/pr-2024-annual-results-veolia.pdf</t>
        </is>
      </c>
      <c r="K126" s="22" t="inlineStr">
        <is>
          <t>2026-09-22</t>
        </is>
      </c>
      <c r="L126" s="24" t="inlineStr">
        <is>
          <t>à relire</t>
        </is>
      </c>
    </row>
    <row r="127">
      <c r="A127" s="25" t="inlineStr">
        <is>
          <t>F139</t>
        </is>
      </c>
      <c r="B127" s="26" t="inlineStr">
        <is>
          <t>Pont de dette 2024 : dividendes versés</t>
        </is>
      </c>
      <c r="C127" s="31" t="n">
        <v>-895</v>
      </c>
      <c r="D127" s="26" t="inlineStr">
        <is>
          <t>M EUR</t>
        </is>
      </c>
      <c r="E127" s="26" t="inlineStr">
        <is>
          <t>FY2024</t>
        </is>
      </c>
      <c r="F127" s="28" t="inlineStr">
        <is>
          <t>-895</t>
        </is>
      </c>
      <c r="G127" s="26" t="inlineStr">
        <is>
          <t>05_Commercial_Strategy/pr-2024-annual-results-veolia.pdf</t>
        </is>
      </c>
      <c r="H127" s="29" t="n">
        <v>9</v>
      </c>
      <c r="I127" s="26" t="inlineStr">
        <is>
          <t>3 Capacité</t>
        </is>
      </c>
      <c r="J127" s="28" t="inlineStr">
        <is>
          <t>https://www.veolia.com/sites/g/files/dvc4206/files/document/2025/02/pr-2024-annual-results-veolia.pdf</t>
        </is>
      </c>
      <c r="K127" s="28" t="inlineStr">
        <is>
          <t>2026-09-22</t>
        </is>
      </c>
      <c r="L127" s="30" t="inlineStr">
        <is>
          <t>à relire</t>
        </is>
      </c>
    </row>
    <row r="128">
      <c r="A128" s="20" t="inlineStr">
        <is>
          <t>F140</t>
        </is>
      </c>
      <c r="B128" s="5" t="inlineStr">
        <is>
          <t>Pont de dette 2024 : remboursement de dette hybride</t>
        </is>
      </c>
      <c r="C128" s="21" t="n">
        <v>-203</v>
      </c>
      <c r="D128" s="5" t="inlineStr">
        <is>
          <t>M EUR</t>
        </is>
      </c>
      <c r="E128" s="5" t="inlineStr">
        <is>
          <t>FY2024</t>
        </is>
      </c>
      <c r="F128" s="22" t="inlineStr">
        <is>
          <t>-203</t>
        </is>
      </c>
      <c r="G128" s="5" t="inlineStr">
        <is>
          <t>05_Commercial_Strategy/pr-2024-annual-results-veolia.pdf</t>
        </is>
      </c>
      <c r="H128" s="23" t="n">
        <v>9</v>
      </c>
      <c r="I128" s="5" t="inlineStr">
        <is>
          <t>2 Contrainte</t>
        </is>
      </c>
      <c r="J128" s="22" t="inlineStr">
        <is>
          <t>https://www.veolia.com/sites/g/files/dvc4206/files/document/2025/02/pr-2024-annual-results-veolia.pdf</t>
        </is>
      </c>
      <c r="K128" s="22" t="inlineStr">
        <is>
          <t>2026-09-22</t>
        </is>
      </c>
      <c r="L128" s="24" t="inlineStr">
        <is>
          <t>à relire</t>
        </is>
      </c>
    </row>
    <row r="129">
      <c r="A129" s="25" t="inlineStr">
        <is>
          <t>F141</t>
        </is>
      </c>
      <c r="B129" s="26" t="inlineStr">
        <is>
          <t>Pont de dette 2024 : augmentation de capital Sequoia 2024 (nette)</t>
        </is>
      </c>
      <c r="C129" s="31" t="n">
        <v>336</v>
      </c>
      <c r="D129" s="26" t="inlineStr">
        <is>
          <t>M EUR</t>
        </is>
      </c>
      <c r="E129" s="26" t="inlineStr">
        <is>
          <t>FY2024</t>
        </is>
      </c>
      <c r="F129" s="28" t="inlineStr">
        <is>
          <t>336</t>
        </is>
      </c>
      <c r="G129" s="26" t="inlineStr">
        <is>
          <t>05_Commercial_Strategy/pr-2024-annual-results-veolia.pdf</t>
        </is>
      </c>
      <c r="H129" s="29" t="n">
        <v>9</v>
      </c>
      <c r="I129" s="26" t="inlineStr">
        <is>
          <t>3 Capacité</t>
        </is>
      </c>
      <c r="J129" s="28" t="inlineStr">
        <is>
          <t>https://www.veolia.com/sites/g/files/dvc4206/files/document/2025/02/pr-2024-annual-results-veolia.pdf</t>
        </is>
      </c>
      <c r="K129" s="28" t="inlineStr">
        <is>
          <t>2026-09-22</t>
        </is>
      </c>
      <c r="L129" s="30" t="inlineStr">
        <is>
          <t>à relire</t>
        </is>
      </c>
    </row>
    <row r="130">
      <c r="A130" s="20" t="inlineStr">
        <is>
          <t>F142</t>
        </is>
      </c>
      <c r="B130" s="5" t="inlineStr">
        <is>
          <t>Pont de dette 2024 : effet de change et de juste valeur (défavorable)</t>
        </is>
      </c>
      <c r="C130" s="21" t="n">
        <v>-157</v>
      </c>
      <c r="D130" s="5" t="inlineStr">
        <is>
          <t>M EUR</t>
        </is>
      </c>
      <c r="E130" s="5" t="inlineStr">
        <is>
          <t>FY2024</t>
        </is>
      </c>
      <c r="F130" s="22" t="inlineStr">
        <is>
          <t>-157</t>
        </is>
      </c>
      <c r="G130" s="5" t="inlineStr">
        <is>
          <t>05_Commercial_Strategy/pr-2024-annual-results-veolia.pdf</t>
        </is>
      </c>
      <c r="H130" s="23" t="n">
        <v>9</v>
      </c>
      <c r="I130" s="5" t="inlineStr">
        <is>
          <t>2 Contrainte</t>
        </is>
      </c>
      <c r="J130" s="22" t="inlineStr">
        <is>
          <t>https://www.veolia.com/sites/g/files/dvc4206/files/document/2025/02/pr-2024-annual-results-veolia.pdf</t>
        </is>
      </c>
      <c r="K130" s="22" t="inlineStr">
        <is>
          <t>2026-09-22</t>
        </is>
      </c>
      <c r="L130" s="24" t="inlineStr">
        <is>
          <t>à relire</t>
        </is>
      </c>
    </row>
    <row r="131">
      <c r="A131" s="25" t="inlineStr">
        <is>
          <t>F143</t>
        </is>
      </c>
      <c r="B131" s="26" t="inlineStr">
        <is>
          <t>Investissements nets (net capex)</t>
        </is>
      </c>
      <c r="C131" s="31" t="n">
        <v>3836</v>
      </c>
      <c r="D131" s="26" t="inlineStr">
        <is>
          <t>M EUR</t>
        </is>
      </c>
      <c r="E131" s="26" t="inlineStr">
        <is>
          <t>FY2024</t>
        </is>
      </c>
      <c r="F131" s="28" t="inlineStr">
        <is>
          <t>3,836</t>
        </is>
      </c>
      <c r="G131" s="26" t="inlineStr">
        <is>
          <t>05_Commercial_Strategy/pr-2024-annual-results-veolia.pdf</t>
        </is>
      </c>
      <c r="H131" s="29" t="n">
        <v>9</v>
      </c>
      <c r="I131" s="26" t="inlineStr">
        <is>
          <t>3 Capacité</t>
        </is>
      </c>
      <c r="J131" s="28" t="inlineStr">
        <is>
          <t>https://www.veolia.com/sites/g/files/dvc4206/files/document/2025/02/pr-2024-annual-results-veolia.pdf</t>
        </is>
      </c>
      <c r="K131" s="28" t="inlineStr">
        <is>
          <t>2026-09-22</t>
        </is>
      </c>
      <c r="L131" s="30" t="inlineStr">
        <is>
          <t>à relire</t>
        </is>
      </c>
    </row>
    <row r="132">
      <c r="A132" s="20" t="inlineStr">
        <is>
          <t>F144</t>
        </is>
      </c>
      <c r="B132" s="5" t="inlineStr">
        <is>
          <t>Maturité moyenne de la dette financière nette</t>
        </is>
      </c>
      <c r="C132" s="32" t="n">
        <v>6.5</v>
      </c>
      <c r="D132" s="5" t="inlineStr">
        <is>
          <t>années</t>
        </is>
      </c>
      <c r="E132" s="5" t="inlineStr">
        <is>
          <t>31/12/2025</t>
        </is>
      </c>
      <c r="F132" s="22" t="inlineStr">
        <is>
          <t>6.5</t>
        </is>
      </c>
      <c r="G132" s="5" t="inlineStr">
        <is>
          <t>01_Financial/finance_veolia_urd_2025_en.pdf</t>
        </is>
      </c>
      <c r="H132" s="23" t="n">
        <v>351</v>
      </c>
      <c r="I132" s="5" t="inlineStr">
        <is>
          <t>2 Contrainte</t>
        </is>
      </c>
      <c r="J132" s="22" t="inlineStr">
        <is>
          <t>https://www.veolia.com/sites/g/files/dvc4206/files/document/2026/03/Finance_Veolia_URD_2025_en.pdf</t>
        </is>
      </c>
      <c r="K132" s="22" t="inlineStr">
        <is>
          <t>2026-09-22</t>
        </is>
      </c>
      <c r="L132" s="24" t="inlineStr">
        <is>
          <t>à relire</t>
        </is>
      </c>
    </row>
    <row r="133">
      <c r="A133" s="25" t="inlineStr">
        <is>
          <t>F145</t>
        </is>
      </c>
      <c r="B133" s="26" t="inlineStr">
        <is>
          <t>Maturité moyenne de la dette financière nette</t>
        </is>
      </c>
      <c r="C133" s="27" t="n">
        <v>7.1</v>
      </c>
      <c r="D133" s="26" t="inlineStr">
        <is>
          <t>années</t>
        </is>
      </c>
      <c r="E133" s="26" t="inlineStr">
        <is>
          <t>31/12/2024</t>
        </is>
      </c>
      <c r="F133" s="28" t="inlineStr">
        <is>
          <t>7.1</t>
        </is>
      </c>
      <c r="G133" s="26" t="inlineStr">
        <is>
          <t>01_Financial/finance_veolia_urd_2025_en.pdf</t>
        </is>
      </c>
      <c r="H133" s="29" t="n">
        <v>351</v>
      </c>
      <c r="I133" s="26" t="inlineStr">
        <is>
          <t>2 Contrainte</t>
        </is>
      </c>
      <c r="J133" s="28" t="inlineStr">
        <is>
          <t>https://www.veolia.com/sites/g/files/dvc4206/files/document/2026/03/Finance_Veolia_URD_2025_en.pdf</t>
        </is>
      </c>
      <c r="K133" s="28" t="inlineStr">
        <is>
          <t>2026-09-22</t>
        </is>
      </c>
      <c r="L133" s="30" t="inlineStr">
        <is>
          <t>à relire</t>
        </is>
      </c>
    </row>
    <row r="134">
      <c r="A134" s="20" t="inlineStr">
        <is>
          <t>F146</t>
        </is>
      </c>
      <c r="B134" s="5" t="inlineStr">
        <is>
          <t>Part de la dette financière nette à taux fixe après couverture</t>
        </is>
      </c>
      <c r="C134" s="21" t="n">
        <v>85</v>
      </c>
      <c r="D134" s="5" t="inlineStr">
        <is>
          <t>%</t>
        </is>
      </c>
      <c r="E134" s="5" t="inlineStr">
        <is>
          <t>31/12/2025</t>
        </is>
      </c>
      <c r="F134" s="22" t="inlineStr">
        <is>
          <t>85</t>
        </is>
      </c>
      <c r="G134" s="5" t="inlineStr">
        <is>
          <t>01_Financial/finance_veolia_urd_2025_en.pdf</t>
        </is>
      </c>
      <c r="H134" s="23" t="n">
        <v>351</v>
      </c>
      <c r="I134" s="5" t="inlineStr">
        <is>
          <t>2 Contrainte</t>
        </is>
      </c>
      <c r="J134" s="22" t="inlineStr">
        <is>
          <t>https://www.veolia.com/sites/g/files/dvc4206/files/document/2026/03/Finance_Veolia_URD_2025_en.pdf</t>
        </is>
      </c>
      <c r="K134" s="22" t="inlineStr">
        <is>
          <t>2026-09-22</t>
        </is>
      </c>
      <c r="L134" s="24" t="inlineStr">
        <is>
          <t>à relire</t>
        </is>
      </c>
    </row>
    <row r="135">
      <c r="A135" s="25" t="inlineStr">
        <is>
          <t>F147</t>
        </is>
      </c>
      <c r="B135" s="26" t="inlineStr">
        <is>
          <t>Moody's : FFO / dette nette ajustée</t>
        </is>
      </c>
      <c r="C135" s="27" t="n">
        <v>20.3</v>
      </c>
      <c r="D135" s="26" t="inlineStr">
        <is>
          <t>%</t>
        </is>
      </c>
      <c r="E135" s="26" t="inlineStr">
        <is>
          <t>FY2025</t>
        </is>
      </c>
      <c r="F135" s="28" t="inlineStr">
        <is>
          <t>20.3</t>
        </is>
      </c>
      <c r="G135" s="26" t="inlineStr">
        <is>
          <t>01_Financial/credit_opinion-veolia-environnement-sa-04may2026.pdf</t>
        </is>
      </c>
      <c r="H135" s="29" t="n">
        <v>7</v>
      </c>
      <c r="I135" s="26" t="inlineStr">
        <is>
          <t>2 Contrainte</t>
        </is>
      </c>
      <c r="J135" s="28" t="inlineStr">
        <is>
          <t>https://www.veolia.com/sites/g/files/dvc4206/files/document/2026/05/Credit_Opinion-Veolia-Environnement-SA-04May2026.pdf</t>
        </is>
      </c>
      <c r="K135" s="28" t="inlineStr">
        <is>
          <t>2026-10-02</t>
        </is>
      </c>
      <c r="L135" s="30" t="inlineStr">
        <is>
          <t>à relire</t>
        </is>
      </c>
    </row>
    <row r="136">
      <c r="A136" s="20" t="inlineStr">
        <is>
          <t>F148</t>
        </is>
      </c>
      <c r="B136" s="5" t="inlineStr">
        <is>
          <t>Moody's : FFO / dette nette ajustée attendu, bas de fourchette</t>
        </is>
      </c>
      <c r="C136" s="21" t="n">
        <v>18</v>
      </c>
      <c r="D136" s="5" t="inlineStr">
        <is>
          <t>%</t>
        </is>
      </c>
      <c r="E136" s="5" t="inlineStr">
        <is>
          <t>2026F</t>
        </is>
      </c>
      <c r="F136" s="22" t="inlineStr">
        <is>
          <t>18</t>
        </is>
      </c>
      <c r="G136" s="5" t="inlineStr">
        <is>
          <t>01_Financial/credit_opinion-veolia-environnement-sa-04may2026.pdf</t>
        </is>
      </c>
      <c r="H136" s="23" t="n">
        <v>7</v>
      </c>
      <c r="I136" s="5" t="inlineStr">
        <is>
          <t>2 Contrainte</t>
        </is>
      </c>
      <c r="J136" s="22" t="inlineStr">
        <is>
          <t>https://www.veolia.com/sites/g/files/dvc4206/files/document/2026/05/Credit_Opinion-Veolia-Environnement-SA-04May2026.pdf</t>
        </is>
      </c>
      <c r="K136" s="22" t="inlineStr">
        <is>
          <t>2026-10-02</t>
        </is>
      </c>
      <c r="L136" s="24" t="inlineStr">
        <is>
          <t>à relire</t>
        </is>
      </c>
    </row>
    <row r="137">
      <c r="A137" s="25" t="inlineStr">
        <is>
          <t>F149</t>
        </is>
      </c>
      <c r="B137" s="26" t="inlineStr">
        <is>
          <t>Moody's : FFO / dette nette ajustée attendu, haut de fourchette</t>
        </is>
      </c>
      <c r="C137" s="31" t="n">
        <v>19</v>
      </c>
      <c r="D137" s="26" t="inlineStr">
        <is>
          <t>%</t>
        </is>
      </c>
      <c r="E137" s="26" t="inlineStr">
        <is>
          <t>2026F</t>
        </is>
      </c>
      <c r="F137" s="28" t="inlineStr">
        <is>
          <t>19</t>
        </is>
      </c>
      <c r="G137" s="26" t="inlineStr">
        <is>
          <t>01_Financial/credit_opinion-veolia-environnement-sa-04may2026.pdf</t>
        </is>
      </c>
      <c r="H137" s="29" t="n">
        <v>7</v>
      </c>
      <c r="I137" s="26" t="inlineStr">
        <is>
          <t>2 Contrainte</t>
        </is>
      </c>
      <c r="J137" s="28" t="inlineStr">
        <is>
          <t>https://www.veolia.com/sites/g/files/dvc4206/files/document/2026/05/Credit_Opinion-Veolia-Environnement-SA-04May2026.pdf</t>
        </is>
      </c>
      <c r="K137" s="28" t="inlineStr">
        <is>
          <t>2026-10-02</t>
        </is>
      </c>
      <c r="L137" s="30" t="inlineStr">
        <is>
          <t>à relire</t>
        </is>
      </c>
    </row>
    <row r="138">
      <c r="A138" s="20" t="inlineStr">
        <is>
          <t>F150</t>
        </is>
      </c>
      <c r="B138" s="5" t="inlineStr">
        <is>
          <t>Moody's : dette nette ajustée</t>
        </is>
      </c>
      <c r="C138" s="32" t="n">
        <v>25.4</v>
      </c>
      <c r="D138" s="5" t="inlineStr">
        <is>
          <t>Md EUR</t>
        </is>
      </c>
      <c r="E138" s="5" t="inlineStr">
        <is>
          <t>FY2025</t>
        </is>
      </c>
      <c r="F138" s="22" t="inlineStr">
        <is>
          <t>25.4</t>
        </is>
      </c>
      <c r="G138" s="5" t="inlineStr">
        <is>
          <t>01_Financial/credit_opinion-veolia-environnement-sa-04may2026.pdf</t>
        </is>
      </c>
      <c r="H138" s="23" t="n">
        <v>7</v>
      </c>
      <c r="I138" s="5" t="inlineStr">
        <is>
          <t>2 Contrainte</t>
        </is>
      </c>
      <c r="J138" s="22" t="inlineStr">
        <is>
          <t>https://www.veolia.com/sites/g/files/dvc4206/files/document/2026/05/Credit_Opinion-Veolia-Environnement-SA-04May2026.pdf</t>
        </is>
      </c>
      <c r="K138" s="22" t="inlineStr">
        <is>
          <t>2026-10-02</t>
        </is>
      </c>
      <c r="L138" s="24" t="inlineStr">
        <is>
          <t>à relire</t>
        </is>
      </c>
    </row>
    <row r="139">
      <c r="A139" s="25" t="inlineStr">
        <is>
          <t>F151</t>
        </is>
      </c>
      <c r="B139" s="26" t="inlineStr">
        <is>
          <t>Moody's : dette nette ajustée, pic attendu, environ</t>
        </is>
      </c>
      <c r="C139" s="31" t="n">
        <v>29</v>
      </c>
      <c r="D139" s="26" t="inlineStr">
        <is>
          <t>Md EUR</t>
        </is>
      </c>
      <c r="E139" s="26" t="inlineStr">
        <is>
          <t>2026F</t>
        </is>
      </c>
      <c r="F139" s="28" t="inlineStr">
        <is>
          <t>29</t>
        </is>
      </c>
      <c r="G139" s="26" t="inlineStr">
        <is>
          <t>01_Financial/credit_opinion-veolia-environnement-sa-04may2026.pdf</t>
        </is>
      </c>
      <c r="H139" s="29" t="n">
        <v>7</v>
      </c>
      <c r="I139" s="26" t="inlineStr">
        <is>
          <t>2 Contrainte</t>
        </is>
      </c>
      <c r="J139" s="28" t="inlineStr">
        <is>
          <t>https://www.veolia.com/sites/g/files/dvc4206/files/document/2026/05/Credit_Opinion-Veolia-Environnement-SA-04May2026.pdf</t>
        </is>
      </c>
      <c r="K139" s="28" t="inlineStr">
        <is>
          <t>2026-10-02</t>
        </is>
      </c>
      <c r="L139" s="30" t="inlineStr">
        <is>
          <t>à relire</t>
        </is>
      </c>
    </row>
    <row r="140">
      <c r="A140" s="20" t="inlineStr">
        <is>
          <t>F152</t>
        </is>
      </c>
      <c r="B140" s="5" t="inlineStr">
        <is>
          <t>Moody's : seuil de dégradation, FFO / dette nette sous (libellé publié)</t>
        </is>
      </c>
      <c r="C140" s="33" t="inlineStr">
        <is>
          <t>high teens</t>
        </is>
      </c>
      <c r="D140" s="5" t="inlineStr">
        <is>
          <t>%</t>
        </is>
      </c>
      <c r="E140" s="5" t="inlineStr">
        <is>
          <t>2026-2027</t>
        </is>
      </c>
      <c r="F140" s="22" t="inlineStr">
        <is>
          <t>high teens</t>
        </is>
      </c>
      <c r="G140" s="5" t="inlineStr">
        <is>
          <t>01_Financial/credit_opinion-veolia-environnement-sa-04may2026.pdf</t>
        </is>
      </c>
      <c r="H140" s="23" t="n">
        <v>2</v>
      </c>
      <c r="I140" s="5" t="inlineStr">
        <is>
          <t>2 Contrainte</t>
        </is>
      </c>
      <c r="J140" s="22" t="inlineStr">
        <is>
          <t>https://www.veolia.com/sites/g/files/dvc4206/files/document/2026/05/Credit_Opinion-Veolia-Environnement-SA-04May2026.pdf</t>
        </is>
      </c>
      <c r="K140" s="22" t="inlineStr">
        <is>
          <t>2026-10-02</t>
        </is>
      </c>
      <c r="L140" s="24" t="inlineStr">
        <is>
          <t>à relire</t>
        </is>
      </c>
    </row>
    <row r="141">
      <c r="A141" s="25" t="inlineStr">
        <is>
          <t>F153</t>
        </is>
      </c>
      <c r="B141" s="26" t="inlineStr">
        <is>
          <t>Moody's : condition de relèvement, FFO / dette nette dans (libellé publié)</t>
        </is>
      </c>
      <c r="C141" s="34" t="inlineStr">
        <is>
          <t>low-to-mid 20s</t>
        </is>
      </c>
      <c r="D141" s="26" t="inlineStr">
        <is>
          <t>%</t>
        </is>
      </c>
      <c r="E141" s="26" t="inlineStr">
        <is>
          <t>2026-2027</t>
        </is>
      </c>
      <c r="F141" s="28" t="inlineStr">
        <is>
          <t>low-to-mid 20s</t>
        </is>
      </c>
      <c r="G141" s="26" t="inlineStr">
        <is>
          <t>01_Financial/credit_opinion-veolia-environnement-sa-04may2026.pdf</t>
        </is>
      </c>
      <c r="H141" s="29" t="n">
        <v>2</v>
      </c>
      <c r="I141" s="26" t="inlineStr">
        <is>
          <t>2 Contrainte</t>
        </is>
      </c>
      <c r="J141" s="28" t="inlineStr">
        <is>
          <t>https://www.veolia.com/sites/g/files/dvc4206/files/document/2026/05/Credit_Opinion-Veolia-Environnement-SA-04May2026.pdf</t>
        </is>
      </c>
      <c r="K141" s="28" t="inlineStr">
        <is>
          <t>2026-10-02</t>
        </is>
      </c>
      <c r="L141" s="30" t="inlineStr">
        <is>
          <t>à relire</t>
        </is>
      </c>
    </row>
    <row r="142">
      <c r="A142" s="20" t="inlineStr">
        <is>
          <t>F154</t>
        </is>
      </c>
      <c r="B142" s="5" t="inlineStr">
        <is>
          <t>Moody's : FFO / dette nette ajustée</t>
        </is>
      </c>
      <c r="C142" s="32" t="n">
        <v>19.6</v>
      </c>
      <c r="D142" s="5" t="inlineStr">
        <is>
          <t>%</t>
        </is>
      </c>
      <c r="E142" s="5" t="inlineStr">
        <is>
          <t>FY2023</t>
        </is>
      </c>
      <c r="F142" s="22" t="inlineStr">
        <is>
          <t>19.6</t>
        </is>
      </c>
      <c r="G142" s="5" t="inlineStr">
        <is>
          <t>01_Financial/credit_opinion-veolia-environnement-sa-04may2026.pdf</t>
        </is>
      </c>
      <c r="H142" s="23" t="n">
        <v>11</v>
      </c>
      <c r="I142" s="5" t="inlineStr">
        <is>
          <t>2 Contrainte</t>
        </is>
      </c>
      <c r="J142" s="22" t="inlineStr">
        <is>
          <t>https://www.veolia.com/sites/g/files/dvc4206/files/document/2026/05/Credit_Opinion-Veolia-Environnement-SA-04May2026.pdf</t>
        </is>
      </c>
      <c r="K142" s="22" t="inlineStr">
        <is>
          <t>2026-10-02</t>
        </is>
      </c>
      <c r="L142" s="24" t="inlineStr">
        <is>
          <t>à relire</t>
        </is>
      </c>
    </row>
    <row r="143">
      <c r="A143" s="25" t="inlineStr">
        <is>
          <t>F155</t>
        </is>
      </c>
      <c r="B143" s="26" t="inlineStr">
        <is>
          <t>Moody's : FFO / dette nette ajustée</t>
        </is>
      </c>
      <c r="C143" s="27" t="n">
        <v>21.3</v>
      </c>
      <c r="D143" s="26" t="inlineStr">
        <is>
          <t>%</t>
        </is>
      </c>
      <c r="E143" s="26" t="inlineStr">
        <is>
          <t>FY2024</t>
        </is>
      </c>
      <c r="F143" s="28" t="inlineStr">
        <is>
          <t>21.3</t>
        </is>
      </c>
      <c r="G143" s="26" t="inlineStr">
        <is>
          <t>01_Financial/credit_opinion-veolia-environnement-sa-04may2026.pdf</t>
        </is>
      </c>
      <c r="H143" s="29" t="n">
        <v>11</v>
      </c>
      <c r="I143" s="26" t="inlineStr">
        <is>
          <t>2 Contrainte</t>
        </is>
      </c>
      <c r="J143" s="28" t="inlineStr">
        <is>
          <t>https://www.veolia.com/sites/g/files/dvc4206/files/document/2026/05/Credit_Opinion-Veolia-Environnement-SA-04May2026.pdf</t>
        </is>
      </c>
      <c r="K143" s="28" t="inlineStr">
        <is>
          <t>2026-10-02</t>
        </is>
      </c>
      <c r="L143" s="30" t="inlineStr">
        <is>
          <t>à relire</t>
        </is>
      </c>
    </row>
    <row r="144">
      <c r="A144" s="20" t="inlineStr">
        <is>
          <t>F156</t>
        </is>
      </c>
      <c r="B144" s="5" t="inlineStr">
        <is>
          <t>Moody's : RCF / dette nette ajustée</t>
        </is>
      </c>
      <c r="C144" s="21" t="n">
        <v>15</v>
      </c>
      <c r="D144" s="5" t="inlineStr">
        <is>
          <t>%</t>
        </is>
      </c>
      <c r="E144" s="5" t="inlineStr">
        <is>
          <t>FY2025</t>
        </is>
      </c>
      <c r="F144" s="22" t="inlineStr">
        <is>
          <t>15.0</t>
        </is>
      </c>
      <c r="G144" s="5" t="inlineStr">
        <is>
          <t>01_Financial/credit_opinion-veolia-environnement-sa-04may2026.pdf</t>
        </is>
      </c>
      <c r="H144" s="23" t="n">
        <v>10</v>
      </c>
      <c r="I144" s="5" t="inlineStr">
        <is>
          <t>2 Contrainte</t>
        </is>
      </c>
      <c r="J144" s="22" t="inlineStr">
        <is>
          <t>https://www.veolia.com/sites/g/files/dvc4206/files/document/2026/05/Credit_Opinion-Veolia-Environnement-SA-04May2026.pdf</t>
        </is>
      </c>
      <c r="K144" s="22" t="inlineStr">
        <is>
          <t>2026-10-02</t>
        </is>
      </c>
      <c r="L144" s="24" t="inlineStr">
        <is>
          <t>à relire</t>
        </is>
      </c>
    </row>
    <row r="145">
      <c r="A145" s="25" t="inlineStr">
        <is>
          <t>F157</t>
        </is>
      </c>
      <c r="B145" s="26" t="inlineStr">
        <is>
          <t>Moody's : dette / EBITDA ajustés (grille de notation)</t>
        </is>
      </c>
      <c r="C145" s="27" t="n">
        <v>5.1</v>
      </c>
      <c r="D145" s="26" t="inlineStr">
        <is>
          <t>x</t>
        </is>
      </c>
      <c r="E145" s="26" t="inlineStr">
        <is>
          <t>FY2025</t>
        </is>
      </c>
      <c r="F145" s="28" t="inlineStr">
        <is>
          <t>5.1</t>
        </is>
      </c>
      <c r="G145" s="26" t="inlineStr">
        <is>
          <t>01_Financial/credit_opinion-veolia-environnement-sa-04may2026.pdf</t>
        </is>
      </c>
      <c r="H145" s="29" t="n">
        <v>10</v>
      </c>
      <c r="I145" s="26" t="inlineStr">
        <is>
          <t>2 Contrainte</t>
        </is>
      </c>
      <c r="J145" s="28" t="inlineStr">
        <is>
          <t>https://www.veolia.com/sites/g/files/dvc4206/files/document/2026/05/Credit_Opinion-Veolia-Environnement-SA-04May2026.pdf</t>
        </is>
      </c>
      <c r="K145" s="28" t="inlineStr">
        <is>
          <t>2026-10-02</t>
        </is>
      </c>
      <c r="L145" s="30" t="inlineStr">
        <is>
          <t>à relire</t>
        </is>
      </c>
    </row>
    <row r="146">
      <c r="A146" s="20" t="inlineStr">
        <is>
          <t>F158</t>
        </is>
      </c>
      <c r="B146" s="5" t="inlineStr">
        <is>
          <t>Moody's : levier net selon la définition de Veolia</t>
        </is>
      </c>
      <c r="C146" s="32" t="n">
        <v>2.8</v>
      </c>
      <c r="D146" s="5" t="inlineStr">
        <is>
          <t>x</t>
        </is>
      </c>
      <c r="E146" s="5" t="inlineStr">
        <is>
          <t>FY2025</t>
        </is>
      </c>
      <c r="F146" s="22" t="inlineStr">
        <is>
          <t>2.8</t>
        </is>
      </c>
      <c r="G146" s="5" t="inlineStr">
        <is>
          <t>01_Financial/credit_opinion-veolia-environnement-sa-04may2026.pdf</t>
        </is>
      </c>
      <c r="H146" s="23" t="n">
        <v>6</v>
      </c>
      <c r="I146" s="5" t="inlineStr">
        <is>
          <t>2 Contrainte</t>
        </is>
      </c>
      <c r="J146" s="22" t="inlineStr">
        <is>
          <t>https://www.veolia.com/sites/g/files/dvc4206/files/document/2026/05/Credit_Opinion-Veolia-Environnement-SA-04May2026.pdf</t>
        </is>
      </c>
      <c r="K146" s="22" t="inlineStr">
        <is>
          <t>2026-10-02</t>
        </is>
      </c>
      <c r="L146" s="24" t="inlineStr">
        <is>
          <t>à relire</t>
        </is>
      </c>
    </row>
    <row r="147">
      <c r="A147" s="25" t="inlineStr">
        <is>
          <t>F159</t>
        </is>
      </c>
      <c r="B147" s="26" t="inlineStr">
        <is>
          <t>Moody's : cessions envisagées d'actifs non stratégiques ou matures, environ</t>
        </is>
      </c>
      <c r="C147" s="31" t="n">
        <v>2</v>
      </c>
      <c r="D147" s="26" t="inlineStr">
        <is>
          <t>Md EUR</t>
        </is>
      </c>
      <c r="E147" s="26" t="inlineStr">
        <is>
          <t>2026-2028</t>
        </is>
      </c>
      <c r="F147" s="28" t="inlineStr">
        <is>
          <t>2</t>
        </is>
      </c>
      <c r="G147" s="26" t="inlineStr">
        <is>
          <t>01_Financial/credit_opinion-veolia-environnement-sa-04may2026.pdf</t>
        </is>
      </c>
      <c r="H147" s="29" t="n">
        <v>6</v>
      </c>
      <c r="I147" s="26" t="inlineStr">
        <is>
          <t>3 Capacité</t>
        </is>
      </c>
      <c r="J147" s="28" t="inlineStr">
        <is>
          <t>https://www.veolia.com/sites/g/files/dvc4206/files/document/2026/05/Credit_Opinion-Veolia-Environnement-SA-04May2026.pdf</t>
        </is>
      </c>
      <c r="K147" s="28" t="inlineStr">
        <is>
          <t>2026-10-02</t>
        </is>
      </c>
      <c r="L147" s="30" t="inlineStr">
        <is>
          <t>à relire</t>
        </is>
      </c>
    </row>
    <row r="148">
      <c r="A148" s="20" t="inlineStr">
        <is>
          <t>F160</t>
        </is>
      </c>
      <c r="B148" s="5" t="inlineStr">
        <is>
          <t>Moody's : chiffre d'affaires du segment Déchets dangereux</t>
        </is>
      </c>
      <c r="C148" s="32" t="n">
        <v>4.2</v>
      </c>
      <c r="D148" s="5" t="inlineStr">
        <is>
          <t>Md EUR</t>
        </is>
      </c>
      <c r="E148" s="5" t="inlineStr">
        <is>
          <t>FY2025</t>
        </is>
      </c>
      <c r="F148" s="22" t="inlineStr">
        <is>
          <t>4.2</t>
        </is>
      </c>
      <c r="G148" s="5" t="inlineStr">
        <is>
          <t>01_Financial/credit_opinion-veolia-environnement-sa-04may2026.pdf</t>
        </is>
      </c>
      <c r="H148" s="23" t="n">
        <v>5</v>
      </c>
      <c r="I148" s="5" t="inlineStr">
        <is>
          <t>4 Écart</t>
        </is>
      </c>
      <c r="J148" s="22" t="inlineStr">
        <is>
          <t>https://www.veolia.com/sites/g/files/dvc4206/files/document/2026/05/Credit_Opinion-Veolia-Environnement-SA-04May2026.pdf</t>
        </is>
      </c>
      <c r="K148" s="22" t="inlineStr">
        <is>
          <t>2026-10-02</t>
        </is>
      </c>
      <c r="L148" s="24" t="inlineStr">
        <is>
          <t>à relire</t>
        </is>
      </c>
    </row>
    <row r="149">
      <c r="A149" s="25" t="inlineStr">
        <is>
          <t>F161</t>
        </is>
      </c>
      <c r="B149" s="26" t="inlineStr">
        <is>
          <t>Moody's : part des déchets dangereux dans le chiffre d'affaires</t>
        </is>
      </c>
      <c r="C149" s="27" t="n">
        <v>9.5</v>
      </c>
      <c r="D149" s="26" t="inlineStr">
        <is>
          <t>%</t>
        </is>
      </c>
      <c r="E149" s="26" t="inlineStr">
        <is>
          <t>FY2025</t>
        </is>
      </c>
      <c r="F149" s="28" t="inlineStr">
        <is>
          <t>9.5</t>
        </is>
      </c>
      <c r="G149" s="26" t="inlineStr">
        <is>
          <t>01_Financial/credit_opinion-veolia-environnement-sa-04may2026.pdf</t>
        </is>
      </c>
      <c r="H149" s="29" t="n">
        <v>5</v>
      </c>
      <c r="I149" s="26" t="inlineStr">
        <is>
          <t>4 Écart</t>
        </is>
      </c>
      <c r="J149" s="28" t="inlineStr">
        <is>
          <t>https://www.veolia.com/sites/g/files/dvc4206/files/document/2026/05/Credit_Opinion-Veolia-Environnement-SA-04May2026.pdf</t>
        </is>
      </c>
      <c r="K149" s="28" t="inlineStr">
        <is>
          <t>2026-10-02</t>
        </is>
      </c>
      <c r="L149" s="30" t="inlineStr">
        <is>
          <t>à relire</t>
        </is>
      </c>
    </row>
    <row r="150">
      <c r="A150" s="20" t="inlineStr">
        <is>
          <t>F162</t>
        </is>
      </c>
      <c r="B150" s="5" t="inlineStr">
        <is>
          <t>Moody's : chiffre d'affaires déchets dangereux pro forma avec Clean Earth</t>
        </is>
      </c>
      <c r="C150" s="32" t="n">
        <v>5.1</v>
      </c>
      <c r="D150" s="5" t="inlineStr">
        <is>
          <t>Md EUR</t>
        </is>
      </c>
      <c r="E150" s="5" t="inlineStr">
        <is>
          <t>2025</t>
        </is>
      </c>
      <c r="F150" s="22" t="inlineStr">
        <is>
          <t>5.1</t>
        </is>
      </c>
      <c r="G150" s="5" t="inlineStr">
        <is>
          <t>01_Financial/credit_opinion-veolia-environnement-sa-04may2026.pdf</t>
        </is>
      </c>
      <c r="H150" s="23" t="n">
        <v>5</v>
      </c>
      <c r="I150" s="5" t="inlineStr">
        <is>
          <t>4 Écart</t>
        </is>
      </c>
      <c r="J150" s="22" t="inlineStr">
        <is>
          <t>https://www.veolia.com/sites/g/files/dvc4206/files/document/2026/05/Credit_Opinion-Veolia-Environnement-SA-04May2026.pdf</t>
        </is>
      </c>
      <c r="K150" s="22" t="inlineStr">
        <is>
          <t>2026-10-02</t>
        </is>
      </c>
      <c r="L150" s="24" t="inlineStr">
        <is>
          <t>à relire</t>
        </is>
      </c>
    </row>
    <row r="151">
      <c r="A151" s="25" t="inlineStr">
        <is>
          <t>F163</t>
        </is>
      </c>
      <c r="B151" s="26" t="inlineStr">
        <is>
          <t>S&amp;P : seuil de dégradation, FFO / dette ajustés durablement sous</t>
        </is>
      </c>
      <c r="C151" s="31" t="n">
        <v>18</v>
      </c>
      <c r="D151" s="26" t="inlineStr">
        <is>
          <t>%</t>
        </is>
      </c>
      <c r="E151" s="26" t="inlineStr">
        <is>
          <t>2026-2028</t>
        </is>
      </c>
      <c r="F151" s="28" t="inlineStr">
        <is>
          <t>18</t>
        </is>
      </c>
      <c r="G151" s="26" t="inlineStr">
        <is>
          <t>01_Financial/ratingsdirect_tearsheet_veoliaenvironnements.a._3552186_apr-27-2026.pdf</t>
        </is>
      </c>
      <c r="H151" s="29" t="n">
        <v>3</v>
      </c>
      <c r="I151" s="26" t="inlineStr">
        <is>
          <t>2 Contrainte</t>
        </is>
      </c>
      <c r="J151" s="28" t="inlineStr">
        <is>
          <t>https://www.veolia.com/sites/g/files/dvc4206/files/document/2026/04/RatingsDirect_TearSheet_VeoliaEnvironnementS.A._3552186_Apr-27-2026.pdf</t>
        </is>
      </c>
      <c r="K151" s="28" t="inlineStr">
        <is>
          <t>2026-10-02</t>
        </is>
      </c>
      <c r="L151" s="30" t="inlineStr">
        <is>
          <t>à relire</t>
        </is>
      </c>
    </row>
    <row r="152">
      <c r="A152" s="20" t="inlineStr">
        <is>
          <t>F164</t>
        </is>
      </c>
      <c r="B152" s="5" t="inlineStr">
        <is>
          <t>S&amp;P : FFO / dette ajustés attendu, bas de fourchette</t>
        </is>
      </c>
      <c r="C152" s="21" t="n">
        <v>20</v>
      </c>
      <c r="D152" s="5" t="inlineStr">
        <is>
          <t>%</t>
        </is>
      </c>
      <c r="E152" s="5" t="inlineStr">
        <is>
          <t>2026-2028</t>
        </is>
      </c>
      <c r="F152" s="22" t="inlineStr">
        <is>
          <t>20</t>
        </is>
      </c>
      <c r="G152" s="5" t="inlineStr">
        <is>
          <t>01_Financial/ratingsdirect_tearsheet_veoliaenvironnements.a._3552186_apr-27-2026.pdf</t>
        </is>
      </c>
      <c r="H152" s="23" t="n">
        <v>3</v>
      </c>
      <c r="I152" s="5" t="inlineStr">
        <is>
          <t>2 Contrainte</t>
        </is>
      </c>
      <c r="J152" s="22" t="inlineStr">
        <is>
          <t>https://www.veolia.com/sites/g/files/dvc4206/files/document/2026/04/RatingsDirect_TearSheet_VeoliaEnvironnementS.A._3552186_Apr-27-2026.pdf</t>
        </is>
      </c>
      <c r="K152" s="22" t="inlineStr">
        <is>
          <t>2026-10-02</t>
        </is>
      </c>
      <c r="L152" s="24" t="inlineStr">
        <is>
          <t>à relire</t>
        </is>
      </c>
    </row>
    <row r="153">
      <c r="A153" s="25" t="inlineStr">
        <is>
          <t>F165</t>
        </is>
      </c>
      <c r="B153" s="26" t="inlineStr">
        <is>
          <t>S&amp;P : FFO / dette ajustés attendu, haut de fourchette</t>
        </is>
      </c>
      <c r="C153" s="31" t="n">
        <v>22</v>
      </c>
      <c r="D153" s="26" t="inlineStr">
        <is>
          <t>%</t>
        </is>
      </c>
      <c r="E153" s="26" t="inlineStr">
        <is>
          <t>2026-2028</t>
        </is>
      </c>
      <c r="F153" s="28" t="inlineStr">
        <is>
          <t>22</t>
        </is>
      </c>
      <c r="G153" s="26" t="inlineStr">
        <is>
          <t>01_Financial/ratingsdirect_tearsheet_veoliaenvironnements.a._3552186_apr-27-2026.pdf</t>
        </is>
      </c>
      <c r="H153" s="29" t="n">
        <v>3</v>
      </c>
      <c r="I153" s="26" t="inlineStr">
        <is>
          <t>2 Contrainte</t>
        </is>
      </c>
      <c r="J153" s="28" t="inlineStr">
        <is>
          <t>https://www.veolia.com/sites/g/files/dvc4206/files/document/2026/04/RatingsDirect_TearSheet_VeoliaEnvironnementS.A._3552186_Apr-27-2026.pdf</t>
        </is>
      </c>
      <c r="K153" s="28" t="inlineStr">
        <is>
          <t>2026-10-02</t>
        </is>
      </c>
      <c r="L153" s="30" t="inlineStr">
        <is>
          <t>à relire</t>
        </is>
      </c>
    </row>
    <row r="154">
      <c r="A154" s="20" t="inlineStr">
        <is>
          <t>F166</t>
        </is>
      </c>
      <c r="B154" s="5" t="inlineStr">
        <is>
          <t>S&amp;P : croissance annuelle attendue de l'EBITDA publié, bas de fourchette</t>
        </is>
      </c>
      <c r="C154" s="21" t="n">
        <v>4</v>
      </c>
      <c r="D154" s="5" t="inlineStr">
        <is>
          <t>%</t>
        </is>
      </c>
      <c r="E154" s="5" t="inlineStr">
        <is>
          <t>2026-2028</t>
        </is>
      </c>
      <c r="F154" s="22" t="inlineStr">
        <is>
          <t>4</t>
        </is>
      </c>
      <c r="G154" s="5" t="inlineStr">
        <is>
          <t>01_Financial/ratingsdirect_tearsheet_veoliaenvironnements.a._3552186_apr-27-2026.pdf</t>
        </is>
      </c>
      <c r="H154" s="23" t="n">
        <v>3</v>
      </c>
      <c r="I154" s="5" t="inlineStr">
        <is>
          <t>3 Capacité</t>
        </is>
      </c>
      <c r="J154" s="22" t="inlineStr">
        <is>
          <t>https://www.veolia.com/sites/g/files/dvc4206/files/document/2026/04/RatingsDirect_TearSheet_VeoliaEnvironnementS.A._3552186_Apr-27-2026.pdf</t>
        </is>
      </c>
      <c r="K154" s="22" t="inlineStr">
        <is>
          <t>2026-10-02</t>
        </is>
      </c>
      <c r="L154" s="24" t="inlineStr">
        <is>
          <t>à relire</t>
        </is>
      </c>
    </row>
    <row r="155">
      <c r="A155" s="25" t="inlineStr">
        <is>
          <t>F167</t>
        </is>
      </c>
      <c r="B155" s="26" t="inlineStr">
        <is>
          <t>S&amp;P : croissance annuelle attendue de l'EBITDA publié, haut de fourchette</t>
        </is>
      </c>
      <c r="C155" s="31" t="n">
        <v>5</v>
      </c>
      <c r="D155" s="26" t="inlineStr">
        <is>
          <t>%</t>
        </is>
      </c>
      <c r="E155" s="26" t="inlineStr">
        <is>
          <t>2026-2028</t>
        </is>
      </c>
      <c r="F155" s="28" t="inlineStr">
        <is>
          <t>5</t>
        </is>
      </c>
      <c r="G155" s="26" t="inlineStr">
        <is>
          <t>01_Financial/ratingsdirect_tearsheet_veoliaenvironnements.a._3552186_apr-27-2026.pdf</t>
        </is>
      </c>
      <c r="H155" s="29" t="n">
        <v>3</v>
      </c>
      <c r="I155" s="26" t="inlineStr">
        <is>
          <t>3 Capacité</t>
        </is>
      </c>
      <c r="J155" s="28" t="inlineStr">
        <is>
          <t>https://www.veolia.com/sites/g/files/dvc4206/files/document/2026/04/RatingsDirect_TearSheet_VeoliaEnvironnementS.A._3552186_Apr-27-2026.pdf</t>
        </is>
      </c>
      <c r="K155" s="28" t="inlineStr">
        <is>
          <t>2026-10-02</t>
        </is>
      </c>
      <c r="L155" s="30" t="inlineStr">
        <is>
          <t>à relire</t>
        </is>
      </c>
    </row>
    <row r="156">
      <c r="A156" s="20" t="inlineStr">
        <is>
          <t>F168</t>
        </is>
      </c>
      <c r="B156" s="5" t="inlineStr">
        <is>
          <t>Chiffre d'affaires Water Technologies</t>
        </is>
      </c>
      <c r="C156" s="21" t="n">
        <v>4954</v>
      </c>
      <c r="D156" s="5" t="inlineStr">
        <is>
          <t>M EUR</t>
        </is>
      </c>
      <c r="E156" s="5" t="inlineStr">
        <is>
          <t>FY2025</t>
        </is>
      </c>
      <c r="F156" s="22" t="inlineStr">
        <is>
          <t>4,954</t>
        </is>
      </c>
      <c r="G156" s="5" t="inlineStr">
        <is>
          <t>01_Financial/finance_veolia_2025_full_year_results_presentation_0.pdf</t>
        </is>
      </c>
      <c r="H156" s="23" t="n">
        <v>23</v>
      </c>
      <c r="I156" s="5" t="inlineStr">
        <is>
          <t>4 Écart</t>
        </is>
      </c>
      <c r="J156" s="22" t="inlineStr">
        <is>
          <t>https://www.veolia.com/sites/g/files/dvc4206/files/document/2026/03/Finance_Veolia_2025_full_year_results_presentation_0.pdf</t>
        </is>
      </c>
      <c r="K156" s="22" t="inlineStr">
        <is>
          <t>2026-09-22</t>
        </is>
      </c>
      <c r="L156" s="24" t="inlineStr">
        <is>
          <t>à relire</t>
        </is>
      </c>
    </row>
    <row r="157">
      <c r="A157" s="25" t="inlineStr">
        <is>
          <t>F169</t>
        </is>
      </c>
      <c r="B157" s="26" t="inlineStr">
        <is>
          <t>Croissance organique du chiffre d'affaires Water Technologies</t>
        </is>
      </c>
      <c r="C157" s="27" t="n">
        <v>3.6</v>
      </c>
      <c r="D157" s="26" t="inlineStr">
        <is>
          <t>%</t>
        </is>
      </c>
      <c r="E157" s="26" t="inlineStr">
        <is>
          <t>FY2025</t>
        </is>
      </c>
      <c r="F157" s="28" t="inlineStr">
        <is>
          <t>+3.6</t>
        </is>
      </c>
      <c r="G157" s="26" t="inlineStr">
        <is>
          <t>01_Financial/finance_veolia_2025_full_year_results_presentation_0.pdf</t>
        </is>
      </c>
      <c r="H157" s="29" t="n">
        <v>23</v>
      </c>
      <c r="I157" s="26" t="inlineStr">
        <is>
          <t>4 Écart</t>
        </is>
      </c>
      <c r="J157" s="28" t="inlineStr">
        <is>
          <t>https://www.veolia.com/sites/g/files/dvc4206/files/document/2026/03/Finance_Veolia_2025_full_year_results_presentation_0.pdf</t>
        </is>
      </c>
      <c r="K157" s="28" t="inlineStr">
        <is>
          <t>2026-09-22</t>
        </is>
      </c>
      <c r="L157" s="30" t="inlineStr">
        <is>
          <t>à relire</t>
        </is>
      </c>
    </row>
    <row r="158">
      <c r="A158" s="20" t="inlineStr">
        <is>
          <t>F170</t>
        </is>
      </c>
      <c r="B158" s="5" t="inlineStr">
        <is>
          <t>EBITDA Water Technologies</t>
        </is>
      </c>
      <c r="C158" s="21" t="n">
        <v>669</v>
      </c>
      <c r="D158" s="5" t="inlineStr">
        <is>
          <t>M EUR</t>
        </is>
      </c>
      <c r="E158" s="5" t="inlineStr">
        <is>
          <t>FY2025</t>
        </is>
      </c>
      <c r="F158" s="22" t="inlineStr">
        <is>
          <t>669</t>
        </is>
      </c>
      <c r="G158" s="5" t="inlineStr">
        <is>
          <t>01_Financial/finance_veolia_2025_full_year_results_presentation_0.pdf</t>
        </is>
      </c>
      <c r="H158" s="23" t="n">
        <v>23</v>
      </c>
      <c r="I158" s="5" t="inlineStr">
        <is>
          <t>4 Écart</t>
        </is>
      </c>
      <c r="J158" s="22" t="inlineStr">
        <is>
          <t>https://www.veolia.com/sites/g/files/dvc4206/files/document/2026/03/Finance_Veolia_2025_full_year_results_presentation_0.pdf</t>
        </is>
      </c>
      <c r="K158" s="22" t="inlineStr">
        <is>
          <t>2026-09-22</t>
        </is>
      </c>
      <c r="L158" s="24" t="inlineStr">
        <is>
          <t>à relire</t>
        </is>
      </c>
    </row>
    <row r="159">
      <c r="A159" s="25" t="inlineStr">
        <is>
          <t>F171</t>
        </is>
      </c>
      <c r="B159" s="26" t="inlineStr">
        <is>
          <t>Croissance organique de l'EBITDA Water Technologies</t>
        </is>
      </c>
      <c r="C159" s="27" t="n">
        <v>14.1</v>
      </c>
      <c r="D159" s="26" t="inlineStr">
        <is>
          <t>%</t>
        </is>
      </c>
      <c r="E159" s="26" t="inlineStr">
        <is>
          <t>FY2025</t>
        </is>
      </c>
      <c r="F159" s="28" t="inlineStr">
        <is>
          <t>+14.1</t>
        </is>
      </c>
      <c r="G159" s="26" t="inlineStr">
        <is>
          <t>01_Financial/finance_veolia_2025_full_year_results_presentation_0.pdf</t>
        </is>
      </c>
      <c r="H159" s="29" t="n">
        <v>23</v>
      </c>
      <c r="I159" s="26" t="inlineStr">
        <is>
          <t>4 Écart</t>
        </is>
      </c>
      <c r="J159" s="28" t="inlineStr">
        <is>
          <t>https://www.veolia.com/sites/g/files/dvc4206/files/document/2026/03/Finance_Veolia_2025_full_year_results_presentation_0.pdf</t>
        </is>
      </c>
      <c r="K159" s="28" t="inlineStr">
        <is>
          <t>2026-09-22</t>
        </is>
      </c>
      <c r="L159" s="30" t="inlineStr">
        <is>
          <t>à relire</t>
        </is>
      </c>
    </row>
    <row r="160">
      <c r="A160" s="20" t="inlineStr">
        <is>
          <t>F172</t>
        </is>
      </c>
      <c r="B160" s="5" t="inlineStr">
        <is>
          <t>Chiffre d'affaires Amériques, Asie-Pacifique, Afrique Moyen-Orient</t>
        </is>
      </c>
      <c r="C160" s="21" t="n">
        <v>11316</v>
      </c>
      <c r="D160" s="5" t="inlineStr">
        <is>
          <t>M EUR</t>
        </is>
      </c>
      <c r="E160" s="5" t="inlineStr">
        <is>
          <t>FY2025</t>
        </is>
      </c>
      <c r="F160" s="22" t="inlineStr">
        <is>
          <t>11,316</t>
        </is>
      </c>
      <c r="G160" s="5" t="inlineStr">
        <is>
          <t>01_Financial/finance_veolia_2025_full_year_results_presentation_0.pdf</t>
        </is>
      </c>
      <c r="H160" s="23" t="n">
        <v>23</v>
      </c>
      <c r="I160" s="5" t="inlineStr">
        <is>
          <t>4 Écart</t>
        </is>
      </c>
      <c r="J160" s="22" t="inlineStr">
        <is>
          <t>https://www.veolia.com/sites/g/files/dvc4206/files/document/2026/03/Finance_Veolia_2025_full_year_results_presentation_0.pdf</t>
        </is>
      </c>
      <c r="K160" s="22" t="inlineStr">
        <is>
          <t>2026-09-22</t>
        </is>
      </c>
      <c r="L160" s="24" t="inlineStr">
        <is>
          <t>à relire</t>
        </is>
      </c>
    </row>
    <row r="161">
      <c r="A161" s="25" t="inlineStr">
        <is>
          <t>F173</t>
        </is>
      </c>
      <c r="B161" s="26" t="inlineStr">
        <is>
          <t>Croissance organique du chiffre d'affaires Amériques, Asie-Pacifique, Afrique Moyen-Orient</t>
        </is>
      </c>
      <c r="C161" s="27" t="n">
        <v>4.1</v>
      </c>
      <c r="D161" s="26" t="inlineStr">
        <is>
          <t>%</t>
        </is>
      </c>
      <c r="E161" s="26" t="inlineStr">
        <is>
          <t>FY2025</t>
        </is>
      </c>
      <c r="F161" s="28" t="inlineStr">
        <is>
          <t>+4.1</t>
        </is>
      </c>
      <c r="G161" s="26" t="inlineStr">
        <is>
          <t>01_Financial/finance_veolia_2025_full_year_results_presentation_0.pdf</t>
        </is>
      </c>
      <c r="H161" s="29" t="n">
        <v>23</v>
      </c>
      <c r="I161" s="26" t="inlineStr">
        <is>
          <t>4 Écart</t>
        </is>
      </c>
      <c r="J161" s="28" t="inlineStr">
        <is>
          <t>https://www.veolia.com/sites/g/files/dvc4206/files/document/2026/03/Finance_Veolia_2025_full_year_results_presentation_0.pdf</t>
        </is>
      </c>
      <c r="K161" s="28" t="inlineStr">
        <is>
          <t>2026-09-22</t>
        </is>
      </c>
      <c r="L161" s="30" t="inlineStr">
        <is>
          <t>à relire</t>
        </is>
      </c>
    </row>
    <row r="162">
      <c r="A162" s="20" t="inlineStr">
        <is>
          <t>F174</t>
        </is>
      </c>
      <c r="B162" s="5" t="inlineStr">
        <is>
          <t>EBITDA Amériques, Asie-Pacifique, Afrique Moyen-Orient</t>
        </is>
      </c>
      <c r="C162" s="21" t="n">
        <v>2009</v>
      </c>
      <c r="D162" s="5" t="inlineStr">
        <is>
          <t>M EUR</t>
        </is>
      </c>
      <c r="E162" s="5" t="inlineStr">
        <is>
          <t>FY2025</t>
        </is>
      </c>
      <c r="F162" s="22" t="inlineStr">
        <is>
          <t>2,009</t>
        </is>
      </c>
      <c r="G162" s="5" t="inlineStr">
        <is>
          <t>01_Financial/finance_veolia_2025_full_year_results_presentation_0.pdf</t>
        </is>
      </c>
      <c r="H162" s="23" t="n">
        <v>23</v>
      </c>
      <c r="I162" s="5" t="inlineStr">
        <is>
          <t>4 Écart</t>
        </is>
      </c>
      <c r="J162" s="22" t="inlineStr">
        <is>
          <t>https://www.veolia.com/sites/g/files/dvc4206/files/document/2026/03/Finance_Veolia_2025_full_year_results_presentation_0.pdf</t>
        </is>
      </c>
      <c r="K162" s="22" t="inlineStr">
        <is>
          <t>2026-09-22</t>
        </is>
      </c>
      <c r="L162" s="24" t="inlineStr">
        <is>
          <t>à relire</t>
        </is>
      </c>
    </row>
    <row r="163">
      <c r="A163" s="25" t="inlineStr">
        <is>
          <t>F175</t>
        </is>
      </c>
      <c r="B163" s="26" t="inlineStr">
        <is>
          <t>Croissance organique de l'EBITDA Amériques, Asie-Pacifique, Afrique Moyen-Orient</t>
        </is>
      </c>
      <c r="C163" s="27" t="n">
        <v>9.300000000000001</v>
      </c>
      <c r="D163" s="26" t="inlineStr">
        <is>
          <t>%</t>
        </is>
      </c>
      <c r="E163" s="26" t="inlineStr">
        <is>
          <t>FY2025</t>
        </is>
      </c>
      <c r="F163" s="28" t="inlineStr">
        <is>
          <t>+9.3</t>
        </is>
      </c>
      <c r="G163" s="26" t="inlineStr">
        <is>
          <t>01_Financial/finance_veolia_2025_full_year_results_presentation_0.pdf</t>
        </is>
      </c>
      <c r="H163" s="29" t="n">
        <v>23</v>
      </c>
      <c r="I163" s="26" t="inlineStr">
        <is>
          <t>4 Écart</t>
        </is>
      </c>
      <c r="J163" s="28" t="inlineStr">
        <is>
          <t>https://www.veolia.com/sites/g/files/dvc4206/files/document/2026/03/Finance_Veolia_2025_full_year_results_presentation_0.pdf</t>
        </is>
      </c>
      <c r="K163" s="28" t="inlineStr">
        <is>
          <t>2026-09-22</t>
        </is>
      </c>
      <c r="L163" s="30" t="inlineStr">
        <is>
          <t>à relire</t>
        </is>
      </c>
    </row>
    <row r="164">
      <c r="A164" s="20" t="inlineStr">
        <is>
          <t>F176</t>
        </is>
      </c>
      <c r="B164" s="5" t="inlineStr">
        <is>
          <t>Chiffre d'affaires Europe</t>
        </is>
      </c>
      <c r="C164" s="21" t="n">
        <v>19206</v>
      </c>
      <c r="D164" s="5" t="inlineStr">
        <is>
          <t>M EUR</t>
        </is>
      </c>
      <c r="E164" s="5" t="inlineStr">
        <is>
          <t>FY2025</t>
        </is>
      </c>
      <c r="F164" s="22" t="inlineStr">
        <is>
          <t>19,206</t>
        </is>
      </c>
      <c r="G164" s="5" t="inlineStr">
        <is>
          <t>01_Financial/finance_veolia_2025_full_year_results_presentation_0.pdf</t>
        </is>
      </c>
      <c r="H164" s="23" t="n">
        <v>23</v>
      </c>
      <c r="I164" s="5" t="inlineStr">
        <is>
          <t>4 Écart</t>
        </is>
      </c>
      <c r="J164" s="22" t="inlineStr">
        <is>
          <t>https://www.veolia.com/sites/g/files/dvc4206/files/document/2026/03/Finance_Veolia_2025_full_year_results_presentation_0.pdf</t>
        </is>
      </c>
      <c r="K164" s="22" t="inlineStr">
        <is>
          <t>2026-09-22</t>
        </is>
      </c>
      <c r="L164" s="24" t="inlineStr">
        <is>
          <t>à relire</t>
        </is>
      </c>
    </row>
    <row r="165">
      <c r="A165" s="25" t="inlineStr">
        <is>
          <t>F177</t>
        </is>
      </c>
      <c r="B165" s="26" t="inlineStr">
        <is>
          <t>EBITDA Europe</t>
        </is>
      </c>
      <c r="C165" s="31" t="n">
        <v>2758</v>
      </c>
      <c r="D165" s="26" t="inlineStr">
        <is>
          <t>M EUR</t>
        </is>
      </c>
      <c r="E165" s="26" t="inlineStr">
        <is>
          <t>FY2025</t>
        </is>
      </c>
      <c r="F165" s="28" t="inlineStr">
        <is>
          <t>2,758</t>
        </is>
      </c>
      <c r="G165" s="26" t="inlineStr">
        <is>
          <t>01_Financial/finance_veolia_2025_full_year_results_presentation_0.pdf</t>
        </is>
      </c>
      <c r="H165" s="29" t="n">
        <v>23</v>
      </c>
      <c r="I165" s="26" t="inlineStr">
        <is>
          <t>4 Écart</t>
        </is>
      </c>
      <c r="J165" s="28" t="inlineStr">
        <is>
          <t>https://www.veolia.com/sites/g/files/dvc4206/files/document/2026/03/Finance_Veolia_2025_full_year_results_presentation_0.pdf</t>
        </is>
      </c>
      <c r="K165" s="28" t="inlineStr">
        <is>
          <t>2026-09-22</t>
        </is>
      </c>
      <c r="L165" s="30" t="inlineStr">
        <is>
          <t>à relire</t>
        </is>
      </c>
    </row>
    <row r="166">
      <c r="A166" s="20" t="inlineStr">
        <is>
          <t>F178</t>
        </is>
      </c>
      <c r="B166" s="5" t="inlineStr">
        <is>
          <t>Croissance organique de l'EBITDA Europe</t>
        </is>
      </c>
      <c r="C166" s="32" t="n">
        <v>1.8</v>
      </c>
      <c r="D166" s="5" t="inlineStr">
        <is>
          <t>%</t>
        </is>
      </c>
      <c r="E166" s="5" t="inlineStr">
        <is>
          <t>FY2025</t>
        </is>
      </c>
      <c r="F166" s="22" t="inlineStr">
        <is>
          <t>+1.8</t>
        </is>
      </c>
      <c r="G166" s="5" t="inlineStr">
        <is>
          <t>01_Financial/finance_veolia_2025_full_year_results_presentation_0.pdf</t>
        </is>
      </c>
      <c r="H166" s="23" t="n">
        <v>23</v>
      </c>
      <c r="I166" s="5" t="inlineStr">
        <is>
          <t>4 Écart</t>
        </is>
      </c>
      <c r="J166" s="22" t="inlineStr">
        <is>
          <t>https://www.veolia.com/sites/g/files/dvc4206/files/document/2026/03/Finance_Veolia_2025_full_year_results_presentation_0.pdf</t>
        </is>
      </c>
      <c r="K166" s="22" t="inlineStr">
        <is>
          <t>2026-09-22</t>
        </is>
      </c>
      <c r="L166" s="24" t="inlineStr">
        <is>
          <t>à relire</t>
        </is>
      </c>
    </row>
    <row r="167">
      <c r="A167" s="25" t="inlineStr">
        <is>
          <t>F179</t>
        </is>
      </c>
      <c r="B167" s="26" t="inlineStr">
        <is>
          <t>Chiffre d'affaires France et Déchets dangereux Europe</t>
        </is>
      </c>
      <c r="C167" s="31" t="n">
        <v>8914</v>
      </c>
      <c r="D167" s="26" t="inlineStr">
        <is>
          <t>M EUR</t>
        </is>
      </c>
      <c r="E167" s="26" t="inlineStr">
        <is>
          <t>FY2025</t>
        </is>
      </c>
      <c r="F167" s="28" t="inlineStr">
        <is>
          <t>8,914</t>
        </is>
      </c>
      <c r="G167" s="26" t="inlineStr">
        <is>
          <t>01_Financial/finance_veolia_operating_and_financial_review_2025.pdf</t>
        </is>
      </c>
      <c r="H167" s="29" t="n">
        <v>12</v>
      </c>
      <c r="I167" s="26" t="inlineStr">
        <is>
          <t>4 Écart</t>
        </is>
      </c>
      <c r="J167" s="28" t="inlineStr">
        <is>
          <t>https://www.veolia.com/sites/g/files/dvc4206/files/document/2026/02/Finance_Veolia_Operating_and_financial_review_2025.pdf</t>
        </is>
      </c>
      <c r="K167" s="28" t="inlineStr">
        <is>
          <t>2026-09-22</t>
        </is>
      </c>
      <c r="L167" s="30" t="inlineStr">
        <is>
          <t>à relire</t>
        </is>
      </c>
    </row>
    <row r="168">
      <c r="A168" s="20" t="inlineStr">
        <is>
          <t>F180</t>
        </is>
      </c>
      <c r="B168" s="5" t="inlineStr">
        <is>
          <t>Chiffre d'affaires France et Déchets dangereux Europe</t>
        </is>
      </c>
      <c r="C168" s="21" t="n">
        <v>9145</v>
      </c>
      <c r="D168" s="5" t="inlineStr">
        <is>
          <t>M EUR</t>
        </is>
      </c>
      <c r="E168" s="5" t="inlineStr">
        <is>
          <t>FY2024</t>
        </is>
      </c>
      <c r="F168" s="22" t="inlineStr">
        <is>
          <t>9,145</t>
        </is>
      </c>
      <c r="G168" s="5" t="inlineStr">
        <is>
          <t>01_Financial/finance_veolia_operating_and_financial_review_2025.pdf</t>
        </is>
      </c>
      <c r="H168" s="23" t="n">
        <v>12</v>
      </c>
      <c r="I168" s="5" t="inlineStr">
        <is>
          <t>4 Écart</t>
        </is>
      </c>
      <c r="J168" s="22" t="inlineStr">
        <is>
          <t>https://www.veolia.com/sites/g/files/dvc4206/files/document/2026/02/Finance_Veolia_Operating_and_financial_review_2025.pdf</t>
        </is>
      </c>
      <c r="K168" s="22" t="inlineStr">
        <is>
          <t>2026-09-22</t>
        </is>
      </c>
      <c r="L168" s="24" t="inlineStr">
        <is>
          <t>à relire</t>
        </is>
      </c>
    </row>
    <row r="169">
      <c r="A169" s="25" t="inlineStr">
        <is>
          <t>F181</t>
        </is>
      </c>
      <c r="B169" s="26" t="inlineStr">
        <is>
          <t>Chiffre d'affaires Europe</t>
        </is>
      </c>
      <c r="C169" s="31" t="n">
        <v>18619</v>
      </c>
      <c r="D169" s="26" t="inlineStr">
        <is>
          <t>M EUR</t>
        </is>
      </c>
      <c r="E169" s="26" t="inlineStr">
        <is>
          <t>FY2024</t>
        </is>
      </c>
      <c r="F169" s="28" t="inlineStr">
        <is>
          <t>18,619</t>
        </is>
      </c>
      <c r="G169" s="26" t="inlineStr">
        <is>
          <t>01_Financial/finance_veolia_operating_and_financial_review_2025.pdf</t>
        </is>
      </c>
      <c r="H169" s="29" t="n">
        <v>12</v>
      </c>
      <c r="I169" s="26" t="inlineStr">
        <is>
          <t>4 Écart</t>
        </is>
      </c>
      <c r="J169" s="28" t="inlineStr">
        <is>
          <t>https://www.veolia.com/sites/g/files/dvc4206/files/document/2026/02/Finance_Veolia_Operating_and_financial_review_2025.pdf</t>
        </is>
      </c>
      <c r="K169" s="28" t="inlineStr">
        <is>
          <t>2026-09-22</t>
        </is>
      </c>
      <c r="L169" s="30" t="inlineStr">
        <is>
          <t>à relire</t>
        </is>
      </c>
    </row>
    <row r="170">
      <c r="A170" s="20" t="inlineStr">
        <is>
          <t>F182</t>
        </is>
      </c>
      <c r="B170" s="5" t="inlineStr">
        <is>
          <t>Chiffre d'affaires Amériques, Asie-Pacifique, Afrique Moyen-Orient</t>
        </is>
      </c>
      <c r="C170" s="21" t="n">
        <v>11945</v>
      </c>
      <c r="D170" s="5" t="inlineStr">
        <is>
          <t>M EUR</t>
        </is>
      </c>
      <c r="E170" s="5" t="inlineStr">
        <is>
          <t>FY2024</t>
        </is>
      </c>
      <c r="F170" s="22" t="inlineStr">
        <is>
          <t>11,945</t>
        </is>
      </c>
      <c r="G170" s="5" t="inlineStr">
        <is>
          <t>01_Financial/finance_veolia_operating_and_financial_review_2025.pdf</t>
        </is>
      </c>
      <c r="H170" s="23" t="n">
        <v>12</v>
      </c>
      <c r="I170" s="5" t="inlineStr">
        <is>
          <t>4 Écart</t>
        </is>
      </c>
      <c r="J170" s="22" t="inlineStr">
        <is>
          <t>https://www.veolia.com/sites/g/files/dvc4206/files/document/2026/02/Finance_Veolia_Operating_and_financial_review_2025.pdf</t>
        </is>
      </c>
      <c r="K170" s="22" t="inlineStr">
        <is>
          <t>2026-09-22</t>
        </is>
      </c>
      <c r="L170" s="24" t="inlineStr">
        <is>
          <t>à relire</t>
        </is>
      </c>
    </row>
    <row r="171">
      <c r="A171" s="25" t="inlineStr">
        <is>
          <t>F183</t>
        </is>
      </c>
      <c r="B171" s="26" t="inlineStr">
        <is>
          <t>EBITDA Europe</t>
        </is>
      </c>
      <c r="C171" s="31" t="n">
        <v>2642</v>
      </c>
      <c r="D171" s="26" t="inlineStr">
        <is>
          <t>M EUR</t>
        </is>
      </c>
      <c r="E171" s="26" t="inlineStr">
        <is>
          <t>FY2024</t>
        </is>
      </c>
      <c r="F171" s="28" t="inlineStr">
        <is>
          <t>2,642</t>
        </is>
      </c>
      <c r="G171" s="26" t="inlineStr">
        <is>
          <t>01_Financial/finance_veolia_operating_and_financial_review_2025.pdf</t>
        </is>
      </c>
      <c r="H171" s="29" t="n">
        <v>13</v>
      </c>
      <c r="I171" s="26" t="inlineStr">
        <is>
          <t>4 Écart</t>
        </is>
      </c>
      <c r="J171" s="28" t="inlineStr">
        <is>
          <t>https://www.veolia.com/sites/g/files/dvc4206/files/document/2026/02/Finance_Veolia_Operating_and_financial_review_2025.pdf</t>
        </is>
      </c>
      <c r="K171" s="28" t="inlineStr">
        <is>
          <t>2026-09-22</t>
        </is>
      </c>
      <c r="L171" s="30" t="inlineStr">
        <is>
          <t>à relire</t>
        </is>
      </c>
    </row>
    <row r="172">
      <c r="A172" s="20" t="inlineStr">
        <is>
          <t>F184</t>
        </is>
      </c>
      <c r="B172" s="5" t="inlineStr">
        <is>
          <t>EBITDA Amériques, Asie-Pacifique, Afrique Moyen-Orient</t>
        </is>
      </c>
      <c r="C172" s="21" t="n">
        <v>2025</v>
      </c>
      <c r="D172" s="5" t="inlineStr">
        <is>
          <t>M EUR</t>
        </is>
      </c>
      <c r="E172" s="5" t="inlineStr">
        <is>
          <t>FY2024</t>
        </is>
      </c>
      <c r="F172" s="22" t="inlineStr">
        <is>
          <t>2,025</t>
        </is>
      </c>
      <c r="G172" s="5" t="inlineStr">
        <is>
          <t>01_Financial/finance_veolia_operating_and_financial_review_2025.pdf</t>
        </is>
      </c>
      <c r="H172" s="23" t="n">
        <v>13</v>
      </c>
      <c r="I172" s="5" t="inlineStr">
        <is>
          <t>4 Écart</t>
        </is>
      </c>
      <c r="J172" s="22" t="inlineStr">
        <is>
          <t>https://www.veolia.com/sites/g/files/dvc4206/files/document/2026/02/Finance_Veolia_Operating_and_financial_review_2025.pdf</t>
        </is>
      </c>
      <c r="K172" s="22" t="inlineStr">
        <is>
          <t>2026-09-22</t>
        </is>
      </c>
      <c r="L172" s="24" t="inlineStr">
        <is>
          <t>à relire</t>
        </is>
      </c>
    </row>
    <row r="173">
      <c r="A173" s="25" t="inlineStr">
        <is>
          <t>F185</t>
        </is>
      </c>
      <c r="B173" s="26" t="inlineStr">
        <is>
          <t>Boosters : chiffre d'affaires</t>
        </is>
      </c>
      <c r="C173" s="31" t="n">
        <v>13191</v>
      </c>
      <c r="D173" s="26" t="inlineStr">
        <is>
          <t>M EUR</t>
        </is>
      </c>
      <c r="E173" s="26" t="inlineStr">
        <is>
          <t>FY2025</t>
        </is>
      </c>
      <c r="F173" s="28" t="inlineStr">
        <is>
          <t>13,191</t>
        </is>
      </c>
      <c r="G173" s="26" t="inlineStr">
        <is>
          <t>01_Financial/finance_veolia_2025_full_year_results_presentation_0.pdf</t>
        </is>
      </c>
      <c r="H173" s="29" t="n">
        <v>7</v>
      </c>
      <c r="I173" s="26" t="inlineStr">
        <is>
          <t>4 Écart</t>
        </is>
      </c>
      <c r="J173" s="28" t="inlineStr">
        <is>
          <t>https://www.veolia.com/sites/g/files/dvc4206/files/document/2026/03/Finance_Veolia_2025_full_year_results_presentation_0.pdf</t>
        </is>
      </c>
      <c r="K173" s="28" t="inlineStr">
        <is>
          <t>2026-09-22</t>
        </is>
      </c>
      <c r="L173" s="30" t="inlineStr">
        <is>
          <t>à relire</t>
        </is>
      </c>
    </row>
    <row r="174">
      <c r="A174" s="20" t="inlineStr">
        <is>
          <t>F186</t>
        </is>
      </c>
      <c r="B174" s="5" t="inlineStr">
        <is>
          <t>Boosters : croissance organique du chiffre d'affaires</t>
        </is>
      </c>
      <c r="C174" s="32" t="n">
        <v>4.3</v>
      </c>
      <c r="D174" s="5" t="inlineStr">
        <is>
          <t>%</t>
        </is>
      </c>
      <c r="E174" s="5" t="inlineStr">
        <is>
          <t>FY2025</t>
        </is>
      </c>
      <c r="F174" s="22" t="inlineStr">
        <is>
          <t>+4.3</t>
        </is>
      </c>
      <c r="G174" s="5" t="inlineStr">
        <is>
          <t>01_Financial/finance_veolia_2025_full_year_results_presentation_0.pdf</t>
        </is>
      </c>
      <c r="H174" s="23" t="n">
        <v>7</v>
      </c>
      <c r="I174" s="5" t="inlineStr">
        <is>
          <t>4 Écart</t>
        </is>
      </c>
      <c r="J174" s="22" t="inlineStr">
        <is>
          <t>https://www.veolia.com/sites/g/files/dvc4206/files/document/2026/03/Finance_Veolia_2025_full_year_results_presentation_0.pdf</t>
        </is>
      </c>
      <c r="K174" s="22" t="inlineStr">
        <is>
          <t>2026-09-22</t>
        </is>
      </c>
      <c r="L174" s="24" t="inlineStr">
        <is>
          <t>à relire</t>
        </is>
      </c>
    </row>
    <row r="175">
      <c r="A175" s="25" t="inlineStr">
        <is>
          <t>F187</t>
        </is>
      </c>
      <c r="B175" s="26" t="inlineStr">
        <is>
          <t>Boosters : croissance organique de l'EBITDA</t>
        </is>
      </c>
      <c r="C175" s="27" t="n">
        <v>12.1</v>
      </c>
      <c r="D175" s="26" t="inlineStr">
        <is>
          <t>%</t>
        </is>
      </c>
      <c r="E175" s="26" t="inlineStr">
        <is>
          <t>FY2025</t>
        </is>
      </c>
      <c r="F175" s="28" t="inlineStr">
        <is>
          <t>+12.1</t>
        </is>
      </c>
      <c r="G175" s="26" t="inlineStr">
        <is>
          <t>01_Financial/finance_veolia_2025_full_year_results_presentation_0.pdf</t>
        </is>
      </c>
      <c r="H175" s="29" t="n">
        <v>7</v>
      </c>
      <c r="I175" s="26" t="inlineStr">
        <is>
          <t>4 Écart</t>
        </is>
      </c>
      <c r="J175" s="28" t="inlineStr">
        <is>
          <t>https://www.veolia.com/sites/g/files/dvc4206/files/document/2026/03/Finance_Veolia_2025_full_year_results_presentation_0.pdf</t>
        </is>
      </c>
      <c r="K175" s="28" t="inlineStr">
        <is>
          <t>2026-09-22</t>
        </is>
      </c>
      <c r="L175" s="30" t="inlineStr">
        <is>
          <t>à relire</t>
        </is>
      </c>
    </row>
    <row r="176">
      <c r="A176" s="20" t="inlineStr">
        <is>
          <t>F188</t>
        </is>
      </c>
      <c r="B176" s="5" t="inlineStr">
        <is>
          <t>Boosters : EBITDA</t>
        </is>
      </c>
      <c r="C176" s="21" t="n">
        <v>1668</v>
      </c>
      <c r="D176" s="5" t="inlineStr">
        <is>
          <t>M EUR</t>
        </is>
      </c>
      <c r="E176" s="5" t="inlineStr">
        <is>
          <t>FY2025</t>
        </is>
      </c>
      <c r="F176" s="22" t="inlineStr">
        <is>
          <t>1,668</t>
        </is>
      </c>
      <c r="G176" s="5" t="inlineStr">
        <is>
          <t>01_Financial/finance_veolia_2025_full_year_results_presentation_0.pdf</t>
        </is>
      </c>
      <c r="H176" s="23" t="n">
        <v>25</v>
      </c>
      <c r="I176" s="5" t="inlineStr">
        <is>
          <t>4 Écart</t>
        </is>
      </c>
      <c r="J176" s="22" t="inlineStr">
        <is>
          <t>https://www.veolia.com/sites/g/files/dvc4206/files/document/2026/03/Finance_Veolia_2025_full_year_results_presentation_0.pdf</t>
        </is>
      </c>
      <c r="K176" s="22" t="inlineStr">
        <is>
          <t>2026-09-22</t>
        </is>
      </c>
      <c r="L176" s="24" t="inlineStr">
        <is>
          <t>à relire</t>
        </is>
      </c>
    </row>
    <row r="177">
      <c r="A177" s="25" t="inlineStr">
        <is>
          <t>F189</t>
        </is>
      </c>
      <c r="B177" s="26" t="inlineStr">
        <is>
          <t>Boosters : marge d'EBITDA</t>
        </is>
      </c>
      <c r="C177" s="27" t="n">
        <v>12.6</v>
      </c>
      <c r="D177" s="26" t="inlineStr">
        <is>
          <t>%</t>
        </is>
      </c>
      <c r="E177" s="26" t="inlineStr">
        <is>
          <t>FY2025</t>
        </is>
      </c>
      <c r="F177" s="28" t="inlineStr">
        <is>
          <t>12.6</t>
        </is>
      </c>
      <c r="G177" s="26" t="inlineStr">
        <is>
          <t>01_Financial/finance_veolia_2025_full_year_results_presentation_0.pdf</t>
        </is>
      </c>
      <c r="H177" s="29" t="n">
        <v>25</v>
      </c>
      <c r="I177" s="26" t="inlineStr">
        <is>
          <t>4 Écart</t>
        </is>
      </c>
      <c r="J177" s="28" t="inlineStr">
        <is>
          <t>https://www.veolia.com/sites/g/files/dvc4206/files/document/2026/03/Finance_Veolia_2025_full_year_results_presentation_0.pdf</t>
        </is>
      </c>
      <c r="K177" s="28" t="inlineStr">
        <is>
          <t>2026-09-22</t>
        </is>
      </c>
      <c r="L177" s="30" t="inlineStr">
        <is>
          <t>à relire</t>
        </is>
      </c>
    </row>
    <row r="178">
      <c r="A178" s="20" t="inlineStr">
        <is>
          <t>F190</t>
        </is>
      </c>
      <c r="B178" s="5" t="inlineStr">
        <is>
          <t>Bioénergie, flexibilité, efficacité énergétique : chiffre d'affaires</t>
        </is>
      </c>
      <c r="C178" s="21" t="n">
        <v>4021</v>
      </c>
      <c r="D178" s="5" t="inlineStr">
        <is>
          <t>M EUR</t>
        </is>
      </c>
      <c r="E178" s="5" t="inlineStr">
        <is>
          <t>FY2025</t>
        </is>
      </c>
      <c r="F178" s="22" t="inlineStr">
        <is>
          <t>4,021</t>
        </is>
      </c>
      <c r="G178" s="5" t="inlineStr">
        <is>
          <t>01_Financial/finance_veolia_2025_full_year_results_presentation_0.pdf</t>
        </is>
      </c>
      <c r="H178" s="23" t="n">
        <v>25</v>
      </c>
      <c r="I178" s="5" t="inlineStr">
        <is>
          <t>4 Écart</t>
        </is>
      </c>
      <c r="J178" s="22" t="inlineStr">
        <is>
          <t>https://www.veolia.com/sites/g/files/dvc4206/files/document/2026/03/Finance_Veolia_2025_full_year_results_presentation_0.pdf</t>
        </is>
      </c>
      <c r="K178" s="22" t="inlineStr">
        <is>
          <t>2026-09-22</t>
        </is>
      </c>
      <c r="L178" s="24" t="inlineStr">
        <is>
          <t>à relire</t>
        </is>
      </c>
    </row>
    <row r="179">
      <c r="A179" s="25" t="inlineStr">
        <is>
          <t>F191</t>
        </is>
      </c>
      <c r="B179" s="26" t="inlineStr">
        <is>
          <t>Bioénergie, flexibilité, efficacité énergétique : EBITDA</t>
        </is>
      </c>
      <c r="C179" s="31" t="n">
        <v>312</v>
      </c>
      <c r="D179" s="26" t="inlineStr">
        <is>
          <t>M EUR</t>
        </is>
      </c>
      <c r="E179" s="26" t="inlineStr">
        <is>
          <t>FY2025</t>
        </is>
      </c>
      <c r="F179" s="28" t="inlineStr">
        <is>
          <t>312</t>
        </is>
      </c>
      <c r="G179" s="26" t="inlineStr">
        <is>
          <t>01_Financial/finance_veolia_2025_full_year_results_presentation_0.pdf</t>
        </is>
      </c>
      <c r="H179" s="29" t="n">
        <v>25</v>
      </c>
      <c r="I179" s="26" t="inlineStr">
        <is>
          <t>4 Écart</t>
        </is>
      </c>
      <c r="J179" s="28" t="inlineStr">
        <is>
          <t>https://www.veolia.com/sites/g/files/dvc4206/files/document/2026/03/Finance_Veolia_2025_full_year_results_presentation_0.pdf</t>
        </is>
      </c>
      <c r="K179" s="28" t="inlineStr">
        <is>
          <t>2026-09-22</t>
        </is>
      </c>
      <c r="L179" s="30" t="inlineStr">
        <is>
          <t>à relire</t>
        </is>
      </c>
    </row>
    <row r="180">
      <c r="A180" s="20" t="inlineStr">
        <is>
          <t>F192</t>
        </is>
      </c>
      <c r="B180" s="5" t="inlineStr">
        <is>
          <t>Bioénergie, flexibilité, efficacité énergétique : chiffre d'affaires</t>
        </is>
      </c>
      <c r="C180" s="21" t="n">
        <v>3471</v>
      </c>
      <c r="D180" s="5" t="inlineStr">
        <is>
          <t>M EUR</t>
        </is>
      </c>
      <c r="E180" s="5" t="inlineStr">
        <is>
          <t>FY2024</t>
        </is>
      </c>
      <c r="F180" s="22" t="inlineStr">
        <is>
          <t>3,471</t>
        </is>
      </c>
      <c r="G180" s="5" t="inlineStr">
        <is>
          <t>01_Financial/finance_veolia_2025_full_year_results_presentation_0.pdf</t>
        </is>
      </c>
      <c r="H180" s="23" t="n">
        <v>41</v>
      </c>
      <c r="I180" s="5" t="inlineStr">
        <is>
          <t>4 Écart</t>
        </is>
      </c>
      <c r="J180" s="22" t="inlineStr">
        <is>
          <t>https://www.veolia.com/sites/g/files/dvc4206/files/document/2026/03/Finance_Veolia_2025_full_year_results_presentation_0.pdf</t>
        </is>
      </c>
      <c r="K180" s="22" t="inlineStr">
        <is>
          <t>2026-09-22</t>
        </is>
      </c>
      <c r="L180" s="24" t="inlineStr">
        <is>
          <t>à relire</t>
        </is>
      </c>
    </row>
    <row r="181">
      <c r="A181" s="25" t="inlineStr">
        <is>
          <t>F193</t>
        </is>
      </c>
      <c r="B181" s="26" t="inlineStr">
        <is>
          <t>Bioénergie, flexibilité, efficacité énergétique : EBITDA</t>
        </is>
      </c>
      <c r="C181" s="31" t="n">
        <v>246</v>
      </c>
      <c r="D181" s="26" t="inlineStr">
        <is>
          <t>M EUR</t>
        </is>
      </c>
      <c r="E181" s="26" t="inlineStr">
        <is>
          <t>FY2024</t>
        </is>
      </c>
      <c r="F181" s="28" t="inlineStr">
        <is>
          <t>246</t>
        </is>
      </c>
      <c r="G181" s="26" t="inlineStr">
        <is>
          <t>01_Financial/finance_veolia_2025_full_year_results_presentation_0.pdf</t>
        </is>
      </c>
      <c r="H181" s="29" t="n">
        <v>41</v>
      </c>
      <c r="I181" s="26" t="inlineStr">
        <is>
          <t>4 Écart</t>
        </is>
      </c>
      <c r="J181" s="28" t="inlineStr">
        <is>
          <t>https://www.veolia.com/sites/g/files/dvc4206/files/document/2026/03/Finance_Veolia_2025_full_year_results_presentation_0.pdf</t>
        </is>
      </c>
      <c r="K181" s="28" t="inlineStr">
        <is>
          <t>2026-09-22</t>
        </is>
      </c>
      <c r="L181" s="30" t="inlineStr">
        <is>
          <t>à relire</t>
        </is>
      </c>
    </row>
    <row r="182">
      <c r="A182" s="20" t="inlineStr">
        <is>
          <t>F194</t>
        </is>
      </c>
      <c r="B182" s="5" t="inlineStr">
        <is>
          <t>Chiffre d'affaires Water Technologies</t>
        </is>
      </c>
      <c r="C182" s="21" t="n">
        <v>2213</v>
      </c>
      <c r="D182" s="5" t="inlineStr">
        <is>
          <t>M EUR</t>
        </is>
      </c>
      <c r="E182" s="5" t="inlineStr">
        <is>
          <t>S1 2026</t>
        </is>
      </c>
      <c r="F182" s="22" t="inlineStr">
        <is>
          <t>2,213</t>
        </is>
      </c>
      <c r="G182" s="5" t="inlineStr">
        <is>
          <t>01_Financial/veolia_finance_presentation_h1_2026_results.pdf</t>
        </is>
      </c>
      <c r="H182" s="23" t="n">
        <v>19</v>
      </c>
      <c r="I182" s="5" t="inlineStr">
        <is>
          <t>4 Écart</t>
        </is>
      </c>
      <c r="J182" s="22" t="inlineStr">
        <is>
          <t>https://www.veolia.com/sites/g/files/dvc4206/files/document/2026/07/Veolia_Finance_presentation_H1_2026_results.pdf</t>
        </is>
      </c>
      <c r="K182" s="22" t="inlineStr">
        <is>
          <t>2026-09-22</t>
        </is>
      </c>
      <c r="L182" s="24" t="inlineStr">
        <is>
          <t>à relire</t>
        </is>
      </c>
    </row>
    <row r="183">
      <c r="A183" s="25" t="inlineStr">
        <is>
          <t>F195</t>
        </is>
      </c>
      <c r="B183" s="26" t="inlineStr">
        <is>
          <t>Croissance organique du chiffre d'affaires Water Technologies</t>
        </is>
      </c>
      <c r="C183" s="27" t="n">
        <v>-4.8</v>
      </c>
      <c r="D183" s="26" t="inlineStr">
        <is>
          <t>%</t>
        </is>
      </c>
      <c r="E183" s="26" t="inlineStr">
        <is>
          <t>S1 2026</t>
        </is>
      </c>
      <c r="F183" s="28" t="inlineStr">
        <is>
          <t>-4.8</t>
        </is>
      </c>
      <c r="G183" s="26" t="inlineStr">
        <is>
          <t>01_Financial/veolia_finance_presentation_h1_2026_results.pdf</t>
        </is>
      </c>
      <c r="H183" s="29" t="n">
        <v>19</v>
      </c>
      <c r="I183" s="26" t="inlineStr">
        <is>
          <t>4 Écart</t>
        </is>
      </c>
      <c r="J183" s="28" t="inlineStr">
        <is>
          <t>https://www.veolia.com/sites/g/files/dvc4206/files/document/2026/07/Veolia_Finance_presentation_H1_2026_results.pdf</t>
        </is>
      </c>
      <c r="K183" s="28" t="inlineStr">
        <is>
          <t>2026-09-22</t>
        </is>
      </c>
      <c r="L183" s="30" t="inlineStr">
        <is>
          <t>à relire</t>
        </is>
      </c>
    </row>
    <row r="184">
      <c r="A184" s="20" t="inlineStr">
        <is>
          <t>F196</t>
        </is>
      </c>
      <c r="B184" s="5" t="inlineStr">
        <is>
          <t>EBITDA Water Technologies</t>
        </is>
      </c>
      <c r="C184" s="21" t="n">
        <v>294</v>
      </c>
      <c r="D184" s="5" t="inlineStr">
        <is>
          <t>M EUR</t>
        </is>
      </c>
      <c r="E184" s="5" t="inlineStr">
        <is>
          <t>S1 2026</t>
        </is>
      </c>
      <c r="F184" s="22" t="inlineStr">
        <is>
          <t>294</t>
        </is>
      </c>
      <c r="G184" s="5" t="inlineStr">
        <is>
          <t>01_Financial/veolia_finance_presentation_h1_2026_results.pdf</t>
        </is>
      </c>
      <c r="H184" s="23" t="n">
        <v>19</v>
      </c>
      <c r="I184" s="5" t="inlineStr">
        <is>
          <t>4 Écart</t>
        </is>
      </c>
      <c r="J184" s="22" t="inlineStr">
        <is>
          <t>https://www.veolia.com/sites/g/files/dvc4206/files/document/2026/07/Veolia_Finance_presentation_H1_2026_results.pdf</t>
        </is>
      </c>
      <c r="K184" s="22" t="inlineStr">
        <is>
          <t>2026-09-22</t>
        </is>
      </c>
      <c r="L184" s="24" t="inlineStr">
        <is>
          <t>à relire</t>
        </is>
      </c>
    </row>
    <row r="185">
      <c r="A185" s="25" t="inlineStr">
        <is>
          <t>F197</t>
        </is>
      </c>
      <c r="B185" s="26" t="inlineStr">
        <is>
          <t>KPI GreenUp : émissions de GES évitées (scope 4), base 2023</t>
        </is>
      </c>
      <c r="C185" s="27" t="n">
        <v>13.45</v>
      </c>
      <c r="D185" s="26" t="inlineStr">
        <is>
          <t>Mt CO2e</t>
        </is>
      </c>
      <c r="E185" s="26" t="inlineStr">
        <is>
          <t>2023</t>
        </is>
      </c>
      <c r="F185" s="28" t="inlineStr">
        <is>
          <t>13.45</t>
        </is>
      </c>
      <c r="G185" s="26" t="inlineStr">
        <is>
          <t>01_Financial/finance_veolia_urd_2025_en.pdf</t>
        </is>
      </c>
      <c r="H185" s="29" t="n">
        <v>12</v>
      </c>
      <c r="I185" s="26" t="inlineStr">
        <is>
          <t>4 Écart</t>
        </is>
      </c>
      <c r="J185" s="28" t="inlineStr">
        <is>
          <t>https://www.veolia.com/sites/g/files/dvc4206/files/document/2026/03/Finance_Veolia_URD_2025_en.pdf</t>
        </is>
      </c>
      <c r="K185" s="28" t="inlineStr">
        <is>
          <t>2026-09-22</t>
        </is>
      </c>
      <c r="L185" s="30" t="inlineStr">
        <is>
          <t>à relire</t>
        </is>
      </c>
    </row>
    <row r="186">
      <c r="A186" s="20" t="inlineStr">
        <is>
          <t>F198</t>
        </is>
      </c>
      <c r="B186" s="5" t="inlineStr">
        <is>
          <t>KPI GreenUp : émissions de GES évitées, progression vs 2023</t>
        </is>
      </c>
      <c r="C186" s="21" t="n">
        <v>13</v>
      </c>
      <c r="D186" s="5" t="inlineStr">
        <is>
          <t>%</t>
        </is>
      </c>
      <c r="E186" s="5" t="inlineStr">
        <is>
          <t>2024</t>
        </is>
      </c>
      <c r="F186" s="22" t="inlineStr">
        <is>
          <t>+13</t>
        </is>
      </c>
      <c r="G186" s="5" t="inlineStr">
        <is>
          <t>01_Financial/finance_veolia_urd_2025_en.pdf</t>
        </is>
      </c>
      <c r="H186" s="23" t="n">
        <v>12</v>
      </c>
      <c r="I186" s="5" t="inlineStr">
        <is>
          <t>4 Écart</t>
        </is>
      </c>
      <c r="J186" s="22" t="inlineStr">
        <is>
          <t>https://www.veolia.com/sites/g/files/dvc4206/files/document/2026/03/Finance_Veolia_URD_2025_en.pdf</t>
        </is>
      </c>
      <c r="K186" s="22" t="inlineStr">
        <is>
          <t>2026-09-22</t>
        </is>
      </c>
      <c r="L186" s="24" t="inlineStr">
        <is>
          <t>à relire</t>
        </is>
      </c>
    </row>
    <row r="187">
      <c r="A187" s="25" t="inlineStr">
        <is>
          <t>F199</t>
        </is>
      </c>
      <c r="B187" s="26" t="inlineStr">
        <is>
          <t>KPI GreenUp : émissions de GES évitées, progression vs 2023</t>
        </is>
      </c>
      <c r="C187" s="27" t="n">
        <v>23.6</v>
      </c>
      <c r="D187" s="26" t="inlineStr">
        <is>
          <t>%</t>
        </is>
      </c>
      <c r="E187" s="26" t="inlineStr">
        <is>
          <t>2025</t>
        </is>
      </c>
      <c r="F187" s="28" t="inlineStr">
        <is>
          <t>+23.6</t>
        </is>
      </c>
      <c r="G187" s="26" t="inlineStr">
        <is>
          <t>01_Financial/finance_veolia_urd_2025_en.pdf</t>
        </is>
      </c>
      <c r="H187" s="29" t="n">
        <v>12</v>
      </c>
      <c r="I187" s="26" t="inlineStr">
        <is>
          <t>4 Écart</t>
        </is>
      </c>
      <c r="J187" s="28" t="inlineStr">
        <is>
          <t>https://www.veolia.com/sites/g/files/dvc4206/files/document/2026/03/Finance_Veolia_URD_2025_en.pdf</t>
        </is>
      </c>
      <c r="K187" s="28" t="inlineStr">
        <is>
          <t>2026-09-22</t>
        </is>
      </c>
      <c r="L187" s="30" t="inlineStr">
        <is>
          <t>à relire</t>
        </is>
      </c>
    </row>
    <row r="188">
      <c r="A188" s="20" t="inlineStr">
        <is>
          <t>F200</t>
        </is>
      </c>
      <c r="B188" s="5" t="inlineStr">
        <is>
          <t>KPI GreenUp : émissions de GES évitées, objectif vs 2023</t>
        </is>
      </c>
      <c r="C188" s="21" t="n">
        <v>30</v>
      </c>
      <c r="D188" s="5" t="inlineStr">
        <is>
          <t>%</t>
        </is>
      </c>
      <c r="E188" s="5" t="inlineStr">
        <is>
          <t>2027</t>
        </is>
      </c>
      <c r="F188" s="22" t="inlineStr">
        <is>
          <t>+30</t>
        </is>
      </c>
      <c r="G188" s="5" t="inlineStr">
        <is>
          <t>01_Financial/finance_veolia_urd_2025_en.pdf</t>
        </is>
      </c>
      <c r="H188" s="23" t="n">
        <v>12</v>
      </c>
      <c r="I188" s="5" t="inlineStr">
        <is>
          <t>4 Écart</t>
        </is>
      </c>
      <c r="J188" s="22" t="inlineStr">
        <is>
          <t>https://www.veolia.com/sites/g/files/dvc4206/files/document/2026/03/Finance_Veolia_URD_2025_en.pdf</t>
        </is>
      </c>
      <c r="K188" s="22" t="inlineStr">
        <is>
          <t>2026-09-22</t>
        </is>
      </c>
      <c r="L188" s="24" t="inlineStr">
        <is>
          <t>à relire</t>
        </is>
      </c>
    </row>
    <row r="189">
      <c r="A189" s="25" t="inlineStr">
        <is>
          <t>F201</t>
        </is>
      </c>
      <c r="B189" s="26" t="inlineStr">
        <is>
          <t>KPI GreenUp : eau douce économisée</t>
        </is>
      </c>
      <c r="C189" s="27" t="n">
        <v>1.45</v>
      </c>
      <c r="D189" s="26" t="inlineStr">
        <is>
          <t>Md m3</t>
        </is>
      </c>
      <c r="E189" s="26" t="inlineStr">
        <is>
          <t>2024</t>
        </is>
      </c>
      <c r="F189" s="28" t="inlineStr">
        <is>
          <t>1.45</t>
        </is>
      </c>
      <c r="G189" s="26" t="inlineStr">
        <is>
          <t>01_Financial/finance_veolia_urd_2025_en.pdf</t>
        </is>
      </c>
      <c r="H189" s="29" t="n">
        <v>12</v>
      </c>
      <c r="I189" s="26" t="inlineStr">
        <is>
          <t>4 Écart</t>
        </is>
      </c>
      <c r="J189" s="28" t="inlineStr">
        <is>
          <t>https://www.veolia.com/sites/g/files/dvc4206/files/document/2026/03/Finance_Veolia_URD_2025_en.pdf</t>
        </is>
      </c>
      <c r="K189" s="28" t="inlineStr">
        <is>
          <t>2026-09-22</t>
        </is>
      </c>
      <c r="L189" s="30" t="inlineStr">
        <is>
          <t>à relire</t>
        </is>
      </c>
    </row>
    <row r="190">
      <c r="A190" s="20" t="inlineStr">
        <is>
          <t>F202</t>
        </is>
      </c>
      <c r="B190" s="5" t="inlineStr">
        <is>
          <t>KPI GreenUp : eau douce économisée</t>
        </is>
      </c>
      <c r="C190" s="32" t="n">
        <v>1.574</v>
      </c>
      <c r="D190" s="5" t="inlineStr">
        <is>
          <t>Md m3</t>
        </is>
      </c>
      <c r="E190" s="5" t="inlineStr">
        <is>
          <t>2025</t>
        </is>
      </c>
      <c r="F190" s="22" t="inlineStr">
        <is>
          <t>1.574</t>
        </is>
      </c>
      <c r="G190" s="5" t="inlineStr">
        <is>
          <t>01_Financial/finance_veolia_urd_2025_en.pdf</t>
        </is>
      </c>
      <c r="H190" s="23" t="n">
        <v>12</v>
      </c>
      <c r="I190" s="5" t="inlineStr">
        <is>
          <t>4 Écart</t>
        </is>
      </c>
      <c r="J190" s="22" t="inlineStr">
        <is>
          <t>https://www.veolia.com/sites/g/files/dvc4206/files/document/2026/03/Finance_Veolia_URD_2025_en.pdf</t>
        </is>
      </c>
      <c r="K190" s="22" t="inlineStr">
        <is>
          <t>2026-09-22</t>
        </is>
      </c>
      <c r="L190" s="24" t="inlineStr">
        <is>
          <t>à relire</t>
        </is>
      </c>
    </row>
    <row r="191">
      <c r="A191" s="25" t="inlineStr">
        <is>
          <t>F203</t>
        </is>
      </c>
      <c r="B191" s="26" t="inlineStr">
        <is>
          <t>KPI GreenUp : eau douce économisée, objectif au moins</t>
        </is>
      </c>
      <c r="C191" s="27" t="n">
        <v>1.5</v>
      </c>
      <c r="D191" s="26" t="inlineStr">
        <is>
          <t>Md m3</t>
        </is>
      </c>
      <c r="E191" s="26" t="inlineStr">
        <is>
          <t>2027</t>
        </is>
      </c>
      <c r="F191" s="28" t="inlineStr">
        <is>
          <t>1.5</t>
        </is>
      </c>
      <c r="G191" s="26" t="inlineStr">
        <is>
          <t>01_Financial/finance_veolia_urd_2025_en.pdf</t>
        </is>
      </c>
      <c r="H191" s="29" t="n">
        <v>12</v>
      </c>
      <c r="I191" s="26" t="inlineStr">
        <is>
          <t>4 Écart</t>
        </is>
      </c>
      <c r="J191" s="28" t="inlineStr">
        <is>
          <t>https://www.veolia.com/sites/g/files/dvc4206/files/document/2026/03/Finance_Veolia_URD_2025_en.pdf</t>
        </is>
      </c>
      <c r="K191" s="28" t="inlineStr">
        <is>
          <t>2026-09-22</t>
        </is>
      </c>
      <c r="L191" s="30" t="inlineStr">
        <is>
          <t>à relire</t>
        </is>
      </c>
    </row>
    <row r="192">
      <c r="A192" s="20" t="inlineStr">
        <is>
          <t>F204</t>
        </is>
      </c>
      <c r="B192" s="5" t="inlineStr">
        <is>
          <t>KPI GreenUp : émissions de GES évitées, objectif</t>
        </is>
      </c>
      <c r="C192" s="21" t="n">
        <v>18</v>
      </c>
      <c r="D192" s="5" t="inlineStr">
        <is>
          <t>Mt CO2e</t>
        </is>
      </c>
      <c r="E192" s="5" t="inlineStr">
        <is>
          <t>2027</t>
        </is>
      </c>
      <c r="F192" s="22" t="inlineStr">
        <is>
          <t>18</t>
        </is>
      </c>
      <c r="G192" s="5" t="inlineStr">
        <is>
          <t>01_Financial/finance_veolia_urd_2025_en.pdf</t>
        </is>
      </c>
      <c r="H192" s="23" t="n">
        <v>191</v>
      </c>
      <c r="I192" s="5" t="inlineStr">
        <is>
          <t>4 Écart</t>
        </is>
      </c>
      <c r="J192" s="22" t="inlineStr">
        <is>
          <t>https://www.veolia.com/sites/g/files/dvc4206/files/document/2026/03/Finance_Veolia_URD_2025_en.pdf</t>
        </is>
      </c>
      <c r="K192" s="22" t="inlineStr">
        <is>
          <t>2026-09-22</t>
        </is>
      </c>
      <c r="L192" s="24" t="inlineStr">
        <is>
          <t>à relire</t>
        </is>
      </c>
    </row>
    <row r="193">
      <c r="A193" s="25" t="inlineStr">
        <is>
          <t>F205</t>
        </is>
      </c>
      <c r="B193" s="26" t="inlineStr">
        <is>
          <t>Gains d'efficacité (et non synergies)</t>
        </is>
      </c>
      <c r="C193" s="31" t="n">
        <v>398</v>
      </c>
      <c r="D193" s="26" t="inlineStr">
        <is>
          <t>M EUR</t>
        </is>
      </c>
      <c r="E193" s="26" t="inlineStr">
        <is>
          <t>FY2024</t>
        </is>
      </c>
      <c r="F193" s="28" t="inlineStr">
        <is>
          <t>398</t>
        </is>
      </c>
      <c r="G193" s="26" t="inlineStr">
        <is>
          <t>01_Financial/finance_2024_full_year_results_presentation.pdf</t>
        </is>
      </c>
      <c r="H193" s="29" t="n">
        <v>5</v>
      </c>
      <c r="I193" s="26" t="inlineStr">
        <is>
          <t>3 Capacité</t>
        </is>
      </c>
      <c r="J193" s="28" t="inlineStr">
        <is>
          <t>https://www.veolia.com/sites/g/files/dvc4206/files/document/2025/02/Finance_2024_full_year_results_presentation.pdf</t>
        </is>
      </c>
      <c r="K193" s="28" t="inlineStr">
        <is>
          <t>2026-09-22</t>
        </is>
      </c>
      <c r="L193" s="30" t="inlineStr">
        <is>
          <t>à relire</t>
        </is>
      </c>
    </row>
    <row r="194">
      <c r="A194" s="20" t="inlineStr">
        <is>
          <t>F206</t>
        </is>
      </c>
      <c r="B194" s="5" t="inlineStr">
        <is>
          <t>Synergies Suez cumulées</t>
        </is>
      </c>
      <c r="C194" s="21" t="n">
        <v>435</v>
      </c>
      <c r="D194" s="5" t="inlineStr">
        <is>
          <t>M EUR</t>
        </is>
      </c>
      <c r="E194" s="5" t="inlineStr">
        <is>
          <t>FY2024</t>
        </is>
      </c>
      <c r="F194" s="22" t="inlineStr">
        <is>
          <t>435</t>
        </is>
      </c>
      <c r="G194" s="5" t="inlineStr">
        <is>
          <t>01_Financial/finance_2024_full_year_results_presentation.pdf</t>
        </is>
      </c>
      <c r="H194" s="23" t="n">
        <v>5</v>
      </c>
      <c r="I194" s="5" t="inlineStr">
        <is>
          <t>3 Capacité</t>
        </is>
      </c>
      <c r="J194" s="22" t="inlineStr">
        <is>
          <t>https://www.veolia.com/sites/g/files/dvc4206/files/document/2025/02/Finance_2024_full_year_results_presentation.pdf</t>
        </is>
      </c>
      <c r="K194" s="22" t="inlineStr">
        <is>
          <t>2026-09-22</t>
        </is>
      </c>
      <c r="L194" s="24" t="inlineStr">
        <is>
          <t>à relire</t>
        </is>
      </c>
    </row>
    <row r="195">
      <c r="A195" s="25" t="inlineStr">
        <is>
          <t>F207</t>
        </is>
      </c>
      <c r="B195" s="26" t="inlineStr">
        <is>
          <t>Synergies Suez : objectif cumulé relevé (initial 500)</t>
        </is>
      </c>
      <c r="C195" s="31" t="n">
        <v>530</v>
      </c>
      <c r="D195" s="26" t="inlineStr">
        <is>
          <t>M EUR</t>
        </is>
      </c>
      <c r="E195" s="26" t="inlineStr">
        <is>
          <t>fin 2025</t>
        </is>
      </c>
      <c r="F195" s="28" t="inlineStr">
        <is>
          <t>530</t>
        </is>
      </c>
      <c r="G195" s="26" t="inlineStr">
        <is>
          <t>01_Financial/finance_operating_and_financial_review_2024.pdf</t>
        </is>
      </c>
      <c r="H195" s="29" t="n">
        <v>18</v>
      </c>
      <c r="I195" s="26" t="inlineStr">
        <is>
          <t>3 Capacité</t>
        </is>
      </c>
      <c r="J195" s="28" t="inlineStr">
        <is>
          <t>https://www.veolia.com/sites/g/files/dvc4206/files/document/2025/02/Finance_Operating_and_financial_review_2024.pdf</t>
        </is>
      </c>
      <c r="K195" s="28" t="inlineStr">
        <is>
          <t>2026-09-22</t>
        </is>
      </c>
      <c r="L195" s="30" t="inlineStr">
        <is>
          <t>à relire</t>
        </is>
      </c>
    </row>
    <row r="196">
      <c r="A196" s="20" t="inlineStr">
        <is>
          <t>F208</t>
        </is>
      </c>
      <c r="B196" s="5" t="inlineStr">
        <is>
          <t>Synergies Suez cumulées réalisées</t>
        </is>
      </c>
      <c r="C196" s="21" t="n">
        <v>534</v>
      </c>
      <c r="D196" s="5" t="inlineStr">
        <is>
          <t>M EUR</t>
        </is>
      </c>
      <c r="E196" s="5" t="inlineStr">
        <is>
          <t>FY2025</t>
        </is>
      </c>
      <c r="F196" s="22" t="inlineStr">
        <is>
          <t>534</t>
        </is>
      </c>
      <c r="G196" s="5" t="inlineStr">
        <is>
          <t>01_Financial/finance_veolia_operating_and_financial_review_2025.pdf</t>
        </is>
      </c>
      <c r="H196" s="23" t="n">
        <v>17</v>
      </c>
      <c r="I196" s="5" t="inlineStr">
        <is>
          <t>3 Capacité</t>
        </is>
      </c>
      <c r="J196" s="22" t="inlineStr">
        <is>
          <t>https://www.veolia.com/sites/g/files/dvc4206/files/document/2026/02/Finance_Veolia_Operating_and_financial_review_2025.pdf</t>
        </is>
      </c>
      <c r="K196" s="22" t="inlineStr">
        <is>
          <t>2026-09-22</t>
        </is>
      </c>
      <c r="L196" s="24" t="inlineStr">
        <is>
          <t>à relire</t>
        </is>
      </c>
    </row>
    <row r="197">
      <c r="A197" s="25" t="inlineStr">
        <is>
          <t>F209</t>
        </is>
      </c>
      <c r="B197" s="26" t="inlineStr">
        <is>
          <t>Enviri : chiffre d'affaires du segment Clean Earth</t>
        </is>
      </c>
      <c r="C197" s="27" t="n">
        <v>973.9</v>
      </c>
      <c r="D197" s="26" t="inlineStr">
        <is>
          <t>M USD</t>
        </is>
      </c>
      <c r="E197" s="26" t="inlineStr">
        <is>
          <t>FY2025</t>
        </is>
      </c>
      <c r="F197" s="28" t="inlineStr">
        <is>
          <t>973.9</t>
        </is>
      </c>
      <c r="G197" s="26" t="inlineStr">
        <is>
          <t>01_Financial/enviri-10-k-2025.pdf</t>
        </is>
      </c>
      <c r="H197" s="29" t="n">
        <v>69</v>
      </c>
      <c r="I197" s="26" t="inlineStr">
        <is>
          <t>6 Cibles</t>
        </is>
      </c>
      <c r="J197" s="28" t="inlineStr">
        <is>
          <t>https://www.sec.gov/Archives/edgar/data/45876/000004587626000010/nvri-20251231.htm</t>
        </is>
      </c>
      <c r="K197" s="28" t="inlineStr">
        <is>
          <t>2026-10-02</t>
        </is>
      </c>
      <c r="L197" s="30" t="inlineStr">
        <is>
          <t>à relire</t>
        </is>
      </c>
    </row>
    <row r="198">
      <c r="A198" s="20" t="inlineStr">
        <is>
          <t>F210</t>
        </is>
      </c>
      <c r="B198" s="5" t="inlineStr">
        <is>
          <t>Enviri : chiffre d'affaires du segment Clean Earth</t>
        </is>
      </c>
      <c r="C198" s="32" t="n">
        <v>940.3</v>
      </c>
      <c r="D198" s="5" t="inlineStr">
        <is>
          <t>M USD</t>
        </is>
      </c>
      <c r="E198" s="5" t="inlineStr">
        <is>
          <t>FY2024</t>
        </is>
      </c>
      <c r="F198" s="22" t="inlineStr">
        <is>
          <t>940.3</t>
        </is>
      </c>
      <c r="G198" s="5" t="inlineStr">
        <is>
          <t>01_Financial/enviri-10-k-2025.pdf</t>
        </is>
      </c>
      <c r="H198" s="23" t="n">
        <v>69</v>
      </c>
      <c r="I198" s="5" t="inlineStr">
        <is>
          <t>6 Cibles</t>
        </is>
      </c>
      <c r="J198" s="22" t="inlineStr">
        <is>
          <t>https://www.sec.gov/Archives/edgar/data/45876/000004587626000010/nvri-20251231.htm</t>
        </is>
      </c>
      <c r="K198" s="22" t="inlineStr">
        <is>
          <t>2026-10-02</t>
        </is>
      </c>
      <c r="L198" s="24" t="inlineStr">
        <is>
          <t>à relire</t>
        </is>
      </c>
    </row>
    <row r="199">
      <c r="A199" s="25" t="inlineStr">
        <is>
          <t>F211</t>
        </is>
      </c>
      <c r="B199" s="26" t="inlineStr">
        <is>
          <t>Enviri : résultat opérationnel du segment Clean Earth</t>
        </is>
      </c>
      <c r="C199" s="27" t="n">
        <v>91.7</v>
      </c>
      <c r="D199" s="26" t="inlineStr">
        <is>
          <t>M USD</t>
        </is>
      </c>
      <c r="E199" s="26" t="inlineStr">
        <is>
          <t>FY2025</t>
        </is>
      </c>
      <c r="F199" s="28" t="inlineStr">
        <is>
          <t>91.7</t>
        </is>
      </c>
      <c r="G199" s="26" t="inlineStr">
        <is>
          <t>01_Financial/enviri-10-k-2025.pdf</t>
        </is>
      </c>
      <c r="H199" s="29" t="n">
        <v>70</v>
      </c>
      <c r="I199" s="26" t="inlineStr">
        <is>
          <t>6 Cibles</t>
        </is>
      </c>
      <c r="J199" s="28" t="inlineStr">
        <is>
          <t>https://www.sec.gov/Archives/edgar/data/45876/000004587626000010/nvri-20251231.htm</t>
        </is>
      </c>
      <c r="K199" s="28" t="inlineStr">
        <is>
          <t>2026-10-02</t>
        </is>
      </c>
      <c r="L199" s="30" t="inlineStr">
        <is>
          <t>à relire</t>
        </is>
      </c>
    </row>
    <row r="200">
      <c r="A200" s="20" t="inlineStr">
        <is>
          <t>F212</t>
        </is>
      </c>
      <c r="B200" s="5" t="inlineStr">
        <is>
          <t>Enviri : résultat opérationnel du segment Clean Earth</t>
        </is>
      </c>
      <c r="C200" s="32" t="n">
        <v>92.59999999999999</v>
      </c>
      <c r="D200" s="5" t="inlineStr">
        <is>
          <t>M USD</t>
        </is>
      </c>
      <c r="E200" s="5" t="inlineStr">
        <is>
          <t>FY2024</t>
        </is>
      </c>
      <c r="F200" s="22" t="inlineStr">
        <is>
          <t>92.6</t>
        </is>
      </c>
      <c r="G200" s="5" t="inlineStr">
        <is>
          <t>01_Financial/enviri-10-k-2025.pdf</t>
        </is>
      </c>
      <c r="H200" s="23" t="n">
        <v>70</v>
      </c>
      <c r="I200" s="5" t="inlineStr">
        <is>
          <t>6 Cibles</t>
        </is>
      </c>
      <c r="J200" s="22" t="inlineStr">
        <is>
          <t>https://www.sec.gov/Archives/edgar/data/45876/000004587626000010/nvri-20251231.htm</t>
        </is>
      </c>
      <c r="K200" s="22" t="inlineStr">
        <is>
          <t>2026-10-02</t>
        </is>
      </c>
      <c r="L200" s="24" t="inlineStr">
        <is>
          <t>à relire</t>
        </is>
      </c>
    </row>
    <row r="201">
      <c r="A201" s="25" t="inlineStr">
        <is>
          <t>F213</t>
        </is>
      </c>
      <c r="B201" s="26" t="inlineStr">
        <is>
          <t>Enviri : dépréciation du segment Clean Earth</t>
        </is>
      </c>
      <c r="C201" s="31" t="n">
        <v>39778</v>
      </c>
      <c r="D201" s="26" t="inlineStr">
        <is>
          <t>k USD</t>
        </is>
      </c>
      <c r="E201" s="26" t="inlineStr">
        <is>
          <t>FY2025</t>
        </is>
      </c>
      <c r="F201" s="28" t="inlineStr">
        <is>
          <t>39,778</t>
        </is>
      </c>
      <c r="G201" s="26" t="inlineStr">
        <is>
          <t>01_Financial/enviri-10-k-2025.pdf</t>
        </is>
      </c>
      <c r="H201" s="29" t="n">
        <v>284</v>
      </c>
      <c r="I201" s="26" t="inlineStr">
        <is>
          <t>6 Cibles</t>
        </is>
      </c>
      <c r="J201" s="28" t="inlineStr">
        <is>
          <t>https://www.sec.gov/Archives/edgar/data/45876/000004587626000010/nvri-20251231.htm</t>
        </is>
      </c>
      <c r="K201" s="28" t="inlineStr">
        <is>
          <t>2026-10-02</t>
        </is>
      </c>
      <c r="L201" s="30" t="inlineStr">
        <is>
          <t>à relire</t>
        </is>
      </c>
    </row>
    <row r="202">
      <c r="A202" s="20" t="inlineStr">
        <is>
          <t>F214</t>
        </is>
      </c>
      <c r="B202" s="5" t="inlineStr">
        <is>
          <t>Enviri : amortissement du segment Clean Earth</t>
        </is>
      </c>
      <c r="C202" s="21" t="n">
        <v>23644</v>
      </c>
      <c r="D202" s="5" t="inlineStr">
        <is>
          <t>k USD</t>
        </is>
      </c>
      <c r="E202" s="5" t="inlineStr">
        <is>
          <t>FY2025</t>
        </is>
      </c>
      <c r="F202" s="22" t="inlineStr">
        <is>
          <t>23,644</t>
        </is>
      </c>
      <c r="G202" s="5" t="inlineStr">
        <is>
          <t>01_Financial/enviri-10-k-2025.pdf</t>
        </is>
      </c>
      <c r="H202" s="23" t="n">
        <v>284</v>
      </c>
      <c r="I202" s="5" t="inlineStr">
        <is>
          <t>6 Cibles</t>
        </is>
      </c>
      <c r="J202" s="22" t="inlineStr">
        <is>
          <t>https://www.sec.gov/Archives/edgar/data/45876/000004587626000010/nvri-20251231.htm</t>
        </is>
      </c>
      <c r="K202" s="22" t="inlineStr">
        <is>
          <t>2026-10-02</t>
        </is>
      </c>
      <c r="L202" s="24" t="inlineStr">
        <is>
          <t>à relire</t>
        </is>
      </c>
    </row>
    <row r="203">
      <c r="A203" s="25" t="inlineStr">
        <is>
          <t>F215</t>
        </is>
      </c>
      <c r="B203" s="26" t="inlineStr">
        <is>
          <t>Enviri : actifs totaux du segment Clean Earth</t>
        </is>
      </c>
      <c r="C203" s="31" t="n">
        <v>1036916</v>
      </c>
      <c r="D203" s="26" t="inlineStr">
        <is>
          <t>k USD</t>
        </is>
      </c>
      <c r="E203" s="26" t="inlineStr">
        <is>
          <t>31/12/2025</t>
        </is>
      </c>
      <c r="F203" s="28" t="inlineStr">
        <is>
          <t>1,036,916</t>
        </is>
      </c>
      <c r="G203" s="26" t="inlineStr">
        <is>
          <t>01_Financial/enviri-10-k-2025.pdf</t>
        </is>
      </c>
      <c r="H203" s="29" t="n">
        <v>284</v>
      </c>
      <c r="I203" s="26" t="inlineStr">
        <is>
          <t>6 Cibles</t>
        </is>
      </c>
      <c r="J203" s="28" t="inlineStr">
        <is>
          <t>https://www.sec.gov/Archives/edgar/data/45876/000004587626000010/nvri-20251231.htm</t>
        </is>
      </c>
      <c r="K203" s="28" t="inlineStr">
        <is>
          <t>2026-10-02</t>
        </is>
      </c>
      <c r="L203" s="30" t="inlineStr">
        <is>
          <t>à relire</t>
        </is>
      </c>
    </row>
    <row r="204">
      <c r="A204" s="20" t="inlineStr">
        <is>
          <t>F216</t>
        </is>
      </c>
      <c r="B204" s="5" t="inlineStr">
        <is>
          <t>Enviri : prix de cession de Clean Earth à Veolia, plus de</t>
        </is>
      </c>
      <c r="C204" s="21" t="n">
        <v>3</v>
      </c>
      <c r="D204" s="5" t="inlineStr">
        <is>
          <t>Md USD</t>
        </is>
      </c>
      <c r="E204" s="5" t="inlineStr">
        <is>
          <t>annonce 11/2025</t>
        </is>
      </c>
      <c r="F204" s="22" t="inlineStr">
        <is>
          <t>3.0</t>
        </is>
      </c>
      <c r="G204" s="5" t="inlineStr">
        <is>
          <t>01_Financial/enviri-10-k-2025.pdf</t>
        </is>
      </c>
      <c r="H204" s="23" t="n">
        <v>68</v>
      </c>
      <c r="I204" s="5" t="inlineStr">
        <is>
          <t>6 Cibles</t>
        </is>
      </c>
      <c r="J204" s="22" t="inlineStr">
        <is>
          <t>https://www.sec.gov/Archives/edgar/data/45876/000004587626000010/nvri-20251231.htm</t>
        </is>
      </c>
      <c r="K204" s="22" t="inlineStr">
        <is>
          <t>2026-10-02</t>
        </is>
      </c>
      <c r="L204" s="24" t="inlineStr">
        <is>
          <t>à relire</t>
        </is>
      </c>
    </row>
    <row r="205">
      <c r="A205" s="25" t="inlineStr">
        <is>
          <t>F217</t>
        </is>
      </c>
      <c r="B205" s="26" t="inlineStr">
        <is>
          <t>Enviri : covenant dette nette / EBITDA ajusté après la vente</t>
        </is>
      </c>
      <c r="C205" s="31" t="n">
        <v>3</v>
      </c>
      <c r="D205" s="26" t="inlineStr">
        <is>
          <t>x</t>
        </is>
      </c>
      <c r="E205" s="26" t="inlineStr">
        <is>
          <t>2026</t>
        </is>
      </c>
      <c r="F205" s="28" t="inlineStr">
        <is>
          <t>3.00</t>
        </is>
      </c>
      <c r="G205" s="26" t="inlineStr">
        <is>
          <t>01_Financial/enviri-10-k-2025.pdf</t>
        </is>
      </c>
      <c r="H205" s="29" t="n">
        <v>68</v>
      </c>
      <c r="I205" s="26" t="inlineStr">
        <is>
          <t>2 Contrainte</t>
        </is>
      </c>
      <c r="J205" s="28" t="inlineStr">
        <is>
          <t>https://www.sec.gov/Archives/edgar/data/45876/000004587626000010/nvri-20251231.htm</t>
        </is>
      </c>
      <c r="K205" s="28" t="inlineStr">
        <is>
          <t>2026-10-02</t>
        </is>
      </c>
      <c r="L205" s="30" t="inlineStr">
        <is>
          <t>à relire</t>
        </is>
      </c>
    </row>
    <row r="206">
      <c r="A206" s="20" t="inlineStr">
        <is>
          <t>F218</t>
        </is>
      </c>
      <c r="B206" s="5" t="inlineStr">
        <is>
          <t>Enviri : passifs environnementaux, part courante</t>
        </is>
      </c>
      <c r="C206" s="21" t="n">
        <v>12736</v>
      </c>
      <c r="D206" s="5" t="inlineStr">
        <is>
          <t>k USD</t>
        </is>
      </c>
      <c r="E206" s="5" t="inlineStr">
        <is>
          <t>31/12/2025</t>
        </is>
      </c>
      <c r="F206" s="22" t="inlineStr">
        <is>
          <t>12,736</t>
        </is>
      </c>
      <c r="G206" s="5" t="inlineStr">
        <is>
          <t>01_Financial/enviri-10-k-2025.pdf</t>
        </is>
      </c>
      <c r="H206" s="23" t="n">
        <v>251</v>
      </c>
      <c r="I206" s="5" t="inlineStr">
        <is>
          <t>5 ESG</t>
        </is>
      </c>
      <c r="J206" s="22" t="inlineStr">
        <is>
          <t>https://www.sec.gov/Archives/edgar/data/45876/000004587626000010/nvri-20251231.htm</t>
        </is>
      </c>
      <c r="K206" s="22" t="inlineStr">
        <is>
          <t>2026-10-02</t>
        </is>
      </c>
      <c r="L206" s="24" t="inlineStr">
        <is>
          <t>à relire</t>
        </is>
      </c>
    </row>
    <row r="207">
      <c r="A207" s="25" t="inlineStr">
        <is>
          <t>F219</t>
        </is>
      </c>
      <c r="B207" s="26" t="inlineStr">
        <is>
          <t>Enviri : passifs environnementaux, part non courante</t>
        </is>
      </c>
      <c r="C207" s="31" t="n">
        <v>38256</v>
      </c>
      <c r="D207" s="26" t="inlineStr">
        <is>
          <t>k USD</t>
        </is>
      </c>
      <c r="E207" s="26" t="inlineStr">
        <is>
          <t>31/12/2025</t>
        </is>
      </c>
      <c r="F207" s="28" t="inlineStr">
        <is>
          <t>38,256</t>
        </is>
      </c>
      <c r="G207" s="26" t="inlineStr">
        <is>
          <t>01_Financial/enviri-10-k-2025.pdf</t>
        </is>
      </c>
      <c r="H207" s="29" t="n">
        <v>251</v>
      </c>
      <c r="I207" s="26" t="inlineStr">
        <is>
          <t>5 ESG</t>
        </is>
      </c>
      <c r="J207" s="28" t="inlineStr">
        <is>
          <t>https://www.sec.gov/Archives/edgar/data/45876/000004587626000010/nvri-20251231.htm</t>
        </is>
      </c>
      <c r="K207" s="28" t="inlineStr">
        <is>
          <t>2026-10-02</t>
        </is>
      </c>
      <c r="L207" s="30" t="inlineStr">
        <is>
          <t>à relire</t>
        </is>
      </c>
    </row>
    <row r="208">
      <c r="A208" s="20" t="inlineStr">
        <is>
          <t>F220</t>
        </is>
      </c>
      <c r="B208" s="5" t="inlineStr">
        <is>
          <t>Clean Harbors : chiffre d'affaires direct Environmental Services</t>
        </is>
      </c>
      <c r="C208" s="21" t="n">
        <v>5193290</v>
      </c>
      <c r="D208" s="5" t="inlineStr">
        <is>
          <t>k USD</t>
        </is>
      </c>
      <c r="E208" s="5" t="inlineStr">
        <is>
          <t>FY2025</t>
        </is>
      </c>
      <c r="F208" s="22" t="inlineStr">
        <is>
          <t>5,193,290</t>
        </is>
      </c>
      <c r="G208" s="5" t="inlineStr">
        <is>
          <t>01_Financial/clean-harbors-10-k-2025.pdf</t>
        </is>
      </c>
      <c r="H208" s="23" t="n">
        <v>34</v>
      </c>
      <c r="I208" s="5" t="inlineStr">
        <is>
          <t>4 Écart</t>
        </is>
      </c>
      <c r="J208" s="22" t="inlineStr">
        <is>
          <t>https://www.sec.gov/Archives/edgar/data/822818/000082281826000009/clh-20251231.htm</t>
        </is>
      </c>
      <c r="K208" s="22" t="inlineStr">
        <is>
          <t>2026-10-02</t>
        </is>
      </c>
      <c r="L208" s="24" t="inlineStr">
        <is>
          <t>à relire</t>
        </is>
      </c>
    </row>
    <row r="209">
      <c r="A209" s="25" t="inlineStr">
        <is>
          <t>F221</t>
        </is>
      </c>
      <c r="B209" s="26" t="inlineStr">
        <is>
          <t>Clean Harbors : chiffre d'affaires direct Safety-Kleen Sustainability Solutions</t>
        </is>
      </c>
      <c r="C209" s="31" t="n">
        <v>837361</v>
      </c>
      <c r="D209" s="26" t="inlineStr">
        <is>
          <t>k USD</t>
        </is>
      </c>
      <c r="E209" s="26" t="inlineStr">
        <is>
          <t>FY2025</t>
        </is>
      </c>
      <c r="F209" s="28" t="inlineStr">
        <is>
          <t>837,361</t>
        </is>
      </c>
      <c r="G209" s="26" t="inlineStr">
        <is>
          <t>01_Financial/clean-harbors-10-k-2025.pdf</t>
        </is>
      </c>
      <c r="H209" s="29" t="n">
        <v>34</v>
      </c>
      <c r="I209" s="26" t="inlineStr">
        <is>
          <t>4 Écart</t>
        </is>
      </c>
      <c r="J209" s="28" t="inlineStr">
        <is>
          <t>https://www.sec.gov/Archives/edgar/data/822818/000082281826000009/clh-20251231.htm</t>
        </is>
      </c>
      <c r="K209" s="28" t="inlineStr">
        <is>
          <t>2026-10-02</t>
        </is>
      </c>
      <c r="L209" s="30" t="inlineStr">
        <is>
          <t>à relire</t>
        </is>
      </c>
    </row>
    <row r="210">
      <c r="A210" s="20" t="inlineStr">
        <is>
          <t>F222</t>
        </is>
      </c>
      <c r="B210" s="5" t="inlineStr">
        <is>
          <t>Clean Harbors : EBITDA ajusté Environmental Services</t>
        </is>
      </c>
      <c r="C210" s="21" t="n">
        <v>1343776</v>
      </c>
      <c r="D210" s="5" t="inlineStr">
        <is>
          <t>k USD</t>
        </is>
      </c>
      <c r="E210" s="5" t="inlineStr">
        <is>
          <t>FY2025</t>
        </is>
      </c>
      <c r="F210" s="22" t="inlineStr">
        <is>
          <t>1,343,776</t>
        </is>
      </c>
      <c r="G210" s="5" t="inlineStr">
        <is>
          <t>01_Financial/clean-harbors-10-k-2025.pdf</t>
        </is>
      </c>
      <c r="H210" s="23" t="n">
        <v>34</v>
      </c>
      <c r="I210" s="5" t="inlineStr">
        <is>
          <t>4 Écart</t>
        </is>
      </c>
      <c r="J210" s="22" t="inlineStr">
        <is>
          <t>https://www.sec.gov/Archives/edgar/data/822818/000082281826000009/clh-20251231.htm</t>
        </is>
      </c>
      <c r="K210" s="22" t="inlineStr">
        <is>
          <t>2026-10-02</t>
        </is>
      </c>
      <c r="L210" s="24" t="inlineStr">
        <is>
          <t>à relire</t>
        </is>
      </c>
    </row>
    <row r="211">
      <c r="A211" s="25" t="inlineStr">
        <is>
          <t>F223</t>
        </is>
      </c>
      <c r="B211" s="26" t="inlineStr">
        <is>
          <t>Clean Harbors : EBITDA ajusté Safety-Kleen Sustainability Solutions</t>
        </is>
      </c>
      <c r="C211" s="31" t="n">
        <v>137454</v>
      </c>
      <c r="D211" s="26" t="inlineStr">
        <is>
          <t>k USD</t>
        </is>
      </c>
      <c r="E211" s="26" t="inlineStr">
        <is>
          <t>FY2025</t>
        </is>
      </c>
      <c r="F211" s="28" t="inlineStr">
        <is>
          <t>137,454</t>
        </is>
      </c>
      <c r="G211" s="26" t="inlineStr">
        <is>
          <t>01_Financial/clean-harbors-10-k-2025.pdf</t>
        </is>
      </c>
      <c r="H211" s="29" t="n">
        <v>34</v>
      </c>
      <c r="I211" s="26" t="inlineStr">
        <is>
          <t>4 Écart</t>
        </is>
      </c>
      <c r="J211" s="28" t="inlineStr">
        <is>
          <t>https://www.sec.gov/Archives/edgar/data/822818/000082281826000009/clh-20251231.htm</t>
        </is>
      </c>
      <c r="K211" s="28" t="inlineStr">
        <is>
          <t>2026-10-02</t>
        </is>
      </c>
      <c r="L211" s="30" t="inlineStr">
        <is>
          <t>à relire</t>
        </is>
      </c>
    </row>
    <row r="212">
      <c r="A212" s="20" t="inlineStr">
        <is>
          <t>F224</t>
        </is>
      </c>
      <c r="B212" s="5" t="inlineStr">
        <is>
          <t>Clean Harbors : chiffre d'affaires direct total</t>
        </is>
      </c>
      <c r="C212" s="32" t="n">
        <v>6030.8</v>
      </c>
      <c r="D212" s="5" t="inlineStr">
        <is>
          <t>M USD</t>
        </is>
      </c>
      <c r="E212" s="5" t="inlineStr">
        <is>
          <t>FY2025</t>
        </is>
      </c>
      <c r="F212" s="22" t="inlineStr">
        <is>
          <t>6,030.8</t>
        </is>
      </c>
      <c r="G212" s="5" t="inlineStr">
        <is>
          <t>01_Financial/clean-harbors-10-k-2025.pdf</t>
        </is>
      </c>
      <c r="H212" s="23" t="n">
        <v>33</v>
      </c>
      <c r="I212" s="5" t="inlineStr">
        <is>
          <t>4 Écart</t>
        </is>
      </c>
      <c r="J212" s="22" t="inlineStr">
        <is>
          <t>https://www.sec.gov/Archives/edgar/data/822818/000082281826000009/clh-20251231.htm</t>
        </is>
      </c>
      <c r="K212" s="22" t="inlineStr">
        <is>
          <t>2026-10-02</t>
        </is>
      </c>
      <c r="L212" s="24" t="inlineStr">
        <is>
          <t>à relire</t>
        </is>
      </c>
    </row>
    <row r="213">
      <c r="A213" s="25" t="inlineStr">
        <is>
          <t>F225</t>
        </is>
      </c>
      <c r="B213" s="26" t="inlineStr">
        <is>
          <t>Clean Harbors : EBITDA ajusté total</t>
        </is>
      </c>
      <c r="C213" s="31" t="n">
        <v>1169939</v>
      </c>
      <c r="D213" s="26" t="inlineStr">
        <is>
          <t>k USD</t>
        </is>
      </c>
      <c r="E213" s="26" t="inlineStr">
        <is>
          <t>FY2025</t>
        </is>
      </c>
      <c r="F213" s="28" t="inlineStr">
        <is>
          <t>1,169,939</t>
        </is>
      </c>
      <c r="G213" s="26" t="inlineStr">
        <is>
          <t>01_Financial/clean-harbors-10-k-2025.pdf</t>
        </is>
      </c>
      <c r="H213" s="29" t="n">
        <v>38</v>
      </c>
      <c r="I213" s="26" t="inlineStr">
        <is>
          <t>4 Écart</t>
        </is>
      </c>
      <c r="J213" s="28" t="inlineStr">
        <is>
          <t>https://www.sec.gov/Archives/edgar/data/822818/000082281826000009/clh-20251231.htm</t>
        </is>
      </c>
      <c r="K213" s="28" t="inlineStr">
        <is>
          <t>2026-10-02</t>
        </is>
      </c>
      <c r="L213" s="30" t="inlineStr">
        <is>
          <t>à relire</t>
        </is>
      </c>
    </row>
    <row r="214">
      <c r="A214" s="20" t="inlineStr">
        <is>
          <t>F226</t>
        </is>
      </c>
      <c r="B214" s="5" t="inlineStr">
        <is>
          <t>Clean Harbors : marge d'EBITDA ajusté</t>
        </is>
      </c>
      <c r="C214" s="32" t="n">
        <v>19.4</v>
      </c>
      <c r="D214" s="5" t="inlineStr">
        <is>
          <t>%</t>
        </is>
      </c>
      <c r="E214" s="5" t="inlineStr">
        <is>
          <t>FY2025</t>
        </is>
      </c>
      <c r="F214" s="22" t="inlineStr">
        <is>
          <t>19.4</t>
        </is>
      </c>
      <c r="G214" s="5" t="inlineStr">
        <is>
          <t>01_Financial/clean-harbors-10-k-2025.pdf</t>
        </is>
      </c>
      <c r="H214" s="23" t="n">
        <v>38</v>
      </c>
      <c r="I214" s="5" t="inlineStr">
        <is>
          <t>4 Écart</t>
        </is>
      </c>
      <c r="J214" s="22" t="inlineStr">
        <is>
          <t>https://www.sec.gov/Archives/edgar/data/822818/000082281826000009/clh-20251231.htm</t>
        </is>
      </c>
      <c r="K214" s="22" t="inlineStr">
        <is>
          <t>2026-10-02</t>
        </is>
      </c>
      <c r="L214" s="24" t="inlineStr">
        <is>
          <t>à relire</t>
        </is>
      </c>
    </row>
    <row r="215">
      <c r="A215" s="25" t="inlineStr">
        <is>
          <t>F227</t>
        </is>
      </c>
      <c r="B215" s="26" t="inlineStr">
        <is>
          <t>Chiffre d'affaires Amériques, Asie-Pacifique, Afrique Moyen-Orient</t>
        </is>
      </c>
      <c r="C215" s="31" t="n">
        <v>5747</v>
      </c>
      <c r="D215" s="26" t="inlineStr">
        <is>
          <t>M EUR</t>
        </is>
      </c>
      <c r="E215" s="26" t="inlineStr">
        <is>
          <t>S1 2026</t>
        </is>
      </c>
      <c r="F215" s="28" t="inlineStr">
        <is>
          <t>5,747</t>
        </is>
      </c>
      <c r="G215" s="26" t="inlineStr">
        <is>
          <t>01_Financial/veolia_finance_presentation_h1_2026_results.pdf</t>
        </is>
      </c>
      <c r="H215" s="29" t="n">
        <v>19</v>
      </c>
      <c r="I215" s="26" t="inlineStr">
        <is>
          <t>4 Écart</t>
        </is>
      </c>
      <c r="J215" s="28" t="inlineStr">
        <is>
          <t>https://www.veolia.com/sites/g/files/dvc4206/files/document/2026/07/Veolia_Finance_presentation_H1_2026_results.pdf</t>
        </is>
      </c>
      <c r="K215" s="28" t="inlineStr">
        <is>
          <t>2026-09-22</t>
        </is>
      </c>
      <c r="L215" s="30" t="inlineStr">
        <is>
          <t>à relire</t>
        </is>
      </c>
    </row>
    <row r="216">
      <c r="A216" s="20" t="inlineStr">
        <is>
          <t>F228</t>
        </is>
      </c>
      <c r="B216" s="5" t="inlineStr">
        <is>
          <t>Chiffre d'affaires Europe</t>
        </is>
      </c>
      <c r="C216" s="21" t="n">
        <v>9905</v>
      </c>
      <c r="D216" s="5" t="inlineStr">
        <is>
          <t>M EUR</t>
        </is>
      </c>
      <c r="E216" s="5" t="inlineStr">
        <is>
          <t>S1 2026</t>
        </is>
      </c>
      <c r="F216" s="22" t="inlineStr">
        <is>
          <t>9,905</t>
        </is>
      </c>
      <c r="G216" s="5" t="inlineStr">
        <is>
          <t>01_Financial/veolia_finance_presentation_h1_2026_results.pdf</t>
        </is>
      </c>
      <c r="H216" s="23" t="n">
        <v>19</v>
      </c>
      <c r="I216" s="5" t="inlineStr">
        <is>
          <t>4 Écart</t>
        </is>
      </c>
      <c r="J216" s="22" t="inlineStr">
        <is>
          <t>https://www.veolia.com/sites/g/files/dvc4206/files/document/2026/07/Veolia_Finance_presentation_H1_2026_results.pdf</t>
        </is>
      </c>
      <c r="K216" s="22" t="inlineStr">
        <is>
          <t>2026-09-22</t>
        </is>
      </c>
      <c r="L216" s="24" t="inlineStr">
        <is>
          <t>à relire</t>
        </is>
      </c>
    </row>
    <row r="217">
      <c r="A217" s="25" t="inlineStr">
        <is>
          <t>F229</t>
        </is>
      </c>
      <c r="B217" s="26" t="inlineStr">
        <is>
          <t>Boosters : chiffre d'affaires</t>
        </is>
      </c>
      <c r="C217" s="31" t="n">
        <v>6201</v>
      </c>
      <c r="D217" s="26" t="inlineStr">
        <is>
          <t>M EUR</t>
        </is>
      </c>
      <c r="E217" s="26" t="inlineStr">
        <is>
          <t>S1 2026</t>
        </is>
      </c>
      <c r="F217" s="28" t="inlineStr">
        <is>
          <t>6,201</t>
        </is>
      </c>
      <c r="G217" s="26" t="inlineStr">
        <is>
          <t>01_Financial/veolia_finance_presentation_h1_2026_results.pdf</t>
        </is>
      </c>
      <c r="H217" s="29" t="n">
        <v>10</v>
      </c>
      <c r="I217" s="26" t="inlineStr">
        <is>
          <t>4 Écart</t>
        </is>
      </c>
      <c r="J217" s="28" t="inlineStr">
        <is>
          <t>https://www.veolia.com/sites/g/files/dvc4206/files/document/2026/07/Veolia_Finance_presentation_H1_2026_results.pdf</t>
        </is>
      </c>
      <c r="K217" s="28" t="inlineStr">
        <is>
          <t>2026-09-22</t>
        </is>
      </c>
      <c r="L217" s="30" t="inlineStr">
        <is>
          <t>à relire</t>
        </is>
      </c>
    </row>
    <row r="218">
      <c r="A218" s="20" t="inlineStr">
        <is>
          <t>F230</t>
        </is>
      </c>
      <c r="B218" s="5" t="inlineStr">
        <is>
          <t>Boosters : croissance organique du chiffre d'affaires</t>
        </is>
      </c>
      <c r="C218" s="32" t="n">
        <v>4.1</v>
      </c>
      <c r="D218" s="5" t="inlineStr">
        <is>
          <t>%</t>
        </is>
      </c>
      <c r="E218" s="5" t="inlineStr">
        <is>
          <t>S1 2026</t>
        </is>
      </c>
      <c r="F218" s="22" t="inlineStr">
        <is>
          <t>+4.1</t>
        </is>
      </c>
      <c r="G218" s="5" t="inlineStr">
        <is>
          <t>01_Financial/veolia_finance_presentation_h1_2026_results.pdf</t>
        </is>
      </c>
      <c r="H218" s="23" t="n">
        <v>10</v>
      </c>
      <c r="I218" s="5" t="inlineStr">
        <is>
          <t>4 Écart</t>
        </is>
      </c>
      <c r="J218" s="22" t="inlineStr">
        <is>
          <t>https://www.veolia.com/sites/g/files/dvc4206/files/document/2026/07/Veolia_Finance_presentation_H1_2026_results.pdf</t>
        </is>
      </c>
      <c r="K218" s="22" t="inlineStr">
        <is>
          <t>2026-09-22</t>
        </is>
      </c>
      <c r="L218" s="24" t="inlineStr">
        <is>
          <t>à relire</t>
        </is>
      </c>
    </row>
    <row r="219">
      <c r="A219" s="25" t="inlineStr">
        <is>
          <t>F231</t>
        </is>
      </c>
      <c r="B219" s="26" t="inlineStr">
        <is>
          <t>Boosters : EBITDA</t>
        </is>
      </c>
      <c r="C219" s="31" t="n">
        <v>797</v>
      </c>
      <c r="D219" s="26" t="inlineStr">
        <is>
          <t>M EUR</t>
        </is>
      </c>
      <c r="E219" s="26" t="inlineStr">
        <is>
          <t>S1 2026</t>
        </is>
      </c>
      <c r="F219" s="28" t="inlineStr">
        <is>
          <t>797</t>
        </is>
      </c>
      <c r="G219" s="26" t="inlineStr">
        <is>
          <t>01_Financial/veolia_finance_presentation_h1_2026_results.pdf</t>
        </is>
      </c>
      <c r="H219" s="29" t="n">
        <v>10</v>
      </c>
      <c r="I219" s="26" t="inlineStr">
        <is>
          <t>4 Écart</t>
        </is>
      </c>
      <c r="J219" s="28" t="inlineStr">
        <is>
          <t>https://www.veolia.com/sites/g/files/dvc4206/files/document/2026/07/Veolia_Finance_presentation_H1_2026_results.pdf</t>
        </is>
      </c>
      <c r="K219" s="28" t="inlineStr">
        <is>
          <t>2026-09-22</t>
        </is>
      </c>
      <c r="L219" s="30" t="inlineStr">
        <is>
          <t>à relire</t>
        </is>
      </c>
    </row>
    <row r="220">
      <c r="A220" s="20" t="inlineStr">
        <is>
          <t>F232</t>
        </is>
      </c>
      <c r="B220" s="5" t="inlineStr">
        <is>
          <t>Boosters : croissance organique de l'EBITDA</t>
        </is>
      </c>
      <c r="C220" s="32" t="n">
        <v>6.2</v>
      </c>
      <c r="D220" s="5" t="inlineStr">
        <is>
          <t>%</t>
        </is>
      </c>
      <c r="E220" s="5" t="inlineStr">
        <is>
          <t>S1 2026</t>
        </is>
      </c>
      <c r="F220" s="22" t="inlineStr">
        <is>
          <t>+6.2</t>
        </is>
      </c>
      <c r="G220" s="5" t="inlineStr">
        <is>
          <t>01_Financial/veolia_finance_presentation_h1_2026_results.pdf</t>
        </is>
      </c>
      <c r="H220" s="23" t="n">
        <v>10</v>
      </c>
      <c r="I220" s="5" t="inlineStr">
        <is>
          <t>4 Écart</t>
        </is>
      </c>
      <c r="J220" s="22" t="inlineStr">
        <is>
          <t>https://www.veolia.com/sites/g/files/dvc4206/files/document/2026/07/Veolia_Finance_presentation_H1_2026_results.pdf</t>
        </is>
      </c>
      <c r="K220" s="22" t="inlineStr">
        <is>
          <t>2026-09-22</t>
        </is>
      </c>
      <c r="L220" s="24" t="inlineStr">
        <is>
          <t>à relire</t>
        </is>
      </c>
    </row>
    <row r="221">
      <c r="A221" s="25" t="inlineStr">
        <is>
          <t>F233</t>
        </is>
      </c>
      <c r="B221" s="26" t="inlineStr">
        <is>
          <t>Bioénergie, flexibilité, efficacité énergétique : chiffre d'affaires</t>
        </is>
      </c>
      <c r="C221" s="31" t="n">
        <v>1759</v>
      </c>
      <c r="D221" s="26" t="inlineStr">
        <is>
          <t>M EUR</t>
        </is>
      </c>
      <c r="E221" s="26" t="inlineStr">
        <is>
          <t>S1 2026</t>
        </is>
      </c>
      <c r="F221" s="28" t="inlineStr">
        <is>
          <t>1,759</t>
        </is>
      </c>
      <c r="G221" s="26" t="inlineStr">
        <is>
          <t>01_Financial/veolia_finance_presentation_h1_2026_results.pdf</t>
        </is>
      </c>
      <c r="H221" s="29" t="n">
        <v>22</v>
      </c>
      <c r="I221" s="26" t="inlineStr">
        <is>
          <t>4 Écart</t>
        </is>
      </c>
      <c r="J221" s="28" t="inlineStr">
        <is>
          <t>https://www.veolia.com/sites/g/files/dvc4206/files/document/2026/07/Veolia_Finance_presentation_H1_2026_results.pdf</t>
        </is>
      </c>
      <c r="K221" s="28" t="inlineStr">
        <is>
          <t>2026-09-22</t>
        </is>
      </c>
      <c r="L221" s="30" t="inlineStr">
        <is>
          <t>à relire</t>
        </is>
      </c>
    </row>
    <row r="222">
      <c r="A222" s="20" t="inlineStr">
        <is>
          <t>F234</t>
        </is>
      </c>
      <c r="B222" s="5" t="inlineStr">
        <is>
          <t>Bioénergie, flexibilité, efficacité énergétique : croissance organique de l'EBITDA</t>
        </is>
      </c>
      <c r="C222" s="32" t="n">
        <v>11.3</v>
      </c>
      <c r="D222" s="5" t="inlineStr">
        <is>
          <t>%</t>
        </is>
      </c>
      <c r="E222" s="5" t="inlineStr">
        <is>
          <t>S1 2026</t>
        </is>
      </c>
      <c r="F222" s="22" t="inlineStr">
        <is>
          <t>+11.3</t>
        </is>
      </c>
      <c r="G222" s="5" t="inlineStr">
        <is>
          <t>01_Financial/veolia_finance_presentation_h1_2026_results.pdf</t>
        </is>
      </c>
      <c r="H222" s="23" t="n">
        <v>22</v>
      </c>
      <c r="I222" s="5" t="inlineStr">
        <is>
          <t>4 Écart</t>
        </is>
      </c>
      <c r="J222" s="22" t="inlineStr">
        <is>
          <t>https://www.veolia.com/sites/g/files/dvc4206/files/document/2026/07/Veolia_Finance_presentation_H1_2026_results.pdf</t>
        </is>
      </c>
      <c r="K222" s="22" t="inlineStr">
        <is>
          <t>2026-09-22</t>
        </is>
      </c>
      <c r="L222" s="24" t="inlineStr">
        <is>
          <t>à relire</t>
        </is>
      </c>
    </row>
    <row r="223">
      <c r="A223" s="25" t="inlineStr">
        <is>
          <t>F235</t>
        </is>
      </c>
      <c r="B223" s="26" t="inlineStr">
        <is>
          <t>GreenUp : chiffre d'affaires bioénergie, flexibilité, efficacité énergétique (base)</t>
        </is>
      </c>
      <c r="C223" s="31" t="n">
        <v>3</v>
      </c>
      <c r="D223" s="26" t="inlineStr">
        <is>
          <t>Md EUR</t>
        </is>
      </c>
      <c r="E223" s="26" t="inlineStr">
        <is>
          <t>2023</t>
        </is>
      </c>
      <c r="F223" s="28" t="inlineStr">
        <is>
          <t>3</t>
        </is>
      </c>
      <c r="G223" s="26" t="inlineStr">
        <is>
          <t>01_Financial/en_master_greenup_strategy-day_v270324.pdf</t>
        </is>
      </c>
      <c r="H223" s="29" t="n">
        <v>17</v>
      </c>
      <c r="I223" s="26" t="inlineStr">
        <is>
          <t>4 Écart</t>
        </is>
      </c>
      <c r="J223" s="28" t="inlineStr">
        <is>
          <t>https://www.veolia.com/sites/g/files/dvc4206/files/document/2024/03/EN_Master_GreenUp_Strategy%20day_V270324.pdf</t>
        </is>
      </c>
      <c r="K223" s="28" t="inlineStr">
        <is>
          <t>2026-09-22</t>
        </is>
      </c>
      <c r="L223" s="30" t="inlineStr">
        <is>
          <t>à relire</t>
        </is>
      </c>
    </row>
    <row r="224">
      <c r="A224" s="20" t="inlineStr">
        <is>
          <t>F236</t>
        </is>
      </c>
      <c r="B224" s="5" t="inlineStr">
        <is>
          <t>GreenUp : ambition de chiffre d'affaires bioénergie, flexibilité, efficacité énergétique</t>
        </is>
      </c>
      <c r="C224" s="32" t="n">
        <v>4.9</v>
      </c>
      <c r="D224" s="5" t="inlineStr">
        <is>
          <t>Md EUR</t>
        </is>
      </c>
      <c r="E224" s="5" t="inlineStr">
        <is>
          <t>2027</t>
        </is>
      </c>
      <c r="F224" s="22" t="inlineStr">
        <is>
          <t>4.9</t>
        </is>
      </c>
      <c r="G224" s="5" t="inlineStr">
        <is>
          <t>01_Financial/en_master_greenup_strategy-day_v270324.pdf</t>
        </is>
      </c>
      <c r="H224" s="23" t="n">
        <v>17</v>
      </c>
      <c r="I224" s="5" t="inlineStr">
        <is>
          <t>4 Écart</t>
        </is>
      </c>
      <c r="J224" s="22" t="inlineStr">
        <is>
          <t>https://www.veolia.com/sites/g/files/dvc4206/files/document/2024/03/EN_Master_GreenUp_Strategy%20day_V270324.pdf</t>
        </is>
      </c>
      <c r="K224" s="22" t="inlineStr">
        <is>
          <t>2026-09-22</t>
        </is>
      </c>
      <c r="L224" s="24" t="inlineStr">
        <is>
          <t>à relire</t>
        </is>
      </c>
    </row>
    <row r="225">
      <c r="A225" s="25" t="inlineStr">
        <is>
          <t>F237</t>
        </is>
      </c>
      <c r="B225" s="26" t="inlineStr">
        <is>
          <t>Clean Harbors : passifs de fermeture et post-fermeture</t>
        </is>
      </c>
      <c r="C225" s="31" t="n">
        <v>135328</v>
      </c>
      <c r="D225" s="26" t="inlineStr">
        <is>
          <t>k USD</t>
        </is>
      </c>
      <c r="E225" s="26" t="inlineStr">
        <is>
          <t>31/12/2025</t>
        </is>
      </c>
      <c r="F225" s="28" t="inlineStr">
        <is>
          <t>135,328</t>
        </is>
      </c>
      <c r="G225" s="26" t="inlineStr">
        <is>
          <t>01_Financial/clean-harbors-10-k-2025.pdf</t>
        </is>
      </c>
      <c r="H225" s="29" t="n">
        <v>43</v>
      </c>
      <c r="I225" s="26" t="inlineStr">
        <is>
          <t>5 ESG</t>
        </is>
      </c>
      <c r="J225" s="28" t="inlineStr">
        <is>
          <t>https://www.sec.gov/Archives/edgar/data/822818/000082281826000009/clh-20251231.htm</t>
        </is>
      </c>
      <c r="K225" s="28" t="inlineStr">
        <is>
          <t>2026-10-02</t>
        </is>
      </c>
      <c r="L225" s="30" t="inlineStr">
        <is>
          <t>à relire</t>
        </is>
      </c>
    </row>
    <row r="226">
      <c r="A226" s="20" t="inlineStr">
        <is>
          <t>F238</t>
        </is>
      </c>
      <c r="B226" s="5" t="inlineStr">
        <is>
          <t>Clean Harbors : passifs de dépollution (remedial)</t>
        </is>
      </c>
      <c r="C226" s="21" t="n">
        <v>95369</v>
      </c>
      <c r="D226" s="5" t="inlineStr">
        <is>
          <t>k USD</t>
        </is>
      </c>
      <c r="E226" s="5" t="inlineStr">
        <is>
          <t>31/12/2025</t>
        </is>
      </c>
      <c r="F226" s="22" t="inlineStr">
        <is>
          <t>95,369</t>
        </is>
      </c>
      <c r="G226" s="5" t="inlineStr">
        <is>
          <t>01_Financial/clean-harbors-10-k-2025.pdf</t>
        </is>
      </c>
      <c r="H226" s="23" t="n">
        <v>43</v>
      </c>
      <c r="I226" s="5" t="inlineStr">
        <is>
          <t>5 ESG</t>
        </is>
      </c>
      <c r="J226" s="22" t="inlineStr">
        <is>
          <t>https://www.sec.gov/Archives/edgar/data/822818/000082281826000009/clh-20251231.htm</t>
        </is>
      </c>
      <c r="K226" s="22" t="inlineStr">
        <is>
          <t>2026-10-02</t>
        </is>
      </c>
      <c r="L226" s="24" t="inlineStr">
        <is>
          <t>à relire</t>
        </is>
      </c>
    </row>
    <row r="227">
      <c r="A227" s="25" t="inlineStr">
        <is>
          <t>F239</t>
        </is>
      </c>
      <c r="B227" s="26" t="inlineStr">
        <is>
          <t>Clean Harbors : passifs environnementaux totaux</t>
        </is>
      </c>
      <c r="C227" s="31" t="n">
        <v>230697</v>
      </c>
      <c r="D227" s="26" t="inlineStr">
        <is>
          <t>k USD</t>
        </is>
      </c>
      <c r="E227" s="26" t="inlineStr">
        <is>
          <t>31/12/2025</t>
        </is>
      </c>
      <c r="F227" s="28" t="inlineStr">
        <is>
          <t>230,697</t>
        </is>
      </c>
      <c r="G227" s="26" t="inlineStr">
        <is>
          <t>01_Financial/clean-harbors-10-k-2025.pdf</t>
        </is>
      </c>
      <c r="H227" s="29" t="n">
        <v>43</v>
      </c>
      <c r="I227" s="26" t="inlineStr">
        <is>
          <t>5 ESG</t>
        </is>
      </c>
      <c r="J227" s="28" t="inlineStr">
        <is>
          <t>https://www.sec.gov/Archives/edgar/data/822818/000082281826000009/clh-20251231.htm</t>
        </is>
      </c>
      <c r="K227" s="28" t="inlineStr">
        <is>
          <t>2026-10-02</t>
        </is>
      </c>
      <c r="L227" s="30" t="inlineStr">
        <is>
          <t>à relire</t>
        </is>
      </c>
    </row>
    <row r="228">
      <c r="A228" s="20" t="inlineStr">
        <is>
          <t>F240</t>
        </is>
      </c>
      <c r="B228" s="5" t="inlineStr">
        <is>
          <t>Clean Harbors : trésorerie</t>
        </is>
      </c>
      <c r="C228" s="21" t="n">
        <v>826315</v>
      </c>
      <c r="D228" s="5" t="inlineStr">
        <is>
          <t>k USD</t>
        </is>
      </c>
      <c r="E228" s="5" t="inlineStr">
        <is>
          <t>31/12/2025</t>
        </is>
      </c>
      <c r="F228" s="22" t="inlineStr">
        <is>
          <t>826,315</t>
        </is>
      </c>
      <c r="G228" s="5" t="inlineStr">
        <is>
          <t>01_Financial/clean-harbors-10-k-2025.pdf</t>
        </is>
      </c>
      <c r="H228" s="23" t="n">
        <v>53</v>
      </c>
      <c r="I228" s="5" t="inlineStr">
        <is>
          <t>4 Écart</t>
        </is>
      </c>
      <c r="J228" s="22" t="inlineStr">
        <is>
          <t>https://www.sec.gov/Archives/edgar/data/822818/000082281826000009/clh-20251231.htm</t>
        </is>
      </c>
      <c r="K228" s="22" t="inlineStr">
        <is>
          <t>2026-10-02</t>
        </is>
      </c>
      <c r="L228" s="24" t="inlineStr">
        <is>
          <t>à relire</t>
        </is>
      </c>
    </row>
    <row r="229">
      <c r="A229" s="25" t="inlineStr">
        <is>
          <t>F241</t>
        </is>
      </c>
      <c r="B229" s="26" t="inlineStr">
        <is>
          <t>Clean Harbors : titres de placement court terme</t>
        </is>
      </c>
      <c r="C229" s="31" t="n">
        <v>127363</v>
      </c>
      <c r="D229" s="26" t="inlineStr">
        <is>
          <t>k USD</t>
        </is>
      </c>
      <c r="E229" s="26" t="inlineStr">
        <is>
          <t>31/12/2025</t>
        </is>
      </c>
      <c r="F229" s="28" t="inlineStr">
        <is>
          <t>127,363</t>
        </is>
      </c>
      <c r="G229" s="26" t="inlineStr">
        <is>
          <t>01_Financial/clean-harbors-10-k-2025.pdf</t>
        </is>
      </c>
      <c r="H229" s="29" t="n">
        <v>53</v>
      </c>
      <c r="I229" s="26" t="inlineStr">
        <is>
          <t>4 Écart</t>
        </is>
      </c>
      <c r="J229" s="28" t="inlineStr">
        <is>
          <t>https://www.sec.gov/Archives/edgar/data/822818/000082281826000009/clh-20251231.htm</t>
        </is>
      </c>
      <c r="K229" s="28" t="inlineStr">
        <is>
          <t>2026-10-02</t>
        </is>
      </c>
      <c r="L229" s="30" t="inlineStr">
        <is>
          <t>à relire</t>
        </is>
      </c>
    </row>
    <row r="230">
      <c r="A230" s="20" t="inlineStr">
        <is>
          <t>F242</t>
        </is>
      </c>
      <c r="B230" s="5" t="inlineStr">
        <is>
          <t>Clean Harbors : dette long terme hors part courante</t>
        </is>
      </c>
      <c r="C230" s="21" t="n">
        <v>2763563</v>
      </c>
      <c r="D230" s="5" t="inlineStr">
        <is>
          <t>k USD</t>
        </is>
      </c>
      <c r="E230" s="5" t="inlineStr">
        <is>
          <t>31/12/2025</t>
        </is>
      </c>
      <c r="F230" s="22" t="inlineStr">
        <is>
          <t>2,763,563</t>
        </is>
      </c>
      <c r="G230" s="5" t="inlineStr">
        <is>
          <t>01_Financial/clean-harbors-10-k-2025.pdf</t>
        </is>
      </c>
      <c r="H230" s="23" t="n">
        <v>53</v>
      </c>
      <c r="I230" s="5" t="inlineStr">
        <is>
          <t>4 Écart</t>
        </is>
      </c>
      <c r="J230" s="22" t="inlineStr">
        <is>
          <t>https://www.sec.gov/Archives/edgar/data/822818/000082281826000009/clh-20251231.htm</t>
        </is>
      </c>
      <c r="K230" s="22" t="inlineStr">
        <is>
          <t>2026-10-02</t>
        </is>
      </c>
      <c r="L230" s="24" t="inlineStr">
        <is>
          <t>à relire</t>
        </is>
      </c>
    </row>
    <row r="231">
      <c r="A231" s="25" t="inlineStr">
        <is>
          <t>F243</t>
        </is>
      </c>
      <c r="B231" s="26" t="inlineStr">
        <is>
          <t>Clean Harbors : part courante de la dette long terme</t>
        </is>
      </c>
      <c r="C231" s="31" t="n">
        <v>12600</v>
      </c>
      <c r="D231" s="26" t="inlineStr">
        <is>
          <t>k USD</t>
        </is>
      </c>
      <c r="E231" s="26" t="inlineStr">
        <is>
          <t>31/12/2025</t>
        </is>
      </c>
      <c r="F231" s="28" t="inlineStr">
        <is>
          <t>12,600</t>
        </is>
      </c>
      <c r="G231" s="26" t="inlineStr">
        <is>
          <t>01_Financial/clean-harbors-10-k-2025.pdf</t>
        </is>
      </c>
      <c r="H231" s="29" t="n">
        <v>53</v>
      </c>
      <c r="I231" s="26" t="inlineStr">
        <is>
          <t>4 Écart</t>
        </is>
      </c>
      <c r="J231" s="28" t="inlineStr">
        <is>
          <t>https://www.sec.gov/Archives/edgar/data/822818/000082281826000009/clh-20251231.htm</t>
        </is>
      </c>
      <c r="K231" s="28" t="inlineStr">
        <is>
          <t>2026-10-02</t>
        </is>
      </c>
      <c r="L231" s="30" t="inlineStr">
        <is>
          <t>à relire</t>
        </is>
      </c>
    </row>
    <row r="232">
      <c r="A232" s="20" t="inlineStr">
        <is>
          <t>F244</t>
        </is>
      </c>
      <c r="B232" s="5" t="inlineStr">
        <is>
          <t>Moody's : FFO / dette nette ajustée prévu</t>
        </is>
      </c>
      <c r="C232" s="32" t="n">
        <v>18.5</v>
      </c>
      <c r="D232" s="5" t="inlineStr">
        <is>
          <t>%</t>
        </is>
      </c>
      <c r="E232" s="5" t="inlineStr">
        <is>
          <t>2026F</t>
        </is>
      </c>
      <c r="F232" s="22" t="inlineStr">
        <is>
          <t>18.5</t>
        </is>
      </c>
      <c r="G232" s="5" t="inlineStr">
        <is>
          <t>01_Financial/credit_opinion-veolia-environnement-sa-04may2026.pdf</t>
        </is>
      </c>
      <c r="H232" s="23" t="n">
        <v>2</v>
      </c>
      <c r="I232" s="5" t="inlineStr">
        <is>
          <t>2 Contrainte</t>
        </is>
      </c>
      <c r="J232" s="22" t="inlineStr">
        <is>
          <t>https://www.veolia.com/sites/g/files/dvc4206/files/document/2026/05/Credit_Opinion-Veolia-Environnement-SA-04May2026.pdf</t>
        </is>
      </c>
      <c r="K232" s="22" t="inlineStr">
        <is>
          <t>2026-10-02</t>
        </is>
      </c>
      <c r="L232" s="24" t="inlineStr">
        <is>
          <t>à relire</t>
        </is>
      </c>
    </row>
    <row r="233">
      <c r="A233" s="25" t="inlineStr">
        <is>
          <t>F245</t>
        </is>
      </c>
      <c r="B233" s="26" t="inlineStr">
        <is>
          <t>Moody's : FFO / dette nette ajustée prévu</t>
        </is>
      </c>
      <c r="C233" s="27" t="n">
        <v>19.5</v>
      </c>
      <c r="D233" s="26" t="inlineStr">
        <is>
          <t>%</t>
        </is>
      </c>
      <c r="E233" s="26" t="inlineStr">
        <is>
          <t>2027F</t>
        </is>
      </c>
      <c r="F233" s="28" t="inlineStr">
        <is>
          <t>19.5</t>
        </is>
      </c>
      <c r="G233" s="26" t="inlineStr">
        <is>
          <t>01_Financial/credit_opinion-veolia-environnement-sa-04may2026.pdf</t>
        </is>
      </c>
      <c r="H233" s="29" t="n">
        <v>2</v>
      </c>
      <c r="I233" s="26" t="inlineStr">
        <is>
          <t>2 Contrainte</t>
        </is>
      </c>
      <c r="J233" s="28" t="inlineStr">
        <is>
          <t>https://www.veolia.com/sites/g/files/dvc4206/files/document/2026/05/Credit_Opinion-Veolia-Environnement-SA-04May2026.pdf</t>
        </is>
      </c>
      <c r="K233" s="28" t="inlineStr">
        <is>
          <t>2026-10-02</t>
        </is>
      </c>
      <c r="L233" s="30" t="inlineStr">
        <is>
          <t>à relire</t>
        </is>
      </c>
    </row>
    <row r="234">
      <c r="A234" s="20" t="inlineStr">
        <is>
          <t>F246</t>
        </is>
      </c>
      <c r="B234" s="5" t="inlineStr">
        <is>
          <t>Moody's : RCF / dette nette ajustée prévu</t>
        </is>
      </c>
      <c r="C234" s="32" t="n">
        <v>13.5</v>
      </c>
      <c r="D234" s="5" t="inlineStr">
        <is>
          <t>%</t>
        </is>
      </c>
      <c r="E234" s="5" t="inlineStr">
        <is>
          <t>2026F</t>
        </is>
      </c>
      <c r="F234" s="22" t="inlineStr">
        <is>
          <t>13.5</t>
        </is>
      </c>
      <c r="G234" s="5" t="inlineStr">
        <is>
          <t>01_Financial/credit_opinion-veolia-environnement-sa-04may2026.pdf</t>
        </is>
      </c>
      <c r="H234" s="23" t="n">
        <v>2</v>
      </c>
      <c r="I234" s="5" t="inlineStr">
        <is>
          <t>2 Contrainte</t>
        </is>
      </c>
      <c r="J234" s="22" t="inlineStr">
        <is>
          <t>https://www.veolia.com/sites/g/files/dvc4206/files/document/2026/05/Credit_Opinion-Veolia-Environnement-SA-04May2026.pdf</t>
        </is>
      </c>
      <c r="K234" s="22" t="inlineStr">
        <is>
          <t>2026-10-02</t>
        </is>
      </c>
      <c r="L234" s="24" t="inlineStr">
        <is>
          <t>à relire</t>
        </is>
      </c>
    </row>
    <row r="235">
      <c r="A235" s="25" t="inlineStr">
        <is>
          <t>F247</t>
        </is>
      </c>
      <c r="B235" s="26" t="inlineStr">
        <is>
          <t>Moody's : RCF / dette nette ajustée prévu</t>
        </is>
      </c>
      <c r="C235" s="27" t="n">
        <v>14.5</v>
      </c>
      <c r="D235" s="26" t="inlineStr">
        <is>
          <t>%</t>
        </is>
      </c>
      <c r="E235" s="26" t="inlineStr">
        <is>
          <t>2027F</t>
        </is>
      </c>
      <c r="F235" s="28" t="inlineStr">
        <is>
          <t>14.5</t>
        </is>
      </c>
      <c r="G235" s="26" t="inlineStr">
        <is>
          <t>01_Financial/credit_opinion-veolia-environnement-sa-04may2026.pdf</t>
        </is>
      </c>
      <c r="H235" s="29" t="n">
        <v>2</v>
      </c>
      <c r="I235" s="26" t="inlineStr">
        <is>
          <t>2 Contrainte</t>
        </is>
      </c>
      <c r="J235" s="28" t="inlineStr">
        <is>
          <t>https://www.veolia.com/sites/g/files/dvc4206/files/document/2026/05/Credit_Opinion-Veolia-Environnement-SA-04May2026.pdf</t>
        </is>
      </c>
      <c r="K235" s="28" t="inlineStr">
        <is>
          <t>2026-10-02</t>
        </is>
      </c>
      <c r="L235" s="30" t="inlineStr">
        <is>
          <t>à relire</t>
        </is>
      </c>
    </row>
    <row r="236">
      <c r="A236" s="20" t="inlineStr">
        <is>
          <t>F248</t>
        </is>
      </c>
      <c r="B236" s="5" t="inlineStr">
        <is>
          <t>Moody's : (FFO + intérêts) / intérêts</t>
        </is>
      </c>
      <c r="C236" s="32" t="n">
        <v>5.4</v>
      </c>
      <c r="D236" s="5" t="inlineStr">
        <is>
          <t>x</t>
        </is>
      </c>
      <c r="E236" s="5" t="inlineStr">
        <is>
          <t>FY2025</t>
        </is>
      </c>
      <c r="F236" s="22" t="inlineStr">
        <is>
          <t>5.4</t>
        </is>
      </c>
      <c r="G236" s="5" t="inlineStr">
        <is>
          <t>01_Financial/credit_opinion-veolia-environnement-sa-04may2026.pdf</t>
        </is>
      </c>
      <c r="H236" s="23" t="n">
        <v>2</v>
      </c>
      <c r="I236" s="5" t="inlineStr">
        <is>
          <t>2 Contrainte</t>
        </is>
      </c>
      <c r="J236" s="22" t="inlineStr">
        <is>
          <t>https://www.veolia.com/sites/g/files/dvc4206/files/document/2026/05/Credit_Opinion-Veolia-Environnement-SA-04May2026.pdf</t>
        </is>
      </c>
      <c r="K236" s="22" t="inlineStr">
        <is>
          <t>2026-10-02</t>
        </is>
      </c>
      <c r="L236" s="24" t="inlineStr">
        <is>
          <t>à relire</t>
        </is>
      </c>
    </row>
    <row r="237">
      <c r="A237" s="25" t="inlineStr">
        <is>
          <t>F249</t>
        </is>
      </c>
      <c r="B237" s="26" t="inlineStr">
        <is>
          <t>Moody's : dette brute publiée (as reported debt)</t>
        </is>
      </c>
      <c r="C237" s="31" t="n">
        <v>29518</v>
      </c>
      <c r="D237" s="26" t="inlineStr">
        <is>
          <t>M EUR</t>
        </is>
      </c>
      <c r="E237" s="26" t="inlineStr">
        <is>
          <t>FY2025</t>
        </is>
      </c>
      <c r="F237" s="28" t="inlineStr">
        <is>
          <t>29,518.0</t>
        </is>
      </c>
      <c r="G237" s="26" t="inlineStr">
        <is>
          <t>01_Financial/credit_opinion-veolia-environnement-sa-04may2026.pdf</t>
        </is>
      </c>
      <c r="H237" s="29" t="n">
        <v>11</v>
      </c>
      <c r="I237" s="26" t="inlineStr">
        <is>
          <t>2 Contrainte</t>
        </is>
      </c>
      <c r="J237" s="28" t="inlineStr">
        <is>
          <t>https://www.veolia.com/sites/g/files/dvc4206/files/document/2026/05/Credit_Opinion-Veolia-Environnement-SA-04May2026.pdf</t>
        </is>
      </c>
      <c r="K237" s="28" t="inlineStr">
        <is>
          <t>2026-10-02</t>
        </is>
      </c>
      <c r="L237" s="30" t="inlineStr">
        <is>
          <t>à relire</t>
        </is>
      </c>
    </row>
    <row r="238">
      <c r="A238" s="20" t="inlineStr">
        <is>
          <t>F250</t>
        </is>
      </c>
      <c r="B238" s="5" t="inlineStr">
        <is>
          <t>Moody's : ajustement pensions</t>
        </is>
      </c>
      <c r="C238" s="21" t="n">
        <v>647</v>
      </c>
      <c r="D238" s="5" t="inlineStr">
        <is>
          <t>M EUR</t>
        </is>
      </c>
      <c r="E238" s="5" t="inlineStr">
        <is>
          <t>FY2025</t>
        </is>
      </c>
      <c r="F238" s="22" t="inlineStr">
        <is>
          <t>647.0</t>
        </is>
      </c>
      <c r="G238" s="5" t="inlineStr">
        <is>
          <t>01_Financial/credit_opinion-veolia-environnement-sa-04may2026.pdf</t>
        </is>
      </c>
      <c r="H238" s="23" t="n">
        <v>11</v>
      </c>
      <c r="I238" s="5" t="inlineStr">
        <is>
          <t>2 Contrainte</t>
        </is>
      </c>
      <c r="J238" s="22" t="inlineStr">
        <is>
          <t>https://www.veolia.com/sites/g/files/dvc4206/files/document/2026/05/Credit_Opinion-Veolia-Environnement-SA-04May2026.pdf</t>
        </is>
      </c>
      <c r="K238" s="22" t="inlineStr">
        <is>
          <t>2026-10-02</t>
        </is>
      </c>
      <c r="L238" s="24" t="inlineStr">
        <is>
          <t>à relire</t>
        </is>
      </c>
    </row>
    <row r="239">
      <c r="A239" s="25" t="inlineStr">
        <is>
          <t>F251</t>
        </is>
      </c>
      <c r="B239" s="26" t="inlineStr">
        <is>
          <t>Moody's : ajustement titres hybrides (50 % en dette)</t>
        </is>
      </c>
      <c r="C239" s="31" t="n">
        <v>2050</v>
      </c>
      <c r="D239" s="26" t="inlineStr">
        <is>
          <t>M EUR</t>
        </is>
      </c>
      <c r="E239" s="26" t="inlineStr">
        <is>
          <t>FY2025</t>
        </is>
      </c>
      <c r="F239" s="28" t="inlineStr">
        <is>
          <t>2,050.0</t>
        </is>
      </c>
      <c r="G239" s="26" t="inlineStr">
        <is>
          <t>01_Financial/credit_opinion-veolia-environnement-sa-04may2026.pdf</t>
        </is>
      </c>
      <c r="H239" s="29" t="n">
        <v>11</v>
      </c>
      <c r="I239" s="26" t="inlineStr">
        <is>
          <t>2 Contrainte</t>
        </is>
      </c>
      <c r="J239" s="28" t="inlineStr">
        <is>
          <t>https://www.veolia.com/sites/g/files/dvc4206/files/document/2026/05/Credit_Opinion-Veolia-Environnement-SA-04May2026.pdf</t>
        </is>
      </c>
      <c r="K239" s="28" t="inlineStr">
        <is>
          <t>2026-10-02</t>
        </is>
      </c>
      <c r="L239" s="30" t="inlineStr">
        <is>
          <t>à relire</t>
        </is>
      </c>
    </row>
    <row r="240">
      <c r="A240" s="20" t="inlineStr">
        <is>
          <t>F252</t>
        </is>
      </c>
      <c r="B240" s="5" t="inlineStr">
        <is>
          <t>Moody's : ajustement titrisation</t>
        </is>
      </c>
      <c r="C240" s="21" t="n">
        <v>1014</v>
      </c>
      <c r="D240" s="5" t="inlineStr">
        <is>
          <t>M EUR</t>
        </is>
      </c>
      <c r="E240" s="5" t="inlineStr">
        <is>
          <t>FY2025</t>
        </is>
      </c>
      <c r="F240" s="22" t="inlineStr">
        <is>
          <t>1,014.0</t>
        </is>
      </c>
      <c r="G240" s="5" t="inlineStr">
        <is>
          <t>01_Financial/credit_opinion-veolia-environnement-sa-04may2026.pdf</t>
        </is>
      </c>
      <c r="H240" s="23" t="n">
        <v>11</v>
      </c>
      <c r="I240" s="5" t="inlineStr">
        <is>
          <t>2 Contrainte</t>
        </is>
      </c>
      <c r="J240" s="22" t="inlineStr">
        <is>
          <t>https://www.veolia.com/sites/g/files/dvc4206/files/document/2026/05/Credit_Opinion-Veolia-Environnement-SA-04May2026.pdf</t>
        </is>
      </c>
      <c r="K240" s="22" t="inlineStr">
        <is>
          <t>2026-10-02</t>
        </is>
      </c>
      <c r="L240" s="24" t="inlineStr">
        <is>
          <t>à relire</t>
        </is>
      </c>
    </row>
    <row r="241">
      <c r="A241" s="25" t="inlineStr">
        <is>
          <t>F253</t>
        </is>
      </c>
      <c r="B241" s="26" t="inlineStr">
        <is>
          <t>Moody's : ajustements non standard</t>
        </is>
      </c>
      <c r="C241" s="31" t="n">
        <v>1650</v>
      </c>
      <c r="D241" s="26" t="inlineStr">
        <is>
          <t>M EUR</t>
        </is>
      </c>
      <c r="E241" s="26" t="inlineStr">
        <is>
          <t>FY2025</t>
        </is>
      </c>
      <c r="F241" s="28" t="inlineStr">
        <is>
          <t>1,650.0</t>
        </is>
      </c>
      <c r="G241" s="26" t="inlineStr">
        <is>
          <t>01_Financial/credit_opinion-veolia-environnement-sa-04may2026.pdf</t>
        </is>
      </c>
      <c r="H241" s="29" t="n">
        <v>11</v>
      </c>
      <c r="I241" s="26" t="inlineStr">
        <is>
          <t>2 Contrainte</t>
        </is>
      </c>
      <c r="J241" s="28" t="inlineStr">
        <is>
          <t>https://www.veolia.com/sites/g/files/dvc4206/files/document/2026/05/Credit_Opinion-Veolia-Environnement-SA-04May2026.pdf</t>
        </is>
      </c>
      <c r="K241" s="28" t="inlineStr">
        <is>
          <t>2026-10-02</t>
        </is>
      </c>
      <c r="L241" s="30" t="inlineStr">
        <is>
          <t>à relire</t>
        </is>
      </c>
    </row>
    <row r="242">
      <c r="A242" s="20" t="inlineStr">
        <is>
          <t>F254</t>
        </is>
      </c>
      <c r="B242" s="5" t="inlineStr">
        <is>
          <t>Moody's : dette brute ajustée</t>
        </is>
      </c>
      <c r="C242" s="21" t="n">
        <v>34879</v>
      </c>
      <c r="D242" s="5" t="inlineStr">
        <is>
          <t>M EUR</t>
        </is>
      </c>
      <c r="E242" s="5" t="inlineStr">
        <is>
          <t>FY2025</t>
        </is>
      </c>
      <c r="F242" s="22" t="inlineStr">
        <is>
          <t>34,879.0</t>
        </is>
      </c>
      <c r="G242" s="5" t="inlineStr">
        <is>
          <t>01_Financial/credit_opinion-veolia-environnement-sa-04may2026.pdf</t>
        </is>
      </c>
      <c r="H242" s="23" t="n">
        <v>11</v>
      </c>
      <c r="I242" s="5" t="inlineStr">
        <is>
          <t>2 Contrainte</t>
        </is>
      </c>
      <c r="J242" s="22" t="inlineStr">
        <is>
          <t>https://www.veolia.com/sites/g/files/dvc4206/files/document/2026/05/Credit_Opinion-Veolia-Environnement-SA-04May2026.pdf</t>
        </is>
      </c>
      <c r="K242" s="22" t="inlineStr">
        <is>
          <t>2026-10-02</t>
        </is>
      </c>
      <c r="L242" s="24" t="inlineStr">
        <is>
          <t>à relire</t>
        </is>
      </c>
    </row>
    <row r="243">
      <c r="A243" s="25" t="inlineStr">
        <is>
          <t>F255</t>
        </is>
      </c>
      <c r="B243" s="26" t="inlineStr">
        <is>
          <t>Moody's : trésorerie retenue</t>
        </is>
      </c>
      <c r="C243" s="31" t="n">
        <v>9475</v>
      </c>
      <c r="D243" s="26" t="inlineStr">
        <is>
          <t>M EUR</t>
        </is>
      </c>
      <c r="E243" s="26" t="inlineStr">
        <is>
          <t>FY2025</t>
        </is>
      </c>
      <c r="F243" s="28" t="inlineStr">
        <is>
          <t>9,475.0</t>
        </is>
      </c>
      <c r="G243" s="26" t="inlineStr">
        <is>
          <t>01_Financial/credit_opinion-veolia-environnement-sa-04may2026.pdf</t>
        </is>
      </c>
      <c r="H243" s="29" t="n">
        <v>11</v>
      </c>
      <c r="I243" s="26" t="inlineStr">
        <is>
          <t>2 Contrainte</t>
        </is>
      </c>
      <c r="J243" s="28" t="inlineStr">
        <is>
          <t>https://www.veolia.com/sites/g/files/dvc4206/files/document/2026/05/Credit_Opinion-Veolia-Environnement-SA-04May2026.pdf</t>
        </is>
      </c>
      <c r="K243" s="28" t="inlineStr">
        <is>
          <t>2026-10-02</t>
        </is>
      </c>
      <c r="L243" s="30" t="inlineStr">
        <is>
          <t>à relire</t>
        </is>
      </c>
    </row>
    <row r="244">
      <c r="A244" s="20" t="inlineStr">
        <is>
          <t>F256</t>
        </is>
      </c>
      <c r="B244" s="5" t="inlineStr">
        <is>
          <t>Moody's : dette nette ajustée (Exhibit 13)</t>
        </is>
      </c>
      <c r="C244" s="21" t="n">
        <v>25404</v>
      </c>
      <c r="D244" s="5" t="inlineStr">
        <is>
          <t>M EUR</t>
        </is>
      </c>
      <c r="E244" s="5" t="inlineStr">
        <is>
          <t>FY2025</t>
        </is>
      </c>
      <c r="F244" s="22" t="inlineStr">
        <is>
          <t>25,404.0</t>
        </is>
      </c>
      <c r="G244" s="5" t="inlineStr">
        <is>
          <t>01_Financial/credit_opinion-veolia-environnement-sa-04may2026.pdf</t>
        </is>
      </c>
      <c r="H244" s="23" t="n">
        <v>11</v>
      </c>
      <c r="I244" s="5" t="inlineStr">
        <is>
          <t>2 Contrainte</t>
        </is>
      </c>
      <c r="J244" s="22" t="inlineStr">
        <is>
          <t>https://www.veolia.com/sites/g/files/dvc4206/files/document/2026/05/Credit_Opinion-Veolia-Environnement-SA-04May2026.pdf</t>
        </is>
      </c>
      <c r="K244" s="22" t="inlineStr">
        <is>
          <t>2026-10-02</t>
        </is>
      </c>
      <c r="L244" s="24" t="inlineStr">
        <is>
          <t>à relire</t>
        </is>
      </c>
    </row>
    <row r="245">
      <c r="A245" s="25" t="inlineStr">
        <is>
          <t>F257</t>
        </is>
      </c>
      <c r="B245" s="26" t="inlineStr">
        <is>
          <t>Moody's : dette nette ajustée (Exhibit 13)</t>
        </is>
      </c>
      <c r="C245" s="31" t="n">
        <v>23273</v>
      </c>
      <c r="D245" s="26" t="inlineStr">
        <is>
          <t>M EUR</t>
        </is>
      </c>
      <c r="E245" s="26" t="inlineStr">
        <is>
          <t>FY2024</t>
        </is>
      </c>
      <c r="F245" s="28" t="inlineStr">
        <is>
          <t>23,273.0</t>
        </is>
      </c>
      <c r="G245" s="26" t="inlineStr">
        <is>
          <t>01_Financial/credit_opinion-veolia-environnement-sa-04may2026.pdf</t>
        </is>
      </c>
      <c r="H245" s="29" t="n">
        <v>11</v>
      </c>
      <c r="I245" s="26" t="inlineStr">
        <is>
          <t>2 Contrainte</t>
        </is>
      </c>
      <c r="J245" s="28" t="inlineStr">
        <is>
          <t>https://www.veolia.com/sites/g/files/dvc4206/files/document/2026/05/Credit_Opinion-Veolia-Environnement-SA-04May2026.pdf</t>
        </is>
      </c>
      <c r="K245" s="28" t="inlineStr">
        <is>
          <t>2026-10-02</t>
        </is>
      </c>
      <c r="L245" s="30" t="inlineStr">
        <is>
          <t>à relire</t>
        </is>
      </c>
    </row>
    <row r="246">
      <c r="A246" s="20" t="inlineStr">
        <is>
          <t>F258</t>
        </is>
      </c>
      <c r="B246" s="5" t="inlineStr">
        <is>
          <t>Moody's : ajustement titres hybrides (50 % en dette)</t>
        </is>
      </c>
      <c r="C246" s="21" t="n">
        <v>1800</v>
      </c>
      <c r="D246" s="5" t="inlineStr">
        <is>
          <t>M EUR</t>
        </is>
      </c>
      <c r="E246" s="5" t="inlineStr">
        <is>
          <t>FY2024</t>
        </is>
      </c>
      <c r="F246" s="22" t="inlineStr">
        <is>
          <t>1,800.0</t>
        </is>
      </c>
      <c r="G246" s="5" t="inlineStr">
        <is>
          <t>01_Financial/credit_opinion-veolia-environnement-sa-04may2026.pdf</t>
        </is>
      </c>
      <c r="H246" s="23" t="n">
        <v>11</v>
      </c>
      <c r="I246" s="5" t="inlineStr">
        <is>
          <t>2 Contrainte</t>
        </is>
      </c>
      <c r="J246" s="22" t="inlineStr">
        <is>
          <t>https://www.veolia.com/sites/g/files/dvc4206/files/document/2026/05/Credit_Opinion-Veolia-Environnement-SA-04May2026.pdf</t>
        </is>
      </c>
      <c r="K246" s="22" t="inlineStr">
        <is>
          <t>2026-10-02</t>
        </is>
      </c>
      <c r="L246" s="24" t="inlineStr">
        <is>
          <t>à relire</t>
        </is>
      </c>
    </row>
    <row r="247">
      <c r="A247" s="25" t="inlineStr">
        <is>
          <t>F259</t>
        </is>
      </c>
      <c r="B247" s="26" t="inlineStr">
        <is>
          <t>Moody's : EBITDA publié selon Moody's (as reported EBITDA)</t>
        </is>
      </c>
      <c r="C247" s="31" t="n">
        <v>6464</v>
      </c>
      <c r="D247" s="26" t="inlineStr">
        <is>
          <t>M EUR</t>
        </is>
      </c>
      <c r="E247" s="26" t="inlineStr">
        <is>
          <t>FY2025</t>
        </is>
      </c>
      <c r="F247" s="28" t="inlineStr">
        <is>
          <t>6,464.0</t>
        </is>
      </c>
      <c r="G247" s="26" t="inlineStr">
        <is>
          <t>01_Financial/credit_opinion-veolia-environnement-sa-04may2026.pdf</t>
        </is>
      </c>
      <c r="H247" s="29" t="n">
        <v>11</v>
      </c>
      <c r="I247" s="26" t="inlineStr">
        <is>
          <t>2 Contrainte</t>
        </is>
      </c>
      <c r="J247" s="28" t="inlineStr">
        <is>
          <t>https://www.veolia.com/sites/g/files/dvc4206/files/document/2026/05/Credit_Opinion-Veolia-Environnement-SA-04May2026.pdf</t>
        </is>
      </c>
      <c r="K247" s="28" t="inlineStr">
        <is>
          <t>2026-10-02</t>
        </is>
      </c>
      <c r="L247" s="30" t="inlineStr">
        <is>
          <t>à relire</t>
        </is>
      </c>
    </row>
    <row r="248">
      <c r="A248" s="20" t="inlineStr">
        <is>
          <t>F260</t>
        </is>
      </c>
      <c r="B248" s="5" t="inlineStr">
        <is>
          <t>Moody's : EBITDA ajusté</t>
        </is>
      </c>
      <c r="C248" s="32" t="n">
        <v>6777.8</v>
      </c>
      <c r="D248" s="5" t="inlineStr">
        <is>
          <t>M EUR</t>
        </is>
      </c>
      <c r="E248" s="5" t="inlineStr">
        <is>
          <t>FY2025</t>
        </is>
      </c>
      <c r="F248" s="22" t="inlineStr">
        <is>
          <t>6,777.8</t>
        </is>
      </c>
      <c r="G248" s="5" t="inlineStr">
        <is>
          <t>01_Financial/credit_opinion-veolia-environnement-sa-04may2026.pdf</t>
        </is>
      </c>
      <c r="H248" s="23" t="n">
        <v>11</v>
      </c>
      <c r="I248" s="5" t="inlineStr">
        <is>
          <t>2 Contrainte</t>
        </is>
      </c>
      <c r="J248" s="22" t="inlineStr">
        <is>
          <t>https://www.veolia.com/sites/g/files/dvc4206/files/document/2026/05/Credit_Opinion-Veolia-Environnement-SA-04May2026.pdf</t>
        </is>
      </c>
      <c r="K248" s="22" t="inlineStr">
        <is>
          <t>2026-10-02</t>
        </is>
      </c>
      <c r="L248" s="24" t="inlineStr">
        <is>
          <t>à relire</t>
        </is>
      </c>
    </row>
    <row r="249">
      <c r="A249" s="25" t="inlineStr">
        <is>
          <t>F261</t>
        </is>
      </c>
      <c r="B249" s="26" t="inlineStr">
        <is>
          <t>Moody's : FFO (funds from operations)</t>
        </is>
      </c>
      <c r="C249" s="31" t="n">
        <v>5160</v>
      </c>
      <c r="D249" s="26" t="inlineStr">
        <is>
          <t>M EUR</t>
        </is>
      </c>
      <c r="E249" s="26" t="inlineStr">
        <is>
          <t>FY2025</t>
        </is>
      </c>
      <c r="F249" s="28" t="inlineStr">
        <is>
          <t>5,160</t>
        </is>
      </c>
      <c r="G249" s="26" t="inlineStr">
        <is>
          <t>01_Financial/credit_opinion-veolia-environnement-sa-04may2026.pdf</t>
        </is>
      </c>
      <c r="H249" s="29" t="n">
        <v>12</v>
      </c>
      <c r="I249" s="26" t="inlineStr">
        <is>
          <t>2 Contrainte</t>
        </is>
      </c>
      <c r="J249" s="28" t="inlineStr">
        <is>
          <t>https://www.veolia.com/sites/g/files/dvc4206/files/document/2026/05/Credit_Opinion-Veolia-Environnement-SA-04May2026.pdf</t>
        </is>
      </c>
      <c r="K249" s="28" t="inlineStr">
        <is>
          <t>2026-10-02</t>
        </is>
      </c>
      <c r="L249" s="30" t="inlineStr">
        <is>
          <t>à relire</t>
        </is>
      </c>
    </row>
    <row r="250">
      <c r="A250" s="20" t="inlineStr">
        <is>
          <t>F262</t>
        </is>
      </c>
      <c r="B250" s="5" t="inlineStr">
        <is>
          <t>Moody's : FFO (funds from operations)</t>
        </is>
      </c>
      <c r="C250" s="21" t="n">
        <v>4948</v>
      </c>
      <c r="D250" s="5" t="inlineStr">
        <is>
          <t>M EUR</t>
        </is>
      </c>
      <c r="E250" s="5" t="inlineStr">
        <is>
          <t>FY2024</t>
        </is>
      </c>
      <c r="F250" s="22" t="inlineStr">
        <is>
          <t>4,948</t>
        </is>
      </c>
      <c r="G250" s="5" t="inlineStr">
        <is>
          <t>01_Financial/credit_opinion-veolia-environnement-sa-04may2026.pdf</t>
        </is>
      </c>
      <c r="H250" s="23" t="n">
        <v>12</v>
      </c>
      <c r="I250" s="5" t="inlineStr">
        <is>
          <t>2 Contrainte</t>
        </is>
      </c>
      <c r="J250" s="22" t="inlineStr">
        <is>
          <t>https://www.veolia.com/sites/g/files/dvc4206/files/document/2026/05/Credit_Opinion-Veolia-Environnement-SA-04May2026.pdf</t>
        </is>
      </c>
      <c r="K250" s="22" t="inlineStr">
        <is>
          <t>2026-10-02</t>
        </is>
      </c>
      <c r="L250" s="24" t="inlineStr">
        <is>
          <t>à relire</t>
        </is>
      </c>
    </row>
    <row r="251">
      <c r="A251" s="25" t="inlineStr">
        <is>
          <t>F263</t>
        </is>
      </c>
      <c r="B251" s="26" t="inlineStr">
        <is>
          <t>Moody's : FFO (funds from operations)</t>
        </is>
      </c>
      <c r="C251" s="31" t="n">
        <v>4655</v>
      </c>
      <c r="D251" s="26" t="inlineStr">
        <is>
          <t>M EUR</t>
        </is>
      </c>
      <c r="E251" s="26" t="inlineStr">
        <is>
          <t>FY2023</t>
        </is>
      </c>
      <c r="F251" s="28" t="inlineStr">
        <is>
          <t>4,655</t>
        </is>
      </c>
      <c r="G251" s="26" t="inlineStr">
        <is>
          <t>01_Financial/credit_opinion-veolia-environnement-sa-04may2026.pdf</t>
        </is>
      </c>
      <c r="H251" s="29" t="n">
        <v>12</v>
      </c>
      <c r="I251" s="26" t="inlineStr">
        <is>
          <t>2 Contrainte</t>
        </is>
      </c>
      <c r="J251" s="28" t="inlineStr">
        <is>
          <t>https://www.veolia.com/sites/g/files/dvc4206/files/document/2026/05/Credit_Opinion-Veolia-Environnement-SA-04May2026.pdf</t>
        </is>
      </c>
      <c r="K251" s="28" t="inlineStr">
        <is>
          <t>2026-10-02</t>
        </is>
      </c>
      <c r="L251" s="30" t="inlineStr">
        <is>
          <t>à relire</t>
        </is>
      </c>
    </row>
    <row r="252">
      <c r="A252" s="20" t="inlineStr">
        <is>
          <t>F264</t>
        </is>
      </c>
      <c r="B252" s="5" t="inlineStr">
        <is>
          <t>Moody's : dividendes (y compris minoritaires et hybrides)</t>
        </is>
      </c>
      <c r="C252" s="21" t="n">
        <v>1341</v>
      </c>
      <c r="D252" s="5" t="inlineStr">
        <is>
          <t>M EUR</t>
        </is>
      </c>
      <c r="E252" s="5" t="inlineStr">
        <is>
          <t>FY2025</t>
        </is>
      </c>
      <c r="F252" s="22" t="inlineStr">
        <is>
          <t>1,341</t>
        </is>
      </c>
      <c r="G252" s="5" t="inlineStr">
        <is>
          <t>01_Financial/credit_opinion-veolia-environnement-sa-04may2026.pdf</t>
        </is>
      </c>
      <c r="H252" s="23" t="n">
        <v>12</v>
      </c>
      <c r="I252" s="5" t="inlineStr">
        <is>
          <t>2 Contrainte</t>
        </is>
      </c>
      <c r="J252" s="22" t="inlineStr">
        <is>
          <t>https://www.veolia.com/sites/g/files/dvc4206/files/document/2026/05/Credit_Opinion-Veolia-Environnement-SA-04May2026.pdf</t>
        </is>
      </c>
      <c r="K252" s="22" t="inlineStr">
        <is>
          <t>2026-10-02</t>
        </is>
      </c>
      <c r="L252" s="24" t="inlineStr">
        <is>
          <t>à relire</t>
        </is>
      </c>
    </row>
    <row r="253">
      <c r="A253" s="25" t="inlineStr">
        <is>
          <t>F265</t>
        </is>
      </c>
      <c r="B253" s="26" t="inlineStr">
        <is>
          <t>Moody's : RCF (retained cash flow)</t>
        </is>
      </c>
      <c r="C253" s="31" t="n">
        <v>3819</v>
      </c>
      <c r="D253" s="26" t="inlineStr">
        <is>
          <t>M EUR</t>
        </is>
      </c>
      <c r="E253" s="26" t="inlineStr">
        <is>
          <t>FY2025</t>
        </is>
      </c>
      <c r="F253" s="28" t="inlineStr">
        <is>
          <t>3,819</t>
        </is>
      </c>
      <c r="G253" s="26" t="inlineStr">
        <is>
          <t>01_Financial/credit_opinion-veolia-environnement-sa-04may2026.pdf</t>
        </is>
      </c>
      <c r="H253" s="29" t="n">
        <v>12</v>
      </c>
      <c r="I253" s="26" t="inlineStr">
        <is>
          <t>3 Capacité</t>
        </is>
      </c>
      <c r="J253" s="28" t="inlineStr">
        <is>
          <t>https://www.veolia.com/sites/g/files/dvc4206/files/document/2026/05/Credit_Opinion-Veolia-Environnement-SA-04May2026.pdf</t>
        </is>
      </c>
      <c r="K253" s="28" t="inlineStr">
        <is>
          <t>2026-10-02</t>
        </is>
      </c>
      <c r="L253" s="30" t="inlineStr">
        <is>
          <t>à relire</t>
        </is>
      </c>
    </row>
    <row r="254">
      <c r="A254" s="20" t="inlineStr">
        <is>
          <t>F266</t>
        </is>
      </c>
      <c r="B254" s="5" t="inlineStr">
        <is>
          <t>Moody's : cash-flow opérationnel (CFO)</t>
        </is>
      </c>
      <c r="C254" s="21" t="n">
        <v>4681</v>
      </c>
      <c r="D254" s="5" t="inlineStr">
        <is>
          <t>M EUR</t>
        </is>
      </c>
      <c r="E254" s="5" t="inlineStr">
        <is>
          <t>FY2025</t>
        </is>
      </c>
      <c r="F254" s="22" t="inlineStr">
        <is>
          <t>4,681</t>
        </is>
      </c>
      <c r="G254" s="5" t="inlineStr">
        <is>
          <t>01_Financial/credit_opinion-veolia-environnement-sa-04may2026.pdf</t>
        </is>
      </c>
      <c r="H254" s="23" t="n">
        <v>12</v>
      </c>
      <c r="I254" s="5" t="inlineStr">
        <is>
          <t>3 Capacité</t>
        </is>
      </c>
      <c r="J254" s="22" t="inlineStr">
        <is>
          <t>https://www.veolia.com/sites/g/files/dvc4206/files/document/2026/05/Credit_Opinion-Veolia-Environnement-SA-04May2026.pdf</t>
        </is>
      </c>
      <c r="K254" s="22" t="inlineStr">
        <is>
          <t>2026-10-02</t>
        </is>
      </c>
      <c r="L254" s="24" t="inlineStr">
        <is>
          <t>à relire</t>
        </is>
      </c>
    </row>
    <row r="255">
      <c r="A255" s="25" t="inlineStr">
        <is>
          <t>F267</t>
        </is>
      </c>
      <c r="B255" s="26" t="inlineStr">
        <is>
          <t>Moody's : free cash flow (après dividendes et capex)</t>
        </is>
      </c>
      <c r="C255" s="31" t="n">
        <v>-272</v>
      </c>
      <c r="D255" s="26" t="inlineStr">
        <is>
          <t>M EUR</t>
        </is>
      </c>
      <c r="E255" s="26" t="inlineStr">
        <is>
          <t>FY2025</t>
        </is>
      </c>
      <c r="F255" s="28" t="inlineStr">
        <is>
          <t>-272</t>
        </is>
      </c>
      <c r="G255" s="26" t="inlineStr">
        <is>
          <t>01_Financial/credit_opinion-veolia-environnement-sa-04may2026.pdf</t>
        </is>
      </c>
      <c r="H255" s="29" t="n">
        <v>12</v>
      </c>
      <c r="I255" s="26" t="inlineStr">
        <is>
          <t>3 Capacité</t>
        </is>
      </c>
      <c r="J255" s="28" t="inlineStr">
        <is>
          <t>https://www.veolia.com/sites/g/files/dvc4206/files/document/2026/05/Credit_Opinion-Veolia-Environnement-SA-04May2026.pdf</t>
        </is>
      </c>
      <c r="K255" s="28" t="inlineStr">
        <is>
          <t>2026-10-02</t>
        </is>
      </c>
      <c r="L255" s="30" t="inlineStr">
        <is>
          <t>à relire</t>
        </is>
      </c>
    </row>
    <row r="256">
      <c r="A256" s="20" t="inlineStr">
        <is>
          <t>F268</t>
        </is>
      </c>
      <c r="B256" s="5" t="inlineStr">
        <is>
          <t>Moody's : charge d'intérêts ajustée</t>
        </is>
      </c>
      <c r="C256" s="21" t="n">
        <v>1162</v>
      </c>
      <c r="D256" s="5" t="inlineStr">
        <is>
          <t>M EUR</t>
        </is>
      </c>
      <c r="E256" s="5" t="inlineStr">
        <is>
          <t>FY2025</t>
        </is>
      </c>
      <c r="F256" s="22" t="inlineStr">
        <is>
          <t>1,162</t>
        </is>
      </c>
      <c r="G256" s="5" t="inlineStr">
        <is>
          <t>01_Financial/credit_opinion-veolia-environnement-sa-04may2026.pdf</t>
        </is>
      </c>
      <c r="H256" s="23" t="n">
        <v>12</v>
      </c>
      <c r="I256" s="5" t="inlineStr">
        <is>
          <t>2 Contrainte</t>
        </is>
      </c>
      <c r="J256" s="22" t="inlineStr">
        <is>
          <t>https://www.veolia.com/sites/g/files/dvc4206/files/document/2026/05/Credit_Opinion-Veolia-Environnement-SA-04May2026.pdf</t>
        </is>
      </c>
      <c r="K256" s="22" t="inlineStr">
        <is>
          <t>2026-10-02</t>
        </is>
      </c>
      <c r="L256" s="24" t="inlineStr">
        <is>
          <t>à relire</t>
        </is>
      </c>
    </row>
    <row r="257">
      <c r="A257" s="25" t="inlineStr">
        <is>
          <t>F269</t>
        </is>
      </c>
      <c r="B257" s="26" t="inlineStr">
        <is>
          <t>Moody's : dette nette ajustée / EBITDA ajusté</t>
        </is>
      </c>
      <c r="C257" s="27" t="n">
        <v>3.7</v>
      </c>
      <c r="D257" s="26" t="inlineStr">
        <is>
          <t>x</t>
        </is>
      </c>
      <c r="E257" s="26" t="inlineStr">
        <is>
          <t>FY2025</t>
        </is>
      </c>
      <c r="F257" s="28" t="inlineStr">
        <is>
          <t>3.7</t>
        </is>
      </c>
      <c r="G257" s="26" t="inlineStr">
        <is>
          <t>01_Financial/credit_opinion-veolia-environnement-sa-04may2026.pdf</t>
        </is>
      </c>
      <c r="H257" s="29" t="n">
        <v>12</v>
      </c>
      <c r="I257" s="26" t="inlineStr">
        <is>
          <t>2 Contrainte</t>
        </is>
      </c>
      <c r="J257" s="28" t="inlineStr">
        <is>
          <t>https://www.veolia.com/sites/g/files/dvc4206/files/document/2026/05/Credit_Opinion-Veolia-Environnement-SA-04May2026.pdf</t>
        </is>
      </c>
      <c r="K257" s="28" t="inlineStr">
        <is>
          <t>2026-10-02</t>
        </is>
      </c>
      <c r="L257" s="30" t="inlineStr">
        <is>
          <t>à relire</t>
        </is>
      </c>
    </row>
    <row r="258">
      <c r="A258" s="20" t="inlineStr">
        <is>
          <t>F270</t>
        </is>
      </c>
      <c r="B258" s="5" t="inlineStr">
        <is>
          <t>Moody's : dette brute ajustée / EBITDA ajusté</t>
        </is>
      </c>
      <c r="C258" s="32" t="n">
        <v>5.1</v>
      </c>
      <c r="D258" s="5" t="inlineStr">
        <is>
          <t>x</t>
        </is>
      </c>
      <c r="E258" s="5" t="inlineStr">
        <is>
          <t>FY2025</t>
        </is>
      </c>
      <c r="F258" s="22" t="inlineStr">
        <is>
          <t>5.1</t>
        </is>
      </c>
      <c r="G258" s="5" t="inlineStr">
        <is>
          <t>01_Financial/credit_opinion-veolia-environnement-sa-04may2026.pdf</t>
        </is>
      </c>
      <c r="H258" s="23" t="n">
        <v>12</v>
      </c>
      <c r="I258" s="5" t="inlineStr">
        <is>
          <t>2 Contrainte</t>
        </is>
      </c>
      <c r="J258" s="22" t="inlineStr">
        <is>
          <t>https://www.veolia.com/sites/g/files/dvc4206/files/document/2026/05/Credit_Opinion-Veolia-Environnement-SA-04May2026.pdf</t>
        </is>
      </c>
      <c r="K258" s="22" t="inlineStr">
        <is>
          <t>2026-10-02</t>
        </is>
      </c>
      <c r="L258" s="24" t="inlineStr">
        <is>
          <t>à relire</t>
        </is>
      </c>
    </row>
    <row r="259">
      <c r="A259" s="25" t="inlineStr">
        <is>
          <t>F271</t>
        </is>
      </c>
      <c r="B259" s="26" t="inlineStr">
        <is>
          <t>Sous-total des emprunts (dette brute)</t>
        </is>
      </c>
      <c r="C259" s="31" t="n">
        <v>29518</v>
      </c>
      <c r="D259" s="26" t="inlineStr">
        <is>
          <t>M EUR</t>
        </is>
      </c>
      <c r="E259" s="26" t="inlineStr">
        <is>
          <t>31/12/2025</t>
        </is>
      </c>
      <c r="F259" s="28" t="inlineStr">
        <is>
          <t>29,518</t>
        </is>
      </c>
      <c r="G259" s="26" t="inlineStr">
        <is>
          <t>01_Financial/finance_veolia_urd_2025_en.pdf</t>
        </is>
      </c>
      <c r="H259" s="29" t="n">
        <v>351</v>
      </c>
      <c r="I259" s="26" t="inlineStr">
        <is>
          <t>2 Contrainte</t>
        </is>
      </c>
      <c r="J259" s="28" t="inlineStr">
        <is>
          <t>https://www.veolia.com/sites/g/files/dvc4206/files/document/2026/03/Finance_Veolia_URD_2025_en.pdf</t>
        </is>
      </c>
      <c r="K259" s="28" t="inlineStr">
        <is>
          <t>2026-09-22</t>
        </is>
      </c>
      <c r="L259" s="30" t="inlineStr">
        <is>
          <t>à relire</t>
        </is>
      </c>
    </row>
    <row r="260">
      <c r="A260" s="20" t="inlineStr">
        <is>
          <t>F272</t>
        </is>
      </c>
      <c r="B260" s="5" t="inlineStr">
        <is>
          <t>Trésorerie et équivalents</t>
        </is>
      </c>
      <c r="C260" s="21" t="n">
        <v>8021</v>
      </c>
      <c r="D260" s="5" t="inlineStr">
        <is>
          <t>M EUR</t>
        </is>
      </c>
      <c r="E260" s="5" t="inlineStr">
        <is>
          <t>31/12/2025</t>
        </is>
      </c>
      <c r="F260" s="22" t="inlineStr">
        <is>
          <t>8,021</t>
        </is>
      </c>
      <c r="G260" s="5" t="inlineStr">
        <is>
          <t>01_Financial/finance_veolia_urd_2025_en.pdf</t>
        </is>
      </c>
      <c r="H260" s="23" t="n">
        <v>351</v>
      </c>
      <c r="I260" s="5" t="inlineStr">
        <is>
          <t>2 Contrainte</t>
        </is>
      </c>
      <c r="J260" s="22" t="inlineStr">
        <is>
          <t>https://www.veolia.com/sites/g/files/dvc4206/files/document/2026/03/Finance_Veolia_URD_2025_en.pdf</t>
        </is>
      </c>
      <c r="K260" s="22" t="inlineStr">
        <is>
          <t>2026-09-22</t>
        </is>
      </c>
      <c r="L260" s="24" t="inlineStr">
        <is>
          <t>à relire</t>
        </is>
      </c>
    </row>
    <row r="261">
      <c r="A261" s="25" t="inlineStr">
        <is>
          <t>F273</t>
        </is>
      </c>
      <c r="B261" s="26" t="inlineStr">
        <is>
          <t>Actifs liquides et actifs liés au financement</t>
        </is>
      </c>
      <c r="C261" s="31" t="n">
        <v>1952</v>
      </c>
      <c r="D261" s="26" t="inlineStr">
        <is>
          <t>M EUR</t>
        </is>
      </c>
      <c r="E261" s="26" t="inlineStr">
        <is>
          <t>31/12/2025</t>
        </is>
      </c>
      <c r="F261" s="28" t="inlineStr">
        <is>
          <t>1,952</t>
        </is>
      </c>
      <c r="G261" s="26" t="inlineStr">
        <is>
          <t>01_Financial/finance_veolia_urd_2025_en.pdf</t>
        </is>
      </c>
      <c r="H261" s="29" t="n">
        <v>351</v>
      </c>
      <c r="I261" s="26" t="inlineStr">
        <is>
          <t>2 Contrainte</t>
        </is>
      </c>
      <c r="J261" s="28" t="inlineStr">
        <is>
          <t>https://www.veolia.com/sites/g/files/dvc4206/files/document/2026/03/Finance_Veolia_URD_2025_en.pdf</t>
        </is>
      </c>
      <c r="K261" s="28" t="inlineStr">
        <is>
          <t>2026-09-22</t>
        </is>
      </c>
      <c r="L261" s="30" t="inlineStr">
        <is>
          <t>à relire</t>
        </is>
      </c>
    </row>
    <row r="262">
      <c r="A262" s="20" t="inlineStr">
        <is>
          <t>F274</t>
        </is>
      </c>
      <c r="B262" s="5" t="inlineStr">
        <is>
          <t>Juste valeur des dérivés de couverture de dette</t>
        </is>
      </c>
      <c r="C262" s="21" t="n">
        <v>276</v>
      </c>
      <c r="D262" s="5" t="inlineStr">
        <is>
          <t>M EUR</t>
        </is>
      </c>
      <c r="E262" s="5" t="inlineStr">
        <is>
          <t>31/12/2025</t>
        </is>
      </c>
      <c r="F262" s="22" t="inlineStr">
        <is>
          <t>276</t>
        </is>
      </c>
      <c r="G262" s="5" t="inlineStr">
        <is>
          <t>01_Financial/finance_veolia_urd_2025_en.pdf</t>
        </is>
      </c>
      <c r="H262" s="23" t="n">
        <v>351</v>
      </c>
      <c r="I262" s="5" t="inlineStr">
        <is>
          <t>2 Contrainte</t>
        </is>
      </c>
      <c r="J262" s="22" t="inlineStr">
        <is>
          <t>https://www.veolia.com/sites/g/files/dvc4206/files/document/2026/03/Finance_Veolia_URD_2025_en.pdf</t>
        </is>
      </c>
      <c r="K262" s="22" t="inlineStr">
        <is>
          <t>2026-09-22</t>
        </is>
      </c>
      <c r="L262" s="24" t="inlineStr">
        <is>
          <t>à relire</t>
        </is>
      </c>
    </row>
    <row r="263">
      <c r="A263" s="25" t="inlineStr">
        <is>
          <t>F275</t>
        </is>
      </c>
      <c r="B263" s="26" t="inlineStr">
        <is>
          <t>Sous-total des emprunts (dette brute)</t>
        </is>
      </c>
      <c r="C263" s="31" t="n">
        <v>29283</v>
      </c>
      <c r="D263" s="26" t="inlineStr">
        <is>
          <t>M EUR</t>
        </is>
      </c>
      <c r="E263" s="26" t="inlineStr">
        <is>
          <t>31/12/2024</t>
        </is>
      </c>
      <c r="F263" s="28" t="inlineStr">
        <is>
          <t>29,283</t>
        </is>
      </c>
      <c r="G263" s="26" t="inlineStr">
        <is>
          <t>01_Financial/finance_veolia_urd_2025_en.pdf</t>
        </is>
      </c>
      <c r="H263" s="29" t="n">
        <v>351</v>
      </c>
      <c r="I263" s="26" t="inlineStr">
        <is>
          <t>2 Contrainte</t>
        </is>
      </c>
      <c r="J263" s="28" t="inlineStr">
        <is>
          <t>https://www.veolia.com/sites/g/files/dvc4206/files/document/2026/03/Finance_Veolia_URD_2025_en.pdf</t>
        </is>
      </c>
      <c r="K263" s="28" t="inlineStr">
        <is>
          <t>2026-09-22</t>
        </is>
      </c>
      <c r="L263" s="30" t="inlineStr">
        <is>
          <t>à relire</t>
        </is>
      </c>
    </row>
    <row r="264">
      <c r="A264" s="20" t="inlineStr">
        <is>
          <t>F276</t>
        </is>
      </c>
      <c r="B264" s="5" t="inlineStr">
        <is>
          <t>Trésorerie et équivalents</t>
        </is>
      </c>
      <c r="C264" s="21" t="n">
        <v>9601</v>
      </c>
      <c r="D264" s="5" t="inlineStr">
        <is>
          <t>M EUR</t>
        </is>
      </c>
      <c r="E264" s="5" t="inlineStr">
        <is>
          <t>31/12/2024</t>
        </is>
      </c>
      <c r="F264" s="22" t="inlineStr">
        <is>
          <t>9,601</t>
        </is>
      </c>
      <c r="G264" s="5" t="inlineStr">
        <is>
          <t>01_Financial/finance_veolia_urd_2025_en.pdf</t>
        </is>
      </c>
      <c r="H264" s="23" t="n">
        <v>351</v>
      </c>
      <c r="I264" s="5" t="inlineStr">
        <is>
          <t>2 Contrainte</t>
        </is>
      </c>
      <c r="J264" s="22" t="inlineStr">
        <is>
          <t>https://www.veolia.com/sites/g/files/dvc4206/files/document/2026/03/Finance_Veolia_URD_2025_en.pdf</t>
        </is>
      </c>
      <c r="K264" s="22" t="inlineStr">
        <is>
          <t>2026-09-22</t>
        </is>
      </c>
      <c r="L264" s="24" t="inlineStr">
        <is>
          <t>à relire</t>
        </is>
      </c>
    </row>
    <row r="265">
      <c r="A265" s="25" t="inlineStr">
        <is>
          <t>F260-1175</t>
        </is>
      </c>
      <c r="B265" s="26" t="inlineStr">
        <is>
          <t>Passifs financiers non courants et courants : total</t>
        </is>
      </c>
      <c r="C265" s="31" t="n">
        <v>29303</v>
      </c>
      <c r="D265" s="26" t="inlineStr">
        <is>
          <t>M EUR</t>
        </is>
      </c>
      <c r="E265" s="26" t="inlineStr">
        <is>
          <t>31/12/2025</t>
        </is>
      </c>
      <c r="F265" s="28" t="inlineStr">
        <is>
          <t>29,303</t>
        </is>
      </c>
      <c r="G265" s="26" t="inlineStr">
        <is>
          <t>01_Financial/finance_veolia_urd_2025_en.pdf</t>
        </is>
      </c>
      <c r="H265" s="29" t="n">
        <v>405</v>
      </c>
      <c r="I265" s="26" t="inlineStr">
        <is>
          <t>2 Contrainte</t>
        </is>
      </c>
      <c r="J265" s="28" t="inlineStr">
        <is>
          <t>https://www.veolia.com/sites/g/files/dvc4206/files/document/2026/03/Finance_Veolia_URD_2025_en.pdf</t>
        </is>
      </c>
      <c r="K265" s="28" t="inlineStr">
        <is>
          <t>2026-09-22</t>
        </is>
      </c>
      <c r="L265" s="30" t="inlineStr">
        <is>
          <t>à relire</t>
        </is>
      </c>
    </row>
    <row r="266">
      <c r="A266" s="20" t="inlineStr">
        <is>
          <t>F261-adbb</t>
        </is>
      </c>
      <c r="B266" s="5" t="inlineStr">
        <is>
          <t>Passifs financiers non courants et courants : part courante</t>
        </is>
      </c>
      <c r="C266" s="21" t="n">
        <v>8810</v>
      </c>
      <c r="D266" s="5" t="inlineStr">
        <is>
          <t>M EUR</t>
        </is>
      </c>
      <c r="E266" s="5" t="inlineStr">
        <is>
          <t>31/12/2025</t>
        </is>
      </c>
      <c r="F266" s="22" t="inlineStr">
        <is>
          <t>8,810</t>
        </is>
      </c>
      <c r="G266" s="5" t="inlineStr">
        <is>
          <t>01_Financial/finance_veolia_urd_2025_en.pdf</t>
        </is>
      </c>
      <c r="H266" s="23" t="n">
        <v>405</v>
      </c>
      <c r="I266" s="5" t="inlineStr">
        <is>
          <t>2 Contrainte</t>
        </is>
      </c>
      <c r="J266" s="22" t="inlineStr">
        <is>
          <t>https://www.veolia.com/sites/g/files/dvc4206/files/document/2026/03/Finance_Veolia_URD_2025_en.pdf</t>
        </is>
      </c>
      <c r="K266" s="22" t="inlineStr">
        <is>
          <t>2026-09-22</t>
        </is>
      </c>
      <c r="L266" s="24" t="inlineStr">
        <is>
          <t>à relire</t>
        </is>
      </c>
    </row>
    <row r="267">
      <c r="A267" s="25" t="inlineStr">
        <is>
          <t>F262-be63</t>
        </is>
      </c>
      <c r="B267" s="26" t="inlineStr">
        <is>
          <t>Passifs financiers non courants et courants : part non courante</t>
        </is>
      </c>
      <c r="C267" s="31" t="n">
        <v>20492</v>
      </c>
      <c r="D267" s="26" t="inlineStr">
        <is>
          <t>M EUR</t>
        </is>
      </c>
      <c r="E267" s="26" t="inlineStr">
        <is>
          <t>31/12/2025</t>
        </is>
      </c>
      <c r="F267" s="28" t="inlineStr">
        <is>
          <t>20,492</t>
        </is>
      </c>
      <c r="G267" s="26" t="inlineStr">
        <is>
          <t>01_Financial/finance_veolia_urd_2025_en.pdf</t>
        </is>
      </c>
      <c r="H267" s="29" t="n">
        <v>405</v>
      </c>
      <c r="I267" s="26" t="inlineStr">
        <is>
          <t>2 Contrainte</t>
        </is>
      </c>
      <c r="J267" s="28" t="inlineStr">
        <is>
          <t>https://www.veolia.com/sites/g/files/dvc4206/files/document/2026/03/Finance_Veolia_URD_2025_en.pdf</t>
        </is>
      </c>
      <c r="K267" s="28" t="inlineStr">
        <is>
          <t>2026-09-22</t>
        </is>
      </c>
      <c r="L267" s="30" t="inlineStr">
        <is>
          <t>à relire</t>
        </is>
      </c>
    </row>
    <row r="268">
      <c r="A268" s="20" t="inlineStr">
        <is>
          <t>F263-9c0d</t>
        </is>
      </c>
      <c r="B268" s="5" t="inlineStr">
        <is>
          <t>Emprunts obligataires : total</t>
        </is>
      </c>
      <c r="C268" s="21" t="n">
        <v>17992</v>
      </c>
      <c r="D268" s="5" t="inlineStr">
        <is>
          <t>M EUR</t>
        </is>
      </c>
      <c r="E268" s="5" t="inlineStr">
        <is>
          <t>31/12/2025</t>
        </is>
      </c>
      <c r="F268" s="22" t="inlineStr">
        <is>
          <t>17,992</t>
        </is>
      </c>
      <c r="G268" s="5" t="inlineStr">
        <is>
          <t>01_Financial/finance_veolia_urd_2025_en.pdf</t>
        </is>
      </c>
      <c r="H268" s="23" t="n">
        <v>405</v>
      </c>
      <c r="I268" s="5" t="inlineStr">
        <is>
          <t>2 Contrainte</t>
        </is>
      </c>
      <c r="J268" s="22" t="inlineStr">
        <is>
          <t>https://www.veolia.com/sites/g/files/dvc4206/files/document/2026/03/Finance_Veolia_URD_2025_en.pdf</t>
        </is>
      </c>
      <c r="K268" s="22" t="inlineStr">
        <is>
          <t>2026-09-22</t>
        </is>
      </c>
      <c r="L268" s="24" t="inlineStr">
        <is>
          <t>à relire</t>
        </is>
      </c>
    </row>
    <row r="269">
      <c r="A269" s="25" t="inlineStr">
        <is>
          <t>F264-79b1</t>
        </is>
      </c>
      <c r="B269" s="26" t="inlineStr">
        <is>
          <t>Autres passifs financiers : total</t>
        </is>
      </c>
      <c r="C269" s="31" t="n">
        <v>9328</v>
      </c>
      <c r="D269" s="26" t="inlineStr">
        <is>
          <t>M EUR</t>
        </is>
      </c>
      <c r="E269" s="26" t="inlineStr">
        <is>
          <t>31/12/2025</t>
        </is>
      </c>
      <c r="F269" s="28" t="inlineStr">
        <is>
          <t>9,328</t>
        </is>
      </c>
      <c r="G269" s="26" t="inlineStr">
        <is>
          <t>01_Financial/finance_veolia_urd_2025_en.pdf</t>
        </is>
      </c>
      <c r="H269" s="29" t="n">
        <v>405</v>
      </c>
      <c r="I269" s="26" t="inlineStr">
        <is>
          <t>2 Contrainte</t>
        </is>
      </c>
      <c r="J269" s="28" t="inlineStr">
        <is>
          <t>https://www.veolia.com/sites/g/files/dvc4206/files/document/2026/03/Finance_Veolia_URD_2025_en.pdf</t>
        </is>
      </c>
      <c r="K269" s="28" t="inlineStr">
        <is>
          <t>2026-09-22</t>
        </is>
      </c>
      <c r="L269" s="30" t="inlineStr">
        <is>
          <t>à relire</t>
        </is>
      </c>
    </row>
    <row r="270">
      <c r="A270" s="20" t="inlineStr">
        <is>
          <t>F265-b673</t>
        </is>
      </c>
      <c r="B270" s="5" t="inlineStr">
        <is>
          <t>Dette de loyers IFRS 16 : total</t>
        </is>
      </c>
      <c r="C270" s="21" t="n">
        <v>1983</v>
      </c>
      <c r="D270" s="5" t="inlineStr">
        <is>
          <t>M EUR</t>
        </is>
      </c>
      <c r="E270" s="5" t="inlineStr">
        <is>
          <t>31/12/2025</t>
        </is>
      </c>
      <c r="F270" s="22" t="inlineStr">
        <is>
          <t>1,983</t>
        </is>
      </c>
      <c r="G270" s="5" t="inlineStr">
        <is>
          <t>01_Financial/finance_veolia_urd_2025_en.pdf</t>
        </is>
      </c>
      <c r="H270" s="23" t="n">
        <v>405</v>
      </c>
      <c r="I270" s="5" t="inlineStr">
        <is>
          <t>2 Contrainte</t>
        </is>
      </c>
      <c r="J270" s="22" t="inlineStr">
        <is>
          <t>https://www.veolia.com/sites/g/files/dvc4206/files/document/2026/03/Finance_Veolia_URD_2025_en.pdf</t>
        </is>
      </c>
      <c r="K270" s="22" t="inlineStr">
        <is>
          <t>2026-09-22</t>
        </is>
      </c>
      <c r="L270" s="24" t="inlineStr">
        <is>
          <t>à relire</t>
        </is>
      </c>
    </row>
    <row r="271">
      <c r="A271" s="25" t="inlineStr">
        <is>
          <t>F266-5358</t>
        </is>
      </c>
      <c r="B271" s="26" t="inlineStr">
        <is>
          <t>Passifs financiers non courants et courants : total</t>
        </is>
      </c>
      <c r="C271" s="31" t="n">
        <v>29085</v>
      </c>
      <c r="D271" s="26" t="inlineStr">
        <is>
          <t>M EUR</t>
        </is>
      </c>
      <c r="E271" s="26" t="inlineStr">
        <is>
          <t>31/12/2024</t>
        </is>
      </c>
      <c r="F271" s="28" t="inlineStr">
        <is>
          <t>29,085</t>
        </is>
      </c>
      <c r="G271" s="26" t="inlineStr">
        <is>
          <t>01_Financial/finance_veolia_urd_2025_en.pdf</t>
        </is>
      </c>
      <c r="H271" s="29" t="n">
        <v>405</v>
      </c>
      <c r="I271" s="26" t="inlineStr">
        <is>
          <t>2 Contrainte</t>
        </is>
      </c>
      <c r="J271" s="28" t="inlineStr">
        <is>
          <t>https://www.veolia.com/sites/g/files/dvc4206/files/document/2026/03/Finance_Veolia_URD_2025_en.pdf</t>
        </is>
      </c>
      <c r="K271" s="28" t="inlineStr">
        <is>
          <t>2026-09-22</t>
        </is>
      </c>
      <c r="L271" s="30" t="inlineStr">
        <is>
          <t>à relire</t>
        </is>
      </c>
    </row>
    <row r="272">
      <c r="A272" s="20" t="inlineStr">
        <is>
          <t>F267-af42</t>
        </is>
      </c>
      <c r="B272" s="5" t="inlineStr">
        <is>
          <t>Emprunts obligataires à moins d'un an</t>
        </is>
      </c>
      <c r="C272" s="21" t="n">
        <v>1451</v>
      </c>
      <c r="D272" s="5" t="inlineStr">
        <is>
          <t>M EUR</t>
        </is>
      </c>
      <c r="E272" s="5" t="inlineStr">
        <is>
          <t>31/12/2025</t>
        </is>
      </c>
      <c r="F272" s="22" t="inlineStr">
        <is>
          <t>1,451</t>
        </is>
      </c>
      <c r="G272" s="5" t="inlineStr">
        <is>
          <t>01_Financial/finance_veolia_urd_2025_en.pdf</t>
        </is>
      </c>
      <c r="H272" s="23" t="n">
        <v>406</v>
      </c>
      <c r="I272" s="5" t="inlineStr">
        <is>
          <t>2 Contrainte</t>
        </is>
      </c>
      <c r="J272" s="22" t="inlineStr">
        <is>
          <t>https://www.veolia.com/sites/g/files/dvc4206/files/document/2026/03/Finance_Veolia_URD_2025_en.pdf</t>
        </is>
      </c>
      <c r="K272" s="22" t="inlineStr">
        <is>
          <t>2026-09-22</t>
        </is>
      </c>
      <c r="L272" s="24" t="inlineStr">
        <is>
          <t>à relire</t>
        </is>
      </c>
    </row>
    <row r="273">
      <c r="A273" s="25" t="inlineStr">
        <is>
          <t>F268-a1f9</t>
        </is>
      </c>
      <c r="B273" s="26" t="inlineStr">
        <is>
          <t>Emprunts obligataires à échéance de 1 à 3 ans</t>
        </is>
      </c>
      <c r="C273" s="31" t="n">
        <v>4536</v>
      </c>
      <c r="D273" s="26" t="inlineStr">
        <is>
          <t>M EUR</t>
        </is>
      </c>
      <c r="E273" s="26" t="inlineStr">
        <is>
          <t>31/12/2025</t>
        </is>
      </c>
      <c r="F273" s="28" t="inlineStr">
        <is>
          <t>4,536</t>
        </is>
      </c>
      <c r="G273" s="26" t="inlineStr">
        <is>
          <t>01_Financial/finance_veolia_urd_2025_en.pdf</t>
        </is>
      </c>
      <c r="H273" s="29" t="n">
        <v>406</v>
      </c>
      <c r="I273" s="26" t="inlineStr">
        <is>
          <t>2 Contrainte</t>
        </is>
      </c>
      <c r="J273" s="28" t="inlineStr">
        <is>
          <t>https://www.veolia.com/sites/g/files/dvc4206/files/document/2026/03/Finance_Veolia_URD_2025_en.pdf</t>
        </is>
      </c>
      <c r="K273" s="28" t="inlineStr">
        <is>
          <t>2026-09-22</t>
        </is>
      </c>
      <c r="L273" s="30" t="inlineStr">
        <is>
          <t>à relire</t>
        </is>
      </c>
    </row>
    <row r="274">
      <c r="A274" s="20" t="inlineStr">
        <is>
          <t>F269-d934</t>
        </is>
      </c>
      <c r="B274" s="5" t="inlineStr">
        <is>
          <t>Emprunts obligataires à échéance de 4 à 5 ans</t>
        </is>
      </c>
      <c r="C274" s="21" t="n">
        <v>3128</v>
      </c>
      <c r="D274" s="5" t="inlineStr">
        <is>
          <t>M EUR</t>
        </is>
      </c>
      <c r="E274" s="5" t="inlineStr">
        <is>
          <t>31/12/2025</t>
        </is>
      </c>
      <c r="F274" s="22" t="inlineStr">
        <is>
          <t>3,128</t>
        </is>
      </c>
      <c r="G274" s="5" t="inlineStr">
        <is>
          <t>01_Financial/finance_veolia_urd_2025_en.pdf</t>
        </is>
      </c>
      <c r="H274" s="23" t="n">
        <v>406</v>
      </c>
      <c r="I274" s="5" t="inlineStr">
        <is>
          <t>2 Contrainte</t>
        </is>
      </c>
      <c r="J274" s="22" t="inlineStr">
        <is>
          <t>https://www.veolia.com/sites/g/files/dvc4206/files/document/2026/03/Finance_Veolia_URD_2025_en.pdf</t>
        </is>
      </c>
      <c r="K274" s="22" t="inlineStr">
        <is>
          <t>2026-09-22</t>
        </is>
      </c>
      <c r="L274" s="24" t="inlineStr">
        <is>
          <t>à relire</t>
        </is>
      </c>
    </row>
    <row r="275">
      <c r="A275" s="25" t="inlineStr">
        <is>
          <t>F270-167d</t>
        </is>
      </c>
      <c r="B275" s="26" t="inlineStr">
        <is>
          <t>Emprunts obligataires à plus de 5 ans</t>
        </is>
      </c>
      <c r="C275" s="31" t="n">
        <v>8877</v>
      </c>
      <c r="D275" s="26" t="inlineStr">
        <is>
          <t>M EUR</t>
        </is>
      </c>
      <c r="E275" s="26" t="inlineStr">
        <is>
          <t>31/12/2025</t>
        </is>
      </c>
      <c r="F275" s="28" t="inlineStr">
        <is>
          <t>8,877</t>
        </is>
      </c>
      <c r="G275" s="26" t="inlineStr">
        <is>
          <t>01_Financial/finance_veolia_urd_2025_en.pdf</t>
        </is>
      </c>
      <c r="H275" s="29" t="n">
        <v>406</v>
      </c>
      <c r="I275" s="26" t="inlineStr">
        <is>
          <t>2 Contrainte</t>
        </is>
      </c>
      <c r="J275" s="28" t="inlineStr">
        <is>
          <t>https://www.veolia.com/sites/g/files/dvc4206/files/document/2026/03/Finance_Veolia_URD_2025_en.pdf</t>
        </is>
      </c>
      <c r="K275" s="28" t="inlineStr">
        <is>
          <t>2026-09-22</t>
        </is>
      </c>
      <c r="L275" s="30" t="inlineStr">
        <is>
          <t>à relire</t>
        </is>
      </c>
    </row>
    <row r="276">
      <c r="A276" s="20" t="inlineStr">
        <is>
          <t>F271-543e</t>
        </is>
      </c>
      <c r="B276" s="5" t="inlineStr">
        <is>
          <t>Souche obligataire euro à échéance du 09/06/2026 : nominal</t>
        </is>
      </c>
      <c r="C276" s="21" t="n">
        <v>750</v>
      </c>
      <c r="D276" s="5" t="inlineStr">
        <is>
          <t>M EUR</t>
        </is>
      </c>
      <c r="E276" s="5" t="inlineStr">
        <is>
          <t>31/12/2025</t>
        </is>
      </c>
      <c r="F276" s="22" t="inlineStr">
        <is>
          <t>750</t>
        </is>
      </c>
      <c r="G276" s="5" t="inlineStr">
        <is>
          <t>01_Financial/finance_veolia_urd_2025_en.pdf</t>
        </is>
      </c>
      <c r="H276" s="23" t="n">
        <v>406</v>
      </c>
      <c r="I276" s="5" t="inlineStr">
        <is>
          <t>2 Contrainte</t>
        </is>
      </c>
      <c r="J276" s="22" t="inlineStr">
        <is>
          <t>https://www.veolia.com/sites/g/files/dvc4206/files/document/2026/03/Finance_Veolia_URD_2025_en.pdf</t>
        </is>
      </c>
      <c r="K276" s="22" t="inlineStr">
        <is>
          <t>2026-09-22</t>
        </is>
      </c>
      <c r="L276" s="24" t="inlineStr">
        <is>
          <t>à relire</t>
        </is>
      </c>
    </row>
    <row r="277">
      <c r="A277" s="25" t="inlineStr">
        <is>
          <t>F272-40a3</t>
        </is>
      </c>
      <c r="B277" s="26" t="inlineStr">
        <is>
          <t>Souche obligataire euro à échéance du 30/11/2026 : nominal</t>
        </is>
      </c>
      <c r="C277" s="31" t="n">
        <v>650</v>
      </c>
      <c r="D277" s="26" t="inlineStr">
        <is>
          <t>M EUR</t>
        </is>
      </c>
      <c r="E277" s="26" t="inlineStr">
        <is>
          <t>31/12/2025</t>
        </is>
      </c>
      <c r="F277" s="28" t="inlineStr">
        <is>
          <t>650</t>
        </is>
      </c>
      <c r="G277" s="26" t="inlineStr">
        <is>
          <t>01_Financial/finance_veolia_urd_2025_en.pdf</t>
        </is>
      </c>
      <c r="H277" s="29" t="n">
        <v>406</v>
      </c>
      <c r="I277" s="26" t="inlineStr">
        <is>
          <t>2 Contrainte</t>
        </is>
      </c>
      <c r="J277" s="28" t="inlineStr">
        <is>
          <t>https://www.veolia.com/sites/g/files/dvc4206/files/document/2026/03/Finance_Veolia_URD_2025_en.pdf</t>
        </is>
      </c>
      <c r="K277" s="28" t="inlineStr">
        <is>
          <t>2026-09-22</t>
        </is>
      </c>
      <c r="L277" s="30" t="inlineStr">
        <is>
          <t>à relire</t>
        </is>
      </c>
    </row>
    <row r="278">
      <c r="A278" s="20" t="inlineStr">
        <is>
          <t>F273-8f68</t>
        </is>
      </c>
      <c r="B278" s="5" t="inlineStr">
        <is>
          <t>Émissions obligataires de l'exercice (souscriptions)</t>
        </is>
      </c>
      <c r="C278" s="21" t="n">
        <v>1879</v>
      </c>
      <c r="D278" s="5" t="inlineStr">
        <is>
          <t>M EUR</t>
        </is>
      </c>
      <c r="E278" s="5" t="inlineStr">
        <is>
          <t>FY2025</t>
        </is>
      </c>
      <c r="F278" s="22" t="inlineStr">
        <is>
          <t>1,879</t>
        </is>
      </c>
      <c r="G278" s="5" t="inlineStr">
        <is>
          <t>01_Financial/finance_veolia_urd_2025_en.pdf</t>
        </is>
      </c>
      <c r="H278" s="23" t="n">
        <v>406</v>
      </c>
      <c r="I278" s="5" t="inlineStr">
        <is>
          <t>2 Contrainte</t>
        </is>
      </c>
      <c r="J278" s="22" t="inlineStr">
        <is>
          <t>https://www.veolia.com/sites/g/files/dvc4206/files/document/2026/03/Finance_Veolia_URD_2025_en.pdf</t>
        </is>
      </c>
      <c r="K278" s="22" t="inlineStr">
        <is>
          <t>2026-09-22</t>
        </is>
      </c>
      <c r="L278" s="24" t="inlineStr">
        <is>
          <t>à relire</t>
        </is>
      </c>
    </row>
    <row r="279">
      <c r="A279" s="25" t="inlineStr">
        <is>
          <t>F274-d310</t>
        </is>
      </c>
      <c r="B279" s="26" t="inlineStr">
        <is>
          <t>Remboursements obligataires de l'exercice</t>
        </is>
      </c>
      <c r="C279" s="31" t="n">
        <v>-1482</v>
      </c>
      <c r="D279" s="26" t="inlineStr">
        <is>
          <t>M EUR</t>
        </is>
      </c>
      <c r="E279" s="26" t="inlineStr">
        <is>
          <t>FY2025</t>
        </is>
      </c>
      <c r="F279" s="28" t="inlineStr">
        <is>
          <t>-1,482</t>
        </is>
      </c>
      <c r="G279" s="26" t="inlineStr">
        <is>
          <t>01_Financial/finance_veolia_urd_2025_en.pdf</t>
        </is>
      </c>
      <c r="H279" s="29" t="n">
        <v>406</v>
      </c>
      <c r="I279" s="26" t="inlineStr">
        <is>
          <t>2 Contrainte</t>
        </is>
      </c>
      <c r="J279" s="28" t="inlineStr">
        <is>
          <t>https://www.veolia.com/sites/g/files/dvc4206/files/document/2026/03/Finance_Veolia_URD_2025_en.pdf</t>
        </is>
      </c>
      <c r="K279" s="28" t="inlineStr">
        <is>
          <t>2026-09-22</t>
        </is>
      </c>
      <c r="L279" s="30" t="inlineStr">
        <is>
          <t>à relire</t>
        </is>
      </c>
    </row>
    <row r="280">
      <c r="A280" s="20" t="inlineStr">
        <is>
          <t>F275-5e72</t>
        </is>
      </c>
      <c r="B280" s="5" t="inlineStr">
        <is>
          <t>Émission obligataire du 17/06/2025, tranche 2032 : nominal</t>
        </is>
      </c>
      <c r="C280" s="21" t="n">
        <v>850</v>
      </c>
      <c r="D280" s="5" t="inlineStr">
        <is>
          <t>M EUR</t>
        </is>
      </c>
      <c r="E280" s="5" t="inlineStr">
        <is>
          <t>FY2025</t>
        </is>
      </c>
      <c r="F280" s="22" t="inlineStr">
        <is>
          <t>850</t>
        </is>
      </c>
      <c r="G280" s="5" t="inlineStr">
        <is>
          <t>01_Financial/finance_veolia_urd_2025_en.pdf</t>
        </is>
      </c>
      <c r="H280" s="23" t="n">
        <v>406</v>
      </c>
      <c r="I280" s="5" t="inlineStr">
        <is>
          <t>2 Contrainte</t>
        </is>
      </c>
      <c r="J280" s="22" t="inlineStr">
        <is>
          <t>https://www.veolia.com/sites/g/files/dvc4206/files/document/2026/03/Finance_Veolia_URD_2025_en.pdf</t>
        </is>
      </c>
      <c r="K280" s="22" t="inlineStr">
        <is>
          <t>2026-09-22</t>
        </is>
      </c>
      <c r="L280" s="24" t="inlineStr">
        <is>
          <t>à relire</t>
        </is>
      </c>
    </row>
    <row r="281">
      <c r="A281" s="25" t="inlineStr">
        <is>
          <t>F276-facd</t>
        </is>
      </c>
      <c r="B281" s="26" t="inlineStr">
        <is>
          <t>Émission obligataire du 17/06/2025, tranche 2032 : taux</t>
        </is>
      </c>
      <c r="C281" s="27" t="n">
        <v>3.324</v>
      </c>
      <c r="D281" s="26" t="inlineStr">
        <is>
          <t>%</t>
        </is>
      </c>
      <c r="E281" s="26" t="inlineStr">
        <is>
          <t>FY2025</t>
        </is>
      </c>
      <c r="F281" s="28" t="inlineStr">
        <is>
          <t>3.324</t>
        </is>
      </c>
      <c r="G281" s="26" t="inlineStr">
        <is>
          <t>01_Financial/finance_veolia_urd_2025_en.pdf</t>
        </is>
      </c>
      <c r="H281" s="29" t="n">
        <v>406</v>
      </c>
      <c r="I281" s="26" t="inlineStr">
        <is>
          <t>2 Contrainte</t>
        </is>
      </c>
      <c r="J281" s="28" t="inlineStr">
        <is>
          <t>https://www.veolia.com/sites/g/files/dvc4206/files/document/2026/03/Finance_Veolia_URD_2025_en.pdf</t>
        </is>
      </c>
      <c r="K281" s="28" t="inlineStr">
        <is>
          <t>2026-09-22</t>
        </is>
      </c>
      <c r="L281" s="30" t="inlineStr">
        <is>
          <t>à relire</t>
        </is>
      </c>
    </row>
    <row r="282">
      <c r="A282" s="20" t="inlineStr">
        <is>
          <t>F277</t>
        </is>
      </c>
      <c r="B282" s="5" t="inlineStr">
        <is>
          <t>Émission obligataire du 17/06/2025, tranche 2037 : nominal</t>
        </is>
      </c>
      <c r="C282" s="21" t="n">
        <v>650</v>
      </c>
      <c r="D282" s="5" t="inlineStr">
        <is>
          <t>M EUR</t>
        </is>
      </c>
      <c r="E282" s="5" t="inlineStr">
        <is>
          <t>FY2025</t>
        </is>
      </c>
      <c r="F282" s="22" t="inlineStr">
        <is>
          <t>650</t>
        </is>
      </c>
      <c r="G282" s="5" t="inlineStr">
        <is>
          <t>01_Financial/finance_veolia_urd_2025_en.pdf</t>
        </is>
      </c>
      <c r="H282" s="23" t="n">
        <v>406</v>
      </c>
      <c r="I282" s="5" t="inlineStr">
        <is>
          <t>2 Contrainte</t>
        </is>
      </c>
      <c r="J282" s="22" t="inlineStr">
        <is>
          <t>https://www.veolia.com/sites/g/files/dvc4206/files/document/2026/03/Finance_Veolia_URD_2025_en.pdf</t>
        </is>
      </c>
      <c r="K282" s="22" t="inlineStr">
        <is>
          <t>2026-09-22</t>
        </is>
      </c>
      <c r="L282" s="24" t="inlineStr">
        <is>
          <t>à relire</t>
        </is>
      </c>
    </row>
    <row r="283">
      <c r="A283" s="25" t="inlineStr">
        <is>
          <t>F278</t>
        </is>
      </c>
      <c r="B283" s="26" t="inlineStr">
        <is>
          <t>Émission obligataire du 17/06/2025, tranche 2037 : taux</t>
        </is>
      </c>
      <c r="C283" s="27" t="n">
        <v>3.795</v>
      </c>
      <c r="D283" s="26" t="inlineStr">
        <is>
          <t>%</t>
        </is>
      </c>
      <c r="E283" s="26" t="inlineStr">
        <is>
          <t>FY2025</t>
        </is>
      </c>
      <c r="F283" s="28" t="inlineStr">
        <is>
          <t>3.795</t>
        </is>
      </c>
      <c r="G283" s="26" t="inlineStr">
        <is>
          <t>01_Financial/finance_veolia_urd_2025_en.pdf</t>
        </is>
      </c>
      <c r="H283" s="29" t="n">
        <v>406</v>
      </c>
      <c r="I283" s="26" t="inlineStr">
        <is>
          <t>2 Contrainte</t>
        </is>
      </c>
      <c r="J283" s="28" t="inlineStr">
        <is>
          <t>https://www.veolia.com/sites/g/files/dvc4206/files/document/2026/03/Finance_Veolia_URD_2025_en.pdf</t>
        </is>
      </c>
      <c r="K283" s="28" t="inlineStr">
        <is>
          <t>2026-09-22</t>
        </is>
      </c>
      <c r="L283" s="30" t="inlineStr">
        <is>
          <t>à relire</t>
        </is>
      </c>
    </row>
    <row r="284">
      <c r="A284" s="20" t="inlineStr">
        <is>
          <t>F279</t>
        </is>
      </c>
      <c r="B284" s="5" t="inlineStr">
        <is>
          <t>Souche EMTN Series 43, échéance 14/01/2027 : nominal</t>
        </is>
      </c>
      <c r="C284" s="21" t="n">
        <v>700</v>
      </c>
      <c r="D284" s="5" t="inlineStr">
        <is>
          <t>M EUR</t>
        </is>
      </c>
      <c r="E284" s="5" t="inlineStr">
        <is>
          <t>31/12/2025</t>
        </is>
      </c>
      <c r="F284" s="22" t="inlineStr">
        <is>
          <t>700</t>
        </is>
      </c>
      <c r="G284" s="5" t="inlineStr">
        <is>
          <t>01_Financial/finance_veolia_urd_2025_en.pdf</t>
        </is>
      </c>
      <c r="H284" s="23" t="n">
        <v>407</v>
      </c>
      <c r="I284" s="5" t="inlineStr">
        <is>
          <t>2 Contrainte</t>
        </is>
      </c>
      <c r="J284" s="22" t="inlineStr">
        <is>
          <t>https://www.veolia.com/sites/g/files/dvc4206/files/document/2026/03/Finance_Veolia_URD_2025_en.pdf</t>
        </is>
      </c>
      <c r="K284" s="22" t="inlineStr">
        <is>
          <t>2026-09-22</t>
        </is>
      </c>
      <c r="L284" s="24" t="inlineStr">
        <is>
          <t>à relire</t>
        </is>
      </c>
    </row>
    <row r="285">
      <c r="A285" s="25" t="inlineStr">
        <is>
          <t>F280</t>
        </is>
      </c>
      <c r="B285" s="26" t="inlineStr">
        <is>
          <t>Souche EMTN Series 43, échéance 14/01/2027 : taux</t>
        </is>
      </c>
      <c r="C285" s="31" t="n">
        <v>0</v>
      </c>
      <c r="D285" s="26" t="inlineStr">
        <is>
          <t>%</t>
        </is>
      </c>
      <c r="E285" s="26" t="inlineStr">
        <is>
          <t>31/12/2025</t>
        </is>
      </c>
      <c r="F285" s="28" t="inlineStr">
        <is>
          <t>0.000</t>
        </is>
      </c>
      <c r="G285" s="26" t="inlineStr">
        <is>
          <t>01_Financial/finance_veolia_urd_2025_en.pdf</t>
        </is>
      </c>
      <c r="H285" s="29" t="n">
        <v>407</v>
      </c>
      <c r="I285" s="26" t="inlineStr">
        <is>
          <t>2 Contrainte</t>
        </is>
      </c>
      <c r="J285" s="28" t="inlineStr">
        <is>
          <t>https://www.veolia.com/sites/g/files/dvc4206/files/document/2026/03/Finance_Veolia_URD_2025_en.pdf</t>
        </is>
      </c>
      <c r="K285" s="28" t="inlineStr">
        <is>
          <t>2026-09-22</t>
        </is>
      </c>
      <c r="L285" s="30" t="inlineStr">
        <is>
          <t>à relire</t>
        </is>
      </c>
    </row>
    <row r="286">
      <c r="A286" s="20" t="inlineStr">
        <is>
          <t>F281</t>
        </is>
      </c>
      <c r="B286" s="5" t="inlineStr">
        <is>
          <t>Souche EMTN Series 29 (PEO), échéance 30/03/2027 : nominal</t>
        </is>
      </c>
      <c r="C286" s="21" t="n">
        <v>750</v>
      </c>
      <c r="D286" s="5" t="inlineStr">
        <is>
          <t>M EUR</t>
        </is>
      </c>
      <c r="E286" s="5" t="inlineStr">
        <is>
          <t>31/12/2025</t>
        </is>
      </c>
      <c r="F286" s="22" t="inlineStr">
        <is>
          <t>750</t>
        </is>
      </c>
      <c r="G286" s="5" t="inlineStr">
        <is>
          <t>01_Financial/finance_veolia_urd_2025_en.pdf</t>
        </is>
      </c>
      <c r="H286" s="23" t="n">
        <v>407</v>
      </c>
      <c r="I286" s="5" t="inlineStr">
        <is>
          <t>2 Contrainte</t>
        </is>
      </c>
      <c r="J286" s="22" t="inlineStr">
        <is>
          <t>https://www.veolia.com/sites/g/files/dvc4206/files/document/2026/03/Finance_Veolia_URD_2025_en.pdf</t>
        </is>
      </c>
      <c r="K286" s="22" t="inlineStr">
        <is>
          <t>2026-09-22</t>
        </is>
      </c>
      <c r="L286" s="24" t="inlineStr">
        <is>
          <t>à relire</t>
        </is>
      </c>
    </row>
    <row r="287">
      <c r="A287" s="25" t="inlineStr">
        <is>
          <t>F282</t>
        </is>
      </c>
      <c r="B287" s="26" t="inlineStr">
        <is>
          <t>Souche EMTN Series 29 (PEO), échéance 30/03/2027 : taux</t>
        </is>
      </c>
      <c r="C287" s="27" t="n">
        <v>4.625</v>
      </c>
      <c r="D287" s="26" t="inlineStr">
        <is>
          <t>%</t>
        </is>
      </c>
      <c r="E287" s="26" t="inlineStr">
        <is>
          <t>31/12/2025</t>
        </is>
      </c>
      <c r="F287" s="28" t="inlineStr">
        <is>
          <t>4.625</t>
        </is>
      </c>
      <c r="G287" s="26" t="inlineStr">
        <is>
          <t>01_Financial/finance_veolia_urd_2025_en.pdf</t>
        </is>
      </c>
      <c r="H287" s="29" t="n">
        <v>407</v>
      </c>
      <c r="I287" s="26" t="inlineStr">
        <is>
          <t>2 Contrainte</t>
        </is>
      </c>
      <c r="J287" s="28" t="inlineStr">
        <is>
          <t>https://www.veolia.com/sites/g/files/dvc4206/files/document/2026/03/Finance_Veolia_URD_2025_en.pdf</t>
        </is>
      </c>
      <c r="K287" s="28" t="inlineStr">
        <is>
          <t>2026-09-22</t>
        </is>
      </c>
      <c r="L287" s="30" t="inlineStr">
        <is>
          <t>à relire</t>
        </is>
      </c>
    </row>
    <row r="288">
      <c r="A288" s="20" t="inlineStr">
        <is>
          <t>F283</t>
        </is>
      </c>
      <c r="B288" s="5" t="inlineStr">
        <is>
          <t>Souche EMTN Series 23, échéance 02/04/2027 : nominal</t>
        </is>
      </c>
      <c r="C288" s="21" t="n">
        <v>850</v>
      </c>
      <c r="D288" s="5" t="inlineStr">
        <is>
          <t>M EUR</t>
        </is>
      </c>
      <c r="E288" s="5" t="inlineStr">
        <is>
          <t>31/12/2025</t>
        </is>
      </c>
      <c r="F288" s="22" t="inlineStr">
        <is>
          <t>850</t>
        </is>
      </c>
      <c r="G288" s="5" t="inlineStr">
        <is>
          <t>01_Financial/finance_veolia_urd_2025_en.pdf</t>
        </is>
      </c>
      <c r="H288" s="23" t="n">
        <v>407</v>
      </c>
      <c r="I288" s="5" t="inlineStr">
        <is>
          <t>2 Contrainte</t>
        </is>
      </c>
      <c r="J288" s="22" t="inlineStr">
        <is>
          <t>https://www.veolia.com/sites/g/files/dvc4206/files/document/2026/03/Finance_Veolia_URD_2025_en.pdf</t>
        </is>
      </c>
      <c r="K288" s="22" t="inlineStr">
        <is>
          <t>2026-09-22</t>
        </is>
      </c>
      <c r="L288" s="24" t="inlineStr">
        <is>
          <t>à relire</t>
        </is>
      </c>
    </row>
    <row r="289">
      <c r="A289" s="25" t="inlineStr">
        <is>
          <t>F284</t>
        </is>
      </c>
      <c r="B289" s="26" t="inlineStr">
        <is>
          <t>Souche EMTN Series 23, échéance 02/04/2027 : taux</t>
        </is>
      </c>
      <c r="C289" s="27" t="n">
        <v>1.25</v>
      </c>
      <c r="D289" s="26" t="inlineStr">
        <is>
          <t>%</t>
        </is>
      </c>
      <c r="E289" s="26" t="inlineStr">
        <is>
          <t>31/12/2025</t>
        </is>
      </c>
      <c r="F289" s="28" t="inlineStr">
        <is>
          <t>1.250</t>
        </is>
      </c>
      <c r="G289" s="26" t="inlineStr">
        <is>
          <t>01_Financial/finance_veolia_urd_2025_en.pdf</t>
        </is>
      </c>
      <c r="H289" s="29" t="n">
        <v>407</v>
      </c>
      <c r="I289" s="26" t="inlineStr">
        <is>
          <t>2 Contrainte</t>
        </is>
      </c>
      <c r="J289" s="28" t="inlineStr">
        <is>
          <t>https://www.veolia.com/sites/g/files/dvc4206/files/document/2026/03/Finance_Veolia_URD_2025_en.pdf</t>
        </is>
      </c>
      <c r="K289" s="28" t="inlineStr">
        <is>
          <t>2026-09-22</t>
        </is>
      </c>
      <c r="L289" s="30" t="inlineStr">
        <is>
          <t>à relire</t>
        </is>
      </c>
    </row>
    <row r="290">
      <c r="A290" s="20" t="inlineStr">
        <is>
          <t>F285</t>
        </is>
      </c>
      <c r="B290" s="5" t="inlineStr">
        <is>
          <t>Souche EMTN Series 3, échéance 08/06/2027 : nominal</t>
        </is>
      </c>
      <c r="C290" s="21" t="n">
        <v>250</v>
      </c>
      <c r="D290" s="5" t="inlineStr">
        <is>
          <t>M EUR</t>
        </is>
      </c>
      <c r="E290" s="5" t="inlineStr">
        <is>
          <t>31/12/2025</t>
        </is>
      </c>
      <c r="F290" s="22" t="inlineStr">
        <is>
          <t>250</t>
        </is>
      </c>
      <c r="G290" s="5" t="inlineStr">
        <is>
          <t>01_Financial/finance_veolia_urd_2025_en.pdf</t>
        </is>
      </c>
      <c r="H290" s="23" t="n">
        <v>407</v>
      </c>
      <c r="I290" s="5" t="inlineStr">
        <is>
          <t>2 Contrainte</t>
        </is>
      </c>
      <c r="J290" s="22" t="inlineStr">
        <is>
          <t>https://www.veolia.com/sites/g/files/dvc4206/files/document/2026/03/Finance_Veolia_URD_2025_en.pdf</t>
        </is>
      </c>
      <c r="K290" s="22" t="inlineStr">
        <is>
          <t>2026-09-22</t>
        </is>
      </c>
      <c r="L290" s="24" t="inlineStr">
        <is>
          <t>à relire</t>
        </is>
      </c>
    </row>
    <row r="291">
      <c r="A291" s="25" t="inlineStr">
        <is>
          <t>F286</t>
        </is>
      </c>
      <c r="B291" s="26" t="inlineStr">
        <is>
          <t>Souche EMTN Series 3, échéance 08/06/2027 : taux</t>
        </is>
      </c>
      <c r="C291" s="27" t="n">
        <v>1.904</v>
      </c>
      <c r="D291" s="26" t="inlineStr">
        <is>
          <t>%</t>
        </is>
      </c>
      <c r="E291" s="26" t="inlineStr">
        <is>
          <t>31/12/2025</t>
        </is>
      </c>
      <c r="F291" s="28" t="inlineStr">
        <is>
          <t>1.904</t>
        </is>
      </c>
      <c r="G291" s="26" t="inlineStr">
        <is>
          <t>01_Financial/finance_veolia_urd_2025_en.pdf</t>
        </is>
      </c>
      <c r="H291" s="29" t="n">
        <v>407</v>
      </c>
      <c r="I291" s="26" t="inlineStr">
        <is>
          <t>2 Contrainte</t>
        </is>
      </c>
      <c r="J291" s="28" t="inlineStr">
        <is>
          <t>https://www.veolia.com/sites/g/files/dvc4206/files/document/2026/03/Finance_Veolia_URD_2025_en.pdf</t>
        </is>
      </c>
      <c r="K291" s="28" t="inlineStr">
        <is>
          <t>2026-09-22</t>
        </is>
      </c>
      <c r="L291" s="30" t="inlineStr">
        <is>
          <t>à relire</t>
        </is>
      </c>
    </row>
    <row r="292">
      <c r="A292" s="20" t="inlineStr">
        <is>
          <t>F287</t>
        </is>
      </c>
      <c r="B292" s="5" t="inlineStr">
        <is>
          <t>Souche EMTN Series 31 (PEO), échéance 10/01/2028 : nominal</t>
        </is>
      </c>
      <c r="C292" s="21" t="n">
        <v>500</v>
      </c>
      <c r="D292" s="5" t="inlineStr">
        <is>
          <t>M EUR</t>
        </is>
      </c>
      <c r="E292" s="5" t="inlineStr">
        <is>
          <t>31/12/2025</t>
        </is>
      </c>
      <c r="F292" s="22" t="inlineStr">
        <is>
          <t>500</t>
        </is>
      </c>
      <c r="G292" s="5" t="inlineStr">
        <is>
          <t>01_Financial/finance_veolia_urd_2025_en.pdf</t>
        </is>
      </c>
      <c r="H292" s="23" t="n">
        <v>407</v>
      </c>
      <c r="I292" s="5" t="inlineStr">
        <is>
          <t>2 Contrainte</t>
        </is>
      </c>
      <c r="J292" s="22" t="inlineStr">
        <is>
          <t>https://www.veolia.com/sites/g/files/dvc4206/files/document/2026/03/Finance_Veolia_URD_2025_en.pdf</t>
        </is>
      </c>
      <c r="K292" s="22" t="inlineStr">
        <is>
          <t>2026-09-22</t>
        </is>
      </c>
      <c r="L292" s="24" t="inlineStr">
        <is>
          <t>à relire</t>
        </is>
      </c>
    </row>
    <row r="293">
      <c r="A293" s="25" t="inlineStr">
        <is>
          <t>F288</t>
        </is>
      </c>
      <c r="B293" s="26" t="inlineStr">
        <is>
          <t>Souche EMTN Series 31 (PEO), échéance 10/01/2028 : taux</t>
        </is>
      </c>
      <c r="C293" s="27" t="n">
        <v>1.59</v>
      </c>
      <c r="D293" s="26" t="inlineStr">
        <is>
          <t>%</t>
        </is>
      </c>
      <c r="E293" s="26" t="inlineStr">
        <is>
          <t>31/12/2025</t>
        </is>
      </c>
      <c r="F293" s="28" t="inlineStr">
        <is>
          <t>1.590</t>
        </is>
      </c>
      <c r="G293" s="26" t="inlineStr">
        <is>
          <t>01_Financial/finance_veolia_urd_2025_en.pdf</t>
        </is>
      </c>
      <c r="H293" s="29" t="n">
        <v>407</v>
      </c>
      <c r="I293" s="26" t="inlineStr">
        <is>
          <t>2 Contrainte</t>
        </is>
      </c>
      <c r="J293" s="28" t="inlineStr">
        <is>
          <t>https://www.veolia.com/sites/g/files/dvc4206/files/document/2026/03/Finance_Veolia_URD_2025_en.pdf</t>
        </is>
      </c>
      <c r="K293" s="28" t="inlineStr">
        <is>
          <t>2026-09-22</t>
        </is>
      </c>
      <c r="L293" s="30" t="inlineStr">
        <is>
          <t>à relire</t>
        </is>
      </c>
    </row>
    <row r="294">
      <c r="A294" s="20" t="inlineStr">
        <is>
          <t>F289</t>
        </is>
      </c>
      <c r="B294" s="5" t="inlineStr">
        <is>
          <t>Souche EMTN Series 9 (GBP), échéance 02/12/2030 : nominal</t>
        </is>
      </c>
      <c r="C294" s="21" t="n">
        <v>287</v>
      </c>
      <c r="D294" s="5" t="inlineStr">
        <is>
          <t>M EUR</t>
        </is>
      </c>
      <c r="E294" s="5" t="inlineStr">
        <is>
          <t>31/12/2025</t>
        </is>
      </c>
      <c r="F294" s="22" t="inlineStr">
        <is>
          <t>287</t>
        </is>
      </c>
      <c r="G294" s="5" t="inlineStr">
        <is>
          <t>01_Financial/finance_veolia_urd_2025_en.pdf</t>
        </is>
      </c>
      <c r="H294" s="23" t="n">
        <v>407</v>
      </c>
      <c r="I294" s="5" t="inlineStr">
        <is>
          <t>2 Contrainte</t>
        </is>
      </c>
      <c r="J294" s="22" t="inlineStr">
        <is>
          <t>https://www.veolia.com/sites/g/files/dvc4206/files/document/2026/03/Finance_Veolia_URD_2025_en.pdf</t>
        </is>
      </c>
      <c r="K294" s="22" t="inlineStr">
        <is>
          <t>2026-09-22</t>
        </is>
      </c>
      <c r="L294" s="24" t="inlineStr">
        <is>
          <t>à relire</t>
        </is>
      </c>
    </row>
    <row r="295">
      <c r="A295" s="25" t="inlineStr">
        <is>
          <t>F290</t>
        </is>
      </c>
      <c r="B295" s="26" t="inlineStr">
        <is>
          <t>Souches EMTN : nominal total</t>
        </is>
      </c>
      <c r="C295" s="31" t="n">
        <v>13831</v>
      </c>
      <c r="D295" s="26" t="inlineStr">
        <is>
          <t>M EUR</t>
        </is>
      </c>
      <c r="E295" s="26" t="inlineStr">
        <is>
          <t>31/12/2025</t>
        </is>
      </c>
      <c r="F295" s="28" t="inlineStr">
        <is>
          <t>13,831</t>
        </is>
      </c>
      <c r="G295" s="26" t="inlineStr">
        <is>
          <t>01_Financial/finance_veolia_urd_2025_en.pdf</t>
        </is>
      </c>
      <c r="H295" s="29" t="n">
        <v>407</v>
      </c>
      <c r="I295" s="26" t="inlineStr">
        <is>
          <t>2 Contrainte</t>
        </is>
      </c>
      <c r="J295" s="28" t="inlineStr">
        <is>
          <t>https://www.veolia.com/sites/g/files/dvc4206/files/document/2026/03/Finance_Veolia_URD_2025_en.pdf</t>
        </is>
      </c>
      <c r="K295" s="28" t="inlineStr">
        <is>
          <t>2026-09-22</t>
        </is>
      </c>
      <c r="L295" s="30" t="inlineStr">
        <is>
          <t>à relire</t>
        </is>
      </c>
    </row>
    <row r="296">
      <c r="A296" s="20" t="inlineStr">
        <is>
          <t>F291</t>
        </is>
      </c>
      <c r="B296" s="5" t="inlineStr">
        <is>
          <t>Emprunts obligataires non courants : valeur nette comptable totale</t>
        </is>
      </c>
      <c r="C296" s="21" t="n">
        <v>16541</v>
      </c>
      <c r="D296" s="5" t="inlineStr">
        <is>
          <t>M EUR</t>
        </is>
      </c>
      <c r="E296" s="5" t="inlineStr">
        <is>
          <t>31/12/2025</t>
        </is>
      </c>
      <c r="F296" s="22" t="inlineStr">
        <is>
          <t>16,541</t>
        </is>
      </c>
      <c r="G296" s="5" t="inlineStr">
        <is>
          <t>01_Financial/finance_veolia_urd_2025_en.pdf</t>
        </is>
      </c>
      <c r="H296" s="23" t="n">
        <v>407</v>
      </c>
      <c r="I296" s="5" t="inlineStr">
        <is>
          <t>2 Contrainte</t>
        </is>
      </c>
      <c r="J296" s="22" t="inlineStr">
        <is>
          <t>https://www.veolia.com/sites/g/files/dvc4206/files/document/2026/03/Finance_Veolia_URD_2025_en.pdf</t>
        </is>
      </c>
      <c r="K296" s="22" t="inlineStr">
        <is>
          <t>2026-09-22</t>
        </is>
      </c>
      <c r="L296" s="24" t="inlineStr">
        <is>
          <t>à relire</t>
        </is>
      </c>
    </row>
    <row r="297">
      <c r="A297" s="25" t="inlineStr">
        <is>
          <t>F292</t>
        </is>
      </c>
      <c r="B297" s="26" t="inlineStr">
        <is>
          <t>Autres passifs financiers à moins d'un an</t>
        </is>
      </c>
      <c r="C297" s="31" t="n">
        <v>6890</v>
      </c>
      <c r="D297" s="26" t="inlineStr">
        <is>
          <t>M EUR</t>
        </is>
      </c>
      <c r="E297" s="26" t="inlineStr">
        <is>
          <t>31/12/2025</t>
        </is>
      </c>
      <c r="F297" s="28" t="inlineStr">
        <is>
          <t>6,890</t>
        </is>
      </c>
      <c r="G297" s="26" t="inlineStr">
        <is>
          <t>01_Financial/finance_veolia_urd_2025_en.pdf</t>
        </is>
      </c>
      <c r="H297" s="29" t="n">
        <v>408</v>
      </c>
      <c r="I297" s="26" t="inlineStr">
        <is>
          <t>2 Contrainte</t>
        </is>
      </c>
      <c r="J297" s="28" t="inlineStr">
        <is>
          <t>https://www.veolia.com/sites/g/files/dvc4206/files/document/2026/03/Finance_Veolia_URD_2025_en.pdf</t>
        </is>
      </c>
      <c r="K297" s="28" t="inlineStr">
        <is>
          <t>2026-09-22</t>
        </is>
      </c>
      <c r="L297" s="30" t="inlineStr">
        <is>
          <t>à relire</t>
        </is>
      </c>
    </row>
    <row r="298">
      <c r="A298" s="20" t="inlineStr">
        <is>
          <t>F293</t>
        </is>
      </c>
      <c r="B298" s="5" t="inlineStr">
        <is>
          <t>Autres passifs financiers à échéance de 1 à 3 ans</t>
        </is>
      </c>
      <c r="C298" s="21" t="n">
        <v>1064</v>
      </c>
      <c r="D298" s="5" t="inlineStr">
        <is>
          <t>M EUR</t>
        </is>
      </c>
      <c r="E298" s="5" t="inlineStr">
        <is>
          <t>31/12/2025</t>
        </is>
      </c>
      <c r="F298" s="22" t="inlineStr">
        <is>
          <t>1,064</t>
        </is>
      </c>
      <c r="G298" s="5" t="inlineStr">
        <is>
          <t>01_Financial/finance_veolia_urd_2025_en.pdf</t>
        </is>
      </c>
      <c r="H298" s="23" t="n">
        <v>408</v>
      </c>
      <c r="I298" s="5" t="inlineStr">
        <is>
          <t>2 Contrainte</t>
        </is>
      </c>
      <c r="J298" s="22" t="inlineStr">
        <is>
          <t>https://www.veolia.com/sites/g/files/dvc4206/files/document/2026/03/Finance_Veolia_URD_2025_en.pdf</t>
        </is>
      </c>
      <c r="K298" s="22" t="inlineStr">
        <is>
          <t>2026-09-22</t>
        </is>
      </c>
      <c r="L298" s="24" t="inlineStr">
        <is>
          <t>à relire</t>
        </is>
      </c>
    </row>
    <row r="299">
      <c r="A299" s="25" t="inlineStr">
        <is>
          <t>F294</t>
        </is>
      </c>
      <c r="B299" s="26" t="inlineStr">
        <is>
          <t>Autres passifs financiers à échéance de 4 à 5 ans</t>
        </is>
      </c>
      <c r="C299" s="31" t="n">
        <v>462</v>
      </c>
      <c r="D299" s="26" t="inlineStr">
        <is>
          <t>M EUR</t>
        </is>
      </c>
      <c r="E299" s="26" t="inlineStr">
        <is>
          <t>31/12/2025</t>
        </is>
      </c>
      <c r="F299" s="28" t="inlineStr">
        <is>
          <t>462</t>
        </is>
      </c>
      <c r="G299" s="26" t="inlineStr">
        <is>
          <t>01_Financial/finance_veolia_urd_2025_en.pdf</t>
        </is>
      </c>
      <c r="H299" s="29" t="n">
        <v>408</v>
      </c>
      <c r="I299" s="26" t="inlineStr">
        <is>
          <t>2 Contrainte</t>
        </is>
      </c>
      <c r="J299" s="28" t="inlineStr">
        <is>
          <t>https://www.veolia.com/sites/g/files/dvc4206/files/document/2026/03/Finance_Veolia_URD_2025_en.pdf</t>
        </is>
      </c>
      <c r="K299" s="28" t="inlineStr">
        <is>
          <t>2026-09-22</t>
        </is>
      </c>
      <c r="L299" s="30" t="inlineStr">
        <is>
          <t>à relire</t>
        </is>
      </c>
    </row>
    <row r="300">
      <c r="A300" s="20" t="inlineStr">
        <is>
          <t>F295</t>
        </is>
      </c>
      <c r="B300" s="5" t="inlineStr">
        <is>
          <t>Autres passifs financiers à plus de 5 ans</t>
        </is>
      </c>
      <c r="C300" s="21" t="n">
        <v>911</v>
      </c>
      <c r="D300" s="5" t="inlineStr">
        <is>
          <t>M EUR</t>
        </is>
      </c>
      <c r="E300" s="5" t="inlineStr">
        <is>
          <t>31/12/2025</t>
        </is>
      </c>
      <c r="F300" s="22" t="inlineStr">
        <is>
          <t>911</t>
        </is>
      </c>
      <c r="G300" s="5" t="inlineStr">
        <is>
          <t>01_Financial/finance_veolia_urd_2025_en.pdf</t>
        </is>
      </c>
      <c r="H300" s="23" t="n">
        <v>408</v>
      </c>
      <c r="I300" s="5" t="inlineStr">
        <is>
          <t>2 Contrainte</t>
        </is>
      </c>
      <c r="J300" s="22" t="inlineStr">
        <is>
          <t>https://www.veolia.com/sites/g/files/dvc4206/files/document/2026/03/Finance_Veolia_URD_2025_en.pdf</t>
        </is>
      </c>
      <c r="K300" s="22" t="inlineStr">
        <is>
          <t>2026-09-22</t>
        </is>
      </c>
      <c r="L300" s="24" t="inlineStr">
        <is>
          <t>à relire</t>
        </is>
      </c>
    </row>
    <row r="301">
      <c r="A301" s="25" t="inlineStr">
        <is>
          <t>F296</t>
        </is>
      </c>
      <c r="B301" s="26" t="inlineStr">
        <is>
          <t>Billets de trésorerie (commercial paper) de Veolia Environnement</t>
        </is>
      </c>
      <c r="C301" s="31" t="n">
        <v>4933</v>
      </c>
      <c r="D301" s="26" t="inlineStr">
        <is>
          <t>M EUR</t>
        </is>
      </c>
      <c r="E301" s="26" t="inlineStr">
        <is>
          <t>31/12/2025</t>
        </is>
      </c>
      <c r="F301" s="28" t="inlineStr">
        <is>
          <t>4,933</t>
        </is>
      </c>
      <c r="G301" s="26" t="inlineStr">
        <is>
          <t>01_Financial/finance_veolia_urd_2025_en.pdf</t>
        </is>
      </c>
      <c r="H301" s="29" t="n">
        <v>408</v>
      </c>
      <c r="I301" s="26" t="inlineStr">
        <is>
          <t>2 Contrainte</t>
        </is>
      </c>
      <c r="J301" s="28" t="inlineStr">
        <is>
          <t>https://www.veolia.com/sites/g/files/dvc4206/files/document/2026/03/Finance_Veolia_URD_2025_en.pdf</t>
        </is>
      </c>
      <c r="K301" s="28" t="inlineStr">
        <is>
          <t>2026-09-22</t>
        </is>
      </c>
      <c r="L301" s="30" t="inlineStr">
        <is>
          <t>à relire</t>
        </is>
      </c>
    </row>
    <row r="302">
      <c r="A302" s="20" t="inlineStr">
        <is>
          <t>F297</t>
        </is>
      </c>
      <c r="B302" s="5" t="inlineStr">
        <is>
          <t>Titres super-subordonnés dont le remboursement est notifié, payés le 09/02/2026</t>
        </is>
      </c>
      <c r="C302" s="21" t="n">
        <v>863</v>
      </c>
      <c r="D302" s="5" t="inlineStr">
        <is>
          <t>M EUR</t>
        </is>
      </c>
      <c r="E302" s="5" t="inlineStr">
        <is>
          <t>31/12/2025</t>
        </is>
      </c>
      <c r="F302" s="22" t="inlineStr">
        <is>
          <t>863</t>
        </is>
      </c>
      <c r="G302" s="5" t="inlineStr">
        <is>
          <t>01_Financial/finance_veolia_urd_2025_en.pdf</t>
        </is>
      </c>
      <c r="H302" s="23" t="n">
        <v>408</v>
      </c>
      <c r="I302" s="5" t="inlineStr">
        <is>
          <t>2 Contrainte</t>
        </is>
      </c>
      <c r="J302" s="22" t="inlineStr">
        <is>
          <t>https://www.veolia.com/sites/g/files/dvc4206/files/document/2026/03/Finance_Veolia_URD_2025_en.pdf</t>
        </is>
      </c>
      <c r="K302" s="22" t="inlineStr">
        <is>
          <t>2026-09-22</t>
        </is>
      </c>
      <c r="L302" s="24" t="inlineStr">
        <is>
          <t>à relire</t>
        </is>
      </c>
    </row>
    <row r="303">
      <c r="A303" s="25" t="inlineStr">
        <is>
          <t>F298</t>
        </is>
      </c>
      <c r="B303" s="26" t="inlineStr">
        <is>
          <t>Intérêts courus sur la dette</t>
        </is>
      </c>
      <c r="C303" s="31" t="n">
        <v>186</v>
      </c>
      <c r="D303" s="26" t="inlineStr">
        <is>
          <t>M EUR</t>
        </is>
      </c>
      <c r="E303" s="26" t="inlineStr">
        <is>
          <t>31/12/2025</t>
        </is>
      </c>
      <c r="F303" s="28" t="inlineStr">
        <is>
          <t>186</t>
        </is>
      </c>
      <c r="G303" s="26" t="inlineStr">
        <is>
          <t>01_Financial/finance_veolia_urd_2025_en.pdf</t>
        </is>
      </c>
      <c r="H303" s="29" t="n">
        <v>408</v>
      </c>
      <c r="I303" s="26" t="inlineStr">
        <is>
          <t>2 Contrainte</t>
        </is>
      </c>
      <c r="J303" s="28" t="inlineStr">
        <is>
          <t>https://www.veolia.com/sites/g/files/dvc4206/files/document/2026/03/Finance_Veolia_URD_2025_en.pdf</t>
        </is>
      </c>
      <c r="K303" s="28" t="inlineStr">
        <is>
          <t>2026-09-22</t>
        </is>
      </c>
      <c r="L303" s="30" t="inlineStr">
        <is>
          <t>à relire</t>
        </is>
      </c>
    </row>
    <row r="304">
      <c r="A304" s="20" t="inlineStr">
        <is>
          <t>F299</t>
        </is>
      </c>
      <c r="B304" s="5" t="inlineStr">
        <is>
          <t>Remboursement de billets de trésorerie sur l'exercice</t>
        </is>
      </c>
      <c r="C304" s="21" t="n">
        <v>1108</v>
      </c>
      <c r="D304" s="5" t="inlineStr">
        <is>
          <t>M EUR</t>
        </is>
      </c>
      <c r="E304" s="5" t="inlineStr">
        <is>
          <t>FY2025</t>
        </is>
      </c>
      <c r="F304" s="22" t="inlineStr">
        <is>
          <t>1,108</t>
        </is>
      </c>
      <c r="G304" s="5" t="inlineStr">
        <is>
          <t>01_Financial/finance_veolia_urd_2025_en.pdf</t>
        </is>
      </c>
      <c r="H304" s="23" t="n">
        <v>408</v>
      </c>
      <c r="I304" s="5" t="inlineStr">
        <is>
          <t>2 Contrainte</t>
        </is>
      </c>
      <c r="J304" s="22" t="inlineStr">
        <is>
          <t>https://www.veolia.com/sites/g/files/dvc4206/files/document/2026/03/Finance_Veolia_URD_2025_en.pdf</t>
        </is>
      </c>
      <c r="K304" s="22" t="inlineStr">
        <is>
          <t>2026-09-22</t>
        </is>
      </c>
      <c r="L304" s="24" t="inlineStr">
        <is>
          <t>à relire</t>
        </is>
      </c>
    </row>
    <row r="305">
      <c r="A305" s="25" t="inlineStr">
        <is>
          <t>F300</t>
        </is>
      </c>
      <c r="B305" s="26" t="inlineStr">
        <is>
          <t>Dette de loyers IFRS 16 à 1 an</t>
        </is>
      </c>
      <c r="C305" s="31" t="n">
        <v>469</v>
      </c>
      <c r="D305" s="26" t="inlineStr">
        <is>
          <t>M EUR</t>
        </is>
      </c>
      <c r="E305" s="26" t="inlineStr">
        <is>
          <t>31/12/2025</t>
        </is>
      </c>
      <c r="F305" s="28" t="inlineStr">
        <is>
          <t>469</t>
        </is>
      </c>
      <c r="G305" s="26" t="inlineStr">
        <is>
          <t>01_Financial/finance_veolia_urd_2025_en.pdf</t>
        </is>
      </c>
      <c r="H305" s="29" t="n">
        <v>409</v>
      </c>
      <c r="I305" s="26" t="inlineStr">
        <is>
          <t>2 Contrainte</t>
        </is>
      </c>
      <c r="J305" s="28" t="inlineStr">
        <is>
          <t>https://www.veolia.com/sites/g/files/dvc4206/files/document/2026/03/Finance_Veolia_URD_2025_en.pdf</t>
        </is>
      </c>
      <c r="K305" s="28" t="inlineStr">
        <is>
          <t>2026-09-22</t>
        </is>
      </c>
      <c r="L305" s="30" t="inlineStr">
        <is>
          <t>à relire</t>
        </is>
      </c>
    </row>
    <row r="306">
      <c r="A306" s="20" t="inlineStr">
        <is>
          <t>F301</t>
        </is>
      </c>
      <c r="B306" s="5" t="inlineStr">
        <is>
          <t>Dette de loyers IFRS 16 à 2 ans</t>
        </is>
      </c>
      <c r="C306" s="21" t="n">
        <v>361</v>
      </c>
      <c r="D306" s="5" t="inlineStr">
        <is>
          <t>M EUR</t>
        </is>
      </c>
      <c r="E306" s="5" t="inlineStr">
        <is>
          <t>31/12/2025</t>
        </is>
      </c>
      <c r="F306" s="22" t="inlineStr">
        <is>
          <t>361</t>
        </is>
      </c>
      <c r="G306" s="5" t="inlineStr">
        <is>
          <t>01_Financial/finance_veolia_urd_2025_en.pdf</t>
        </is>
      </c>
      <c r="H306" s="23" t="n">
        <v>409</v>
      </c>
      <c r="I306" s="5" t="inlineStr">
        <is>
          <t>2 Contrainte</t>
        </is>
      </c>
      <c r="J306" s="22" t="inlineStr">
        <is>
          <t>https://www.veolia.com/sites/g/files/dvc4206/files/document/2026/03/Finance_Veolia_URD_2025_en.pdf</t>
        </is>
      </c>
      <c r="K306" s="22" t="inlineStr">
        <is>
          <t>2026-09-22</t>
        </is>
      </c>
      <c r="L306" s="24" t="inlineStr">
        <is>
          <t>à relire</t>
        </is>
      </c>
    </row>
    <row r="307">
      <c r="A307" s="25" t="inlineStr">
        <is>
          <t>F302</t>
        </is>
      </c>
      <c r="B307" s="26" t="inlineStr">
        <is>
          <t>Dette de loyers IFRS 16 à 3 ans</t>
        </is>
      </c>
      <c r="C307" s="31" t="n">
        <v>300</v>
      </c>
      <c r="D307" s="26" t="inlineStr">
        <is>
          <t>M EUR</t>
        </is>
      </c>
      <c r="E307" s="26" t="inlineStr">
        <is>
          <t>31/12/2025</t>
        </is>
      </c>
      <c r="F307" s="28" t="inlineStr">
        <is>
          <t>300</t>
        </is>
      </c>
      <c r="G307" s="26" t="inlineStr">
        <is>
          <t>01_Financial/finance_veolia_urd_2025_en.pdf</t>
        </is>
      </c>
      <c r="H307" s="29" t="n">
        <v>409</v>
      </c>
      <c r="I307" s="26" t="inlineStr">
        <is>
          <t>2 Contrainte</t>
        </is>
      </c>
      <c r="J307" s="28" t="inlineStr">
        <is>
          <t>https://www.veolia.com/sites/g/files/dvc4206/files/document/2026/03/Finance_Veolia_URD_2025_en.pdf</t>
        </is>
      </c>
      <c r="K307" s="28" t="inlineStr">
        <is>
          <t>2026-09-22</t>
        </is>
      </c>
      <c r="L307" s="30" t="inlineStr">
        <is>
          <t>à relire</t>
        </is>
      </c>
    </row>
    <row r="308">
      <c r="A308" s="20" t="inlineStr">
        <is>
          <t>F303</t>
        </is>
      </c>
      <c r="B308" s="5" t="inlineStr">
        <is>
          <t>Dette de loyers IFRS 16 à 4 ans</t>
        </is>
      </c>
      <c r="C308" s="21" t="n">
        <v>184</v>
      </c>
      <c r="D308" s="5" t="inlineStr">
        <is>
          <t>M EUR</t>
        </is>
      </c>
      <c r="E308" s="5" t="inlineStr">
        <is>
          <t>31/12/2025</t>
        </is>
      </c>
      <c r="F308" s="22" t="inlineStr">
        <is>
          <t>184</t>
        </is>
      </c>
      <c r="G308" s="5" t="inlineStr">
        <is>
          <t>01_Financial/finance_veolia_urd_2025_en.pdf</t>
        </is>
      </c>
      <c r="H308" s="23" t="n">
        <v>409</v>
      </c>
      <c r="I308" s="5" t="inlineStr">
        <is>
          <t>2 Contrainte</t>
        </is>
      </c>
      <c r="J308" s="22" t="inlineStr">
        <is>
          <t>https://www.veolia.com/sites/g/files/dvc4206/files/document/2026/03/Finance_Veolia_URD_2025_en.pdf</t>
        </is>
      </c>
      <c r="K308" s="22" t="inlineStr">
        <is>
          <t>2026-09-22</t>
        </is>
      </c>
      <c r="L308" s="24" t="inlineStr">
        <is>
          <t>à relire</t>
        </is>
      </c>
    </row>
    <row r="309">
      <c r="A309" s="25" t="inlineStr">
        <is>
          <t>F304</t>
        </is>
      </c>
      <c r="B309" s="26" t="inlineStr">
        <is>
          <t>Dette de loyers IFRS 16 à 5 ans</t>
        </is>
      </c>
      <c r="C309" s="31" t="n">
        <v>136</v>
      </c>
      <c r="D309" s="26" t="inlineStr">
        <is>
          <t>M EUR</t>
        </is>
      </c>
      <c r="E309" s="26" t="inlineStr">
        <is>
          <t>31/12/2025</t>
        </is>
      </c>
      <c r="F309" s="28" t="inlineStr">
        <is>
          <t>136</t>
        </is>
      </c>
      <c r="G309" s="26" t="inlineStr">
        <is>
          <t>01_Financial/finance_veolia_urd_2025_en.pdf</t>
        </is>
      </c>
      <c r="H309" s="29" t="n">
        <v>409</v>
      </c>
      <c r="I309" s="26" t="inlineStr">
        <is>
          <t>2 Contrainte</t>
        </is>
      </c>
      <c r="J309" s="28" t="inlineStr">
        <is>
          <t>https://www.veolia.com/sites/g/files/dvc4206/files/document/2026/03/Finance_Veolia_URD_2025_en.pdf</t>
        </is>
      </c>
      <c r="K309" s="28" t="inlineStr">
        <is>
          <t>2026-09-22</t>
        </is>
      </c>
      <c r="L309" s="30" t="inlineStr">
        <is>
          <t>à relire</t>
        </is>
      </c>
    </row>
    <row r="310">
      <c r="A310" s="20" t="inlineStr">
        <is>
          <t>F305</t>
        </is>
      </c>
      <c r="B310" s="5" t="inlineStr">
        <is>
          <t>Dette de loyers IFRS 16 à plus de 5 ans</t>
        </is>
      </c>
      <c r="C310" s="21" t="n">
        <v>532</v>
      </c>
      <c r="D310" s="5" t="inlineStr">
        <is>
          <t>M EUR</t>
        </is>
      </c>
      <c r="E310" s="5" t="inlineStr">
        <is>
          <t>31/12/2025</t>
        </is>
      </c>
      <c r="F310" s="22" t="inlineStr">
        <is>
          <t>532</t>
        </is>
      </c>
      <c r="G310" s="5" t="inlineStr">
        <is>
          <t>01_Financial/finance_veolia_urd_2025_en.pdf</t>
        </is>
      </c>
      <c r="H310" s="23" t="n">
        <v>409</v>
      </c>
      <c r="I310" s="5" t="inlineStr">
        <is>
          <t>2 Contrainte</t>
        </is>
      </c>
      <c r="J310" s="22" t="inlineStr">
        <is>
          <t>https://www.veolia.com/sites/g/files/dvc4206/files/document/2026/03/Finance_Veolia_URD_2025_en.pdf</t>
        </is>
      </c>
      <c r="K310" s="22" t="inlineStr">
        <is>
          <t>2026-09-22</t>
        </is>
      </c>
      <c r="L310" s="24" t="inlineStr">
        <is>
          <t>à relire</t>
        </is>
      </c>
    </row>
    <row r="311">
      <c r="A311" s="25" t="inlineStr">
        <is>
          <t>F306</t>
        </is>
      </c>
      <c r="B311" s="26" t="inlineStr">
        <is>
          <t>Remboursements de dette de loyers IFRS 16</t>
        </is>
      </c>
      <c r="C311" s="31" t="n">
        <v>556</v>
      </c>
      <c r="D311" s="26" t="inlineStr">
        <is>
          <t>M EUR</t>
        </is>
      </c>
      <c r="E311" s="26" t="inlineStr">
        <is>
          <t>FY2025</t>
        </is>
      </c>
      <c r="F311" s="28" t="inlineStr">
        <is>
          <t>556</t>
        </is>
      </c>
      <c r="G311" s="26" t="inlineStr">
        <is>
          <t>01_Financial/finance_veolia_urd_2025_en.pdf</t>
        </is>
      </c>
      <c r="H311" s="29" t="n">
        <v>409</v>
      </c>
      <c r="I311" s="26" t="inlineStr">
        <is>
          <t>2 Contrainte</t>
        </is>
      </c>
      <c r="J311" s="28" t="inlineStr">
        <is>
          <t>https://www.veolia.com/sites/g/files/dvc4206/files/document/2026/03/Finance_Veolia_URD_2025_en.pdf</t>
        </is>
      </c>
      <c r="K311" s="28" t="inlineStr">
        <is>
          <t>2026-09-22</t>
        </is>
      </c>
      <c r="L311" s="30" t="inlineStr">
        <is>
          <t>à relire</t>
        </is>
      </c>
    </row>
    <row r="312">
      <c r="A312" s="20" t="inlineStr">
        <is>
          <t>F307</t>
        </is>
      </c>
      <c r="B312" s="5" t="inlineStr">
        <is>
          <t>Loyers de la période (remboursements, intérêts, loyers variables)</t>
        </is>
      </c>
      <c r="C312" s="21" t="n">
        <v>637</v>
      </c>
      <c r="D312" s="5" t="inlineStr">
        <is>
          <t>M EUR</t>
        </is>
      </c>
      <c r="E312" s="5" t="inlineStr">
        <is>
          <t>FY2025</t>
        </is>
      </c>
      <c r="F312" s="22" t="inlineStr">
        <is>
          <t>637</t>
        </is>
      </c>
      <c r="G312" s="5" t="inlineStr">
        <is>
          <t>01_Financial/finance_veolia_urd_2025_en.pdf</t>
        </is>
      </c>
      <c r="H312" s="23" t="n">
        <v>409</v>
      </c>
      <c r="I312" s="5" t="inlineStr">
        <is>
          <t>2 Contrainte</t>
        </is>
      </c>
      <c r="J312" s="22" t="inlineStr">
        <is>
          <t>https://www.veolia.com/sites/g/files/dvc4206/files/document/2026/03/Finance_Veolia_URD_2025_en.pdf</t>
        </is>
      </c>
      <c r="K312" s="22" t="inlineStr">
        <is>
          <t>2026-09-22</t>
        </is>
      </c>
      <c r="L312" s="24" t="inlineStr">
        <is>
          <t>à relire</t>
        </is>
      </c>
    </row>
    <row r="313">
      <c r="A313" s="25" t="inlineStr">
        <is>
          <t>F308</t>
        </is>
      </c>
      <c r="B313" s="26" t="inlineStr">
        <is>
          <t>Tableau de flux : capacité d'autofinancement avant variation du BFR</t>
        </is>
      </c>
      <c r="C313" s="31" t="n">
        <v>6144</v>
      </c>
      <c r="D313" s="26" t="inlineStr">
        <is>
          <t>M EUR</t>
        </is>
      </c>
      <c r="E313" s="26" t="inlineStr">
        <is>
          <t>FY2025</t>
        </is>
      </c>
      <c r="F313" s="28" t="inlineStr">
        <is>
          <t>6,144</t>
        </is>
      </c>
      <c r="G313" s="26" t="inlineStr">
        <is>
          <t>01_Financial/finance_veolia_urd_2025_en.pdf</t>
        </is>
      </c>
      <c r="H313" s="29" t="n">
        <v>362</v>
      </c>
      <c r="I313" s="26" t="inlineStr">
        <is>
          <t>2 Contrainte</t>
        </is>
      </c>
      <c r="J313" s="28" t="inlineStr">
        <is>
          <t>https://www.veolia.com/sites/g/files/dvc4206/files/document/2026/03/Finance_Veolia_URD_2025_en.pdf</t>
        </is>
      </c>
      <c r="K313" s="28" t="inlineStr">
        <is>
          <t>2026-09-22</t>
        </is>
      </c>
      <c r="L313" s="30" t="inlineStr">
        <is>
          <t>à relire</t>
        </is>
      </c>
    </row>
    <row r="314">
      <c r="A314" s="20" t="inlineStr">
        <is>
          <t>F309</t>
        </is>
      </c>
      <c r="B314" s="5" t="inlineStr">
        <is>
          <t>Tableau de flux : capacité d'autofinancement avant variation du BFR</t>
        </is>
      </c>
      <c r="C314" s="21" t="n">
        <v>5818</v>
      </c>
      <c r="D314" s="5" t="inlineStr">
        <is>
          <t>M EUR</t>
        </is>
      </c>
      <c r="E314" s="5" t="inlineStr">
        <is>
          <t>FY2024</t>
        </is>
      </c>
      <c r="F314" s="22" t="inlineStr">
        <is>
          <t>5,818</t>
        </is>
      </c>
      <c r="G314" s="5" t="inlineStr">
        <is>
          <t>01_Financial/finance_veolia_urd_2025_en.pdf</t>
        </is>
      </c>
      <c r="H314" s="23" t="n">
        <v>362</v>
      </c>
      <c r="I314" s="5" t="inlineStr">
        <is>
          <t>2 Contrainte</t>
        </is>
      </c>
      <c r="J314" s="22" t="inlineStr">
        <is>
          <t>https://www.veolia.com/sites/g/files/dvc4206/files/document/2026/03/Finance_Veolia_URD_2025_en.pdf</t>
        </is>
      </c>
      <c r="K314" s="22" t="inlineStr">
        <is>
          <t>2026-09-22</t>
        </is>
      </c>
      <c r="L314" s="24" t="inlineStr">
        <is>
          <t>à relire</t>
        </is>
      </c>
    </row>
    <row r="315">
      <c r="A315" s="25" t="inlineStr">
        <is>
          <t>F310</t>
        </is>
      </c>
      <c r="B315" s="26" t="inlineStr">
        <is>
          <t>Tableau de flux : variation du BFR opérationnel</t>
        </is>
      </c>
      <c r="C315" s="31" t="n">
        <v>-120</v>
      </c>
      <c r="D315" s="26" t="inlineStr">
        <is>
          <t>M EUR</t>
        </is>
      </c>
      <c r="E315" s="26" t="inlineStr">
        <is>
          <t>FY2025</t>
        </is>
      </c>
      <c r="F315" s="28" t="inlineStr">
        <is>
          <t>-120</t>
        </is>
      </c>
      <c r="G315" s="26" t="inlineStr">
        <is>
          <t>01_Financial/finance_veolia_urd_2025_en.pdf</t>
        </is>
      </c>
      <c r="H315" s="29" t="n">
        <v>362</v>
      </c>
      <c r="I315" s="26" t="inlineStr">
        <is>
          <t>3 Capacité</t>
        </is>
      </c>
      <c r="J315" s="28" t="inlineStr">
        <is>
          <t>https://www.veolia.com/sites/g/files/dvc4206/files/document/2026/03/Finance_Veolia_URD_2025_en.pdf</t>
        </is>
      </c>
      <c r="K315" s="28" t="inlineStr">
        <is>
          <t>2026-09-22</t>
        </is>
      </c>
      <c r="L315" s="30" t="inlineStr">
        <is>
          <t>à relire</t>
        </is>
      </c>
    </row>
    <row r="316">
      <c r="A316" s="20" t="inlineStr">
        <is>
          <t>F311</t>
        </is>
      </c>
      <c r="B316" s="5" t="inlineStr">
        <is>
          <t>Tableau de flux : variation du BFR opérationnel</t>
        </is>
      </c>
      <c r="C316" s="21" t="n">
        <v>75</v>
      </c>
      <c r="D316" s="5" t="inlineStr">
        <is>
          <t>M EUR</t>
        </is>
      </c>
      <c r="E316" s="5" t="inlineStr">
        <is>
          <t>FY2024</t>
        </is>
      </c>
      <c r="F316" s="22" t="inlineStr">
        <is>
          <t>75</t>
        </is>
      </c>
      <c r="G316" s="5" t="inlineStr">
        <is>
          <t>01_Financial/finance_veolia_urd_2025_en.pdf</t>
        </is>
      </c>
      <c r="H316" s="23" t="n">
        <v>362</v>
      </c>
      <c r="I316" s="5" t="inlineStr">
        <is>
          <t>3 Capacité</t>
        </is>
      </c>
      <c r="J316" s="22" t="inlineStr">
        <is>
          <t>https://www.veolia.com/sites/g/files/dvc4206/files/document/2026/03/Finance_Veolia_URD_2025_en.pdf</t>
        </is>
      </c>
      <c r="K316" s="22" t="inlineStr">
        <is>
          <t>2026-09-22</t>
        </is>
      </c>
      <c r="L316" s="24" t="inlineStr">
        <is>
          <t>à relire</t>
        </is>
      </c>
    </row>
    <row r="317">
      <c r="A317" s="25" t="inlineStr">
        <is>
          <t>F312</t>
        </is>
      </c>
      <c r="B317" s="26" t="inlineStr">
        <is>
          <t>Tableau de flux : variation du BFR des concessions</t>
        </is>
      </c>
      <c r="C317" s="31" t="n">
        <v>-278</v>
      </c>
      <c r="D317" s="26" t="inlineStr">
        <is>
          <t>M EUR</t>
        </is>
      </c>
      <c r="E317" s="26" t="inlineStr">
        <is>
          <t>FY2025</t>
        </is>
      </c>
      <c r="F317" s="28" t="inlineStr">
        <is>
          <t>-278</t>
        </is>
      </c>
      <c r="G317" s="26" t="inlineStr">
        <is>
          <t>01_Financial/finance_veolia_urd_2025_en.pdf</t>
        </is>
      </c>
      <c r="H317" s="29" t="n">
        <v>362</v>
      </c>
      <c r="I317" s="26" t="inlineStr">
        <is>
          <t>3 Capacité</t>
        </is>
      </c>
      <c r="J317" s="28" t="inlineStr">
        <is>
          <t>https://www.veolia.com/sites/g/files/dvc4206/files/document/2026/03/Finance_Veolia_URD_2025_en.pdf</t>
        </is>
      </c>
      <c r="K317" s="28" t="inlineStr">
        <is>
          <t>2026-09-22</t>
        </is>
      </c>
      <c r="L317" s="30" t="inlineStr">
        <is>
          <t>à relire</t>
        </is>
      </c>
    </row>
    <row r="318">
      <c r="A318" s="20" t="inlineStr">
        <is>
          <t>F313</t>
        </is>
      </c>
      <c r="B318" s="5" t="inlineStr">
        <is>
          <t>Tableau de flux : variation du BFR des concessions</t>
        </is>
      </c>
      <c r="C318" s="21" t="n">
        <v>-270</v>
      </c>
      <c r="D318" s="5" t="inlineStr">
        <is>
          <t>M EUR</t>
        </is>
      </c>
      <c r="E318" s="5" t="inlineStr">
        <is>
          <t>FY2024</t>
        </is>
      </c>
      <c r="F318" s="22" t="inlineStr">
        <is>
          <t>-270</t>
        </is>
      </c>
      <c r="G318" s="5" t="inlineStr">
        <is>
          <t>01_Financial/finance_veolia_urd_2025_en.pdf</t>
        </is>
      </c>
      <c r="H318" s="23" t="n">
        <v>362</v>
      </c>
      <c r="I318" s="5" t="inlineStr">
        <is>
          <t>3 Capacité</t>
        </is>
      </c>
      <c r="J318" s="22" t="inlineStr">
        <is>
          <t>https://www.veolia.com/sites/g/files/dvc4206/files/document/2026/03/Finance_Veolia_URD_2025_en.pdf</t>
        </is>
      </c>
      <c r="K318" s="22" t="inlineStr">
        <is>
          <t>2026-09-22</t>
        </is>
      </c>
      <c r="L318" s="24" t="inlineStr">
        <is>
          <t>à relire</t>
        </is>
      </c>
    </row>
    <row r="319">
      <c r="A319" s="25" t="inlineStr">
        <is>
          <t>F314</t>
        </is>
      </c>
      <c r="B319" s="26" t="inlineStr">
        <is>
          <t>Tableau de flux : impôts payés</t>
        </is>
      </c>
      <c r="C319" s="31" t="n">
        <v>-596</v>
      </c>
      <c r="D319" s="26" t="inlineStr">
        <is>
          <t>M EUR</t>
        </is>
      </c>
      <c r="E319" s="26" t="inlineStr">
        <is>
          <t>FY2025</t>
        </is>
      </c>
      <c r="F319" s="28" t="inlineStr">
        <is>
          <t>-596</t>
        </is>
      </c>
      <c r="G319" s="26" t="inlineStr">
        <is>
          <t>01_Financial/finance_veolia_urd_2025_en.pdf</t>
        </is>
      </c>
      <c r="H319" s="29" t="n">
        <v>362</v>
      </c>
      <c r="I319" s="26" t="inlineStr">
        <is>
          <t>2 Contrainte</t>
        </is>
      </c>
      <c r="J319" s="28" t="inlineStr">
        <is>
          <t>https://www.veolia.com/sites/g/files/dvc4206/files/document/2026/03/Finance_Veolia_URD_2025_en.pdf</t>
        </is>
      </c>
      <c r="K319" s="28" t="inlineStr">
        <is>
          <t>2026-09-22</t>
        </is>
      </c>
      <c r="L319" s="30" t="inlineStr">
        <is>
          <t>à relire</t>
        </is>
      </c>
    </row>
    <row r="320">
      <c r="A320" s="20" t="inlineStr">
        <is>
          <t>F315</t>
        </is>
      </c>
      <c r="B320" s="5" t="inlineStr">
        <is>
          <t>Tableau de flux : impôts payés</t>
        </is>
      </c>
      <c r="C320" s="21" t="n">
        <v>-579</v>
      </c>
      <c r="D320" s="5" t="inlineStr">
        <is>
          <t>M EUR</t>
        </is>
      </c>
      <c r="E320" s="5" t="inlineStr">
        <is>
          <t>FY2024</t>
        </is>
      </c>
      <c r="F320" s="22" t="inlineStr">
        <is>
          <t>-579</t>
        </is>
      </c>
      <c r="G320" s="5" t="inlineStr">
        <is>
          <t>01_Financial/finance_veolia_urd_2025_en.pdf</t>
        </is>
      </c>
      <c r="H320" s="23" t="n">
        <v>362</v>
      </c>
      <c r="I320" s="5" t="inlineStr">
        <is>
          <t>2 Contrainte</t>
        </is>
      </c>
      <c r="J320" s="22" t="inlineStr">
        <is>
          <t>https://www.veolia.com/sites/g/files/dvc4206/files/document/2026/03/Finance_Veolia_URD_2025_en.pdf</t>
        </is>
      </c>
      <c r="K320" s="22" t="inlineStr">
        <is>
          <t>2026-09-22</t>
        </is>
      </c>
      <c r="L320" s="24" t="inlineStr">
        <is>
          <t>à relire</t>
        </is>
      </c>
    </row>
    <row r="321">
      <c r="A321" s="25" t="inlineStr">
        <is>
          <t>F316</t>
        </is>
      </c>
      <c r="B321" s="26" t="inlineStr">
        <is>
          <t>Tableau de flux : flux nets des activités opérationnelles</t>
        </is>
      </c>
      <c r="C321" s="31" t="n">
        <v>5153</v>
      </c>
      <c r="D321" s="26" t="inlineStr">
        <is>
          <t>M EUR</t>
        </is>
      </c>
      <c r="E321" s="26" t="inlineStr">
        <is>
          <t>FY2025</t>
        </is>
      </c>
      <c r="F321" s="28" t="inlineStr">
        <is>
          <t>5,153</t>
        </is>
      </c>
      <c r="G321" s="26" t="inlineStr">
        <is>
          <t>01_Financial/finance_veolia_urd_2025_en.pdf</t>
        </is>
      </c>
      <c r="H321" s="29" t="n">
        <v>362</v>
      </c>
      <c r="I321" s="26" t="inlineStr">
        <is>
          <t>3 Capacité</t>
        </is>
      </c>
      <c r="J321" s="28" t="inlineStr">
        <is>
          <t>https://www.veolia.com/sites/g/files/dvc4206/files/document/2026/03/Finance_Veolia_URD_2025_en.pdf</t>
        </is>
      </c>
      <c r="K321" s="28" t="inlineStr">
        <is>
          <t>2026-09-22</t>
        </is>
      </c>
      <c r="L321" s="30" t="inlineStr">
        <is>
          <t>à relire</t>
        </is>
      </c>
    </row>
    <row r="322">
      <c r="A322" s="20" t="inlineStr">
        <is>
          <t>F317</t>
        </is>
      </c>
      <c r="B322" s="5" t="inlineStr">
        <is>
          <t>Tableau de flux : flux nets des activités opérationnelles</t>
        </is>
      </c>
      <c r="C322" s="21" t="n">
        <v>5038</v>
      </c>
      <c r="D322" s="5" t="inlineStr">
        <is>
          <t>M EUR</t>
        </is>
      </c>
      <c r="E322" s="5" t="inlineStr">
        <is>
          <t>FY2024</t>
        </is>
      </c>
      <c r="F322" s="22" t="inlineStr">
        <is>
          <t>5,038</t>
        </is>
      </c>
      <c r="G322" s="5" t="inlineStr">
        <is>
          <t>01_Financial/finance_veolia_urd_2025_en.pdf</t>
        </is>
      </c>
      <c r="H322" s="23" t="n">
        <v>362</v>
      </c>
      <c r="I322" s="5" t="inlineStr">
        <is>
          <t>3 Capacité</t>
        </is>
      </c>
      <c r="J322" s="22" t="inlineStr">
        <is>
          <t>https://www.veolia.com/sites/g/files/dvc4206/files/document/2026/03/Finance_Veolia_URD_2025_en.pdf</t>
        </is>
      </c>
      <c r="K322" s="22" t="inlineStr">
        <is>
          <t>2026-09-22</t>
        </is>
      </c>
      <c r="L322" s="24" t="inlineStr">
        <is>
          <t>à relire</t>
        </is>
      </c>
    </row>
    <row r="323">
      <c r="A323" s="25" t="inlineStr">
        <is>
          <t>F318</t>
        </is>
      </c>
      <c r="B323" s="26" t="inlineStr">
        <is>
          <t>Tableau de flux : investissements industriels nets de subventions</t>
        </is>
      </c>
      <c r="C323" s="31" t="n">
        <v>-3056</v>
      </c>
      <c r="D323" s="26" t="inlineStr">
        <is>
          <t>M EUR</t>
        </is>
      </c>
      <c r="E323" s="26" t="inlineStr">
        <is>
          <t>FY2025</t>
        </is>
      </c>
      <c r="F323" s="28" t="inlineStr">
        <is>
          <t>-3,056</t>
        </is>
      </c>
      <c r="G323" s="26" t="inlineStr">
        <is>
          <t>01_Financial/finance_veolia_urd_2025_en.pdf</t>
        </is>
      </c>
      <c r="H323" s="29" t="n">
        <v>362</v>
      </c>
      <c r="I323" s="26" t="inlineStr">
        <is>
          <t>3 Capacité</t>
        </is>
      </c>
      <c r="J323" s="28" t="inlineStr">
        <is>
          <t>https://www.veolia.com/sites/g/files/dvc4206/files/document/2026/03/Finance_Veolia_URD_2025_en.pdf</t>
        </is>
      </c>
      <c r="K323" s="28" t="inlineStr">
        <is>
          <t>2026-09-22</t>
        </is>
      </c>
      <c r="L323" s="30" t="inlineStr">
        <is>
          <t>à relire</t>
        </is>
      </c>
    </row>
    <row r="324">
      <c r="A324" s="20" t="inlineStr">
        <is>
          <t>F319</t>
        </is>
      </c>
      <c r="B324" s="5" t="inlineStr">
        <is>
          <t>Tableau de flux : remboursements d'actifs financiers opérationnels</t>
        </is>
      </c>
      <c r="C324" s="21" t="n">
        <v>227</v>
      </c>
      <c r="D324" s="5" t="inlineStr">
        <is>
          <t>M EUR</t>
        </is>
      </c>
      <c r="E324" s="5" t="inlineStr">
        <is>
          <t>FY2024</t>
        </is>
      </c>
      <c r="F324" s="22" t="inlineStr">
        <is>
          <t>227</t>
        </is>
      </c>
      <c r="G324" s="5" t="inlineStr">
        <is>
          <t>01_Financial/finance_veolia_urd_2025_en.pdf</t>
        </is>
      </c>
      <c r="H324" s="23" t="n">
        <v>362</v>
      </c>
      <c r="I324" s="5" t="inlineStr">
        <is>
          <t>2 Contrainte</t>
        </is>
      </c>
      <c r="J324" s="22" t="inlineStr">
        <is>
          <t>https://www.veolia.com/sites/g/files/dvc4206/files/document/2026/03/Finance_Veolia_URD_2025_en.pdf</t>
        </is>
      </c>
      <c r="K324" s="22" t="inlineStr">
        <is>
          <t>2026-09-22</t>
        </is>
      </c>
      <c r="L324" s="24" t="inlineStr">
        <is>
          <t>à relire</t>
        </is>
      </c>
    </row>
    <row r="325">
      <c r="A325" s="25" t="inlineStr">
        <is>
          <t>F320</t>
        </is>
      </c>
      <c r="B325" s="26" t="inlineStr">
        <is>
          <t>Tableau de flux : dividendes reçus</t>
        </is>
      </c>
      <c r="C325" s="31" t="n">
        <v>105</v>
      </c>
      <c r="D325" s="26" t="inlineStr">
        <is>
          <t>M EUR</t>
        </is>
      </c>
      <c r="E325" s="26" t="inlineStr">
        <is>
          <t>FY2025</t>
        </is>
      </c>
      <c r="F325" s="28" t="inlineStr">
        <is>
          <t>105</t>
        </is>
      </c>
      <c r="G325" s="26" t="inlineStr">
        <is>
          <t>01_Financial/finance_veolia_urd_2025_en.pdf</t>
        </is>
      </c>
      <c r="H325" s="29" t="n">
        <v>362</v>
      </c>
      <c r="I325" s="26" t="inlineStr">
        <is>
          <t>2 Contrainte</t>
        </is>
      </c>
      <c r="J325" s="28" t="inlineStr">
        <is>
          <t>https://www.veolia.com/sites/g/files/dvc4206/files/document/2026/03/Finance_Veolia_URD_2025_en.pdf</t>
        </is>
      </c>
      <c r="K325" s="28" t="inlineStr">
        <is>
          <t>2026-09-22</t>
        </is>
      </c>
      <c r="L325" s="30" t="inlineStr">
        <is>
          <t>à relire</t>
        </is>
      </c>
    </row>
    <row r="326">
      <c r="A326" s="20" t="inlineStr">
        <is>
          <t>F321</t>
        </is>
      </c>
      <c r="B326" s="5" t="inlineStr">
        <is>
          <t>Tableau de flux : dividendes reçus</t>
        </is>
      </c>
      <c r="C326" s="21" t="n">
        <v>123</v>
      </c>
      <c r="D326" s="5" t="inlineStr">
        <is>
          <t>M EUR</t>
        </is>
      </c>
      <c r="E326" s="5" t="inlineStr">
        <is>
          <t>FY2024</t>
        </is>
      </c>
      <c r="F326" s="22" t="inlineStr">
        <is>
          <t>123</t>
        </is>
      </c>
      <c r="G326" s="5" t="inlineStr">
        <is>
          <t>01_Financial/finance_veolia_urd_2025_en.pdf</t>
        </is>
      </c>
      <c r="H326" s="23" t="n">
        <v>362</v>
      </c>
      <c r="I326" s="5" t="inlineStr">
        <is>
          <t>2 Contrainte</t>
        </is>
      </c>
      <c r="J326" s="22" t="inlineStr">
        <is>
          <t>https://www.veolia.com/sites/g/files/dvc4206/files/document/2026/03/Finance_Veolia_URD_2025_en.pdf</t>
        </is>
      </c>
      <c r="K326" s="22" t="inlineStr">
        <is>
          <t>2026-09-22</t>
        </is>
      </c>
      <c r="L326" s="24" t="inlineStr">
        <is>
          <t>à relire</t>
        </is>
      </c>
    </row>
    <row r="327">
      <c r="A327" s="25" t="inlineStr">
        <is>
          <t>F322</t>
        </is>
      </c>
      <c r="B327" s="26" t="inlineStr">
        <is>
          <t>Tableau de flux : flux nets des activités d'investissement</t>
        </is>
      </c>
      <c r="C327" s="31" t="n">
        <v>-3296</v>
      </c>
      <c r="D327" s="26" t="inlineStr">
        <is>
          <t>M EUR</t>
        </is>
      </c>
      <c r="E327" s="26" t="inlineStr">
        <is>
          <t>FY2025</t>
        </is>
      </c>
      <c r="F327" s="28" t="inlineStr">
        <is>
          <t>-3,296</t>
        </is>
      </c>
      <c r="G327" s="26" t="inlineStr">
        <is>
          <t>01_Financial/finance_veolia_urd_2025_en.pdf</t>
        </is>
      </c>
      <c r="H327" s="29" t="n">
        <v>362</v>
      </c>
      <c r="I327" s="26" t="inlineStr">
        <is>
          <t>3 Capacité</t>
        </is>
      </c>
      <c r="J327" s="28" t="inlineStr">
        <is>
          <t>https://www.veolia.com/sites/g/files/dvc4206/files/document/2026/03/Finance_Veolia_URD_2025_en.pdf</t>
        </is>
      </c>
      <c r="K327" s="28" t="inlineStr">
        <is>
          <t>2026-09-22</t>
        </is>
      </c>
      <c r="L327" s="30" t="inlineStr">
        <is>
          <t>à relire</t>
        </is>
      </c>
    </row>
    <row r="328">
      <c r="A328" s="20" t="inlineStr">
        <is>
          <t>F323</t>
        </is>
      </c>
      <c r="B328" s="5" t="inlineStr">
        <is>
          <t>Tableau de flux : flux nets des activités d'investissement</t>
        </is>
      </c>
      <c r="C328" s="21" t="n">
        <v>-2115</v>
      </c>
      <c r="D328" s="5" t="inlineStr">
        <is>
          <t>M EUR</t>
        </is>
      </c>
      <c r="E328" s="5" t="inlineStr">
        <is>
          <t>FY2024</t>
        </is>
      </c>
      <c r="F328" s="22" t="inlineStr">
        <is>
          <t>-2,115</t>
        </is>
      </c>
      <c r="G328" s="5" t="inlineStr">
        <is>
          <t>01_Financial/finance_veolia_urd_2025_en.pdf</t>
        </is>
      </c>
      <c r="H328" s="23" t="n">
        <v>362</v>
      </c>
      <c r="I328" s="5" t="inlineStr">
        <is>
          <t>3 Capacité</t>
        </is>
      </c>
      <c r="J328" s="22" t="inlineStr">
        <is>
          <t>https://www.veolia.com/sites/g/files/dvc4206/files/document/2026/03/Finance_Veolia_URD_2025_en.pdf</t>
        </is>
      </c>
      <c r="K328" s="22" t="inlineStr">
        <is>
          <t>2026-09-22</t>
        </is>
      </c>
      <c r="L328" s="24" t="inlineStr">
        <is>
          <t>à relire</t>
        </is>
      </c>
    </row>
    <row r="329">
      <c r="A329" s="25" t="inlineStr">
        <is>
          <t>F324</t>
        </is>
      </c>
      <c r="B329" s="26" t="inlineStr">
        <is>
          <t>Tableau de flux : coût de l'endettement financier net</t>
        </is>
      </c>
      <c r="C329" s="31" t="n">
        <v>654</v>
      </c>
      <c r="D329" s="26" t="inlineStr">
        <is>
          <t>M EUR</t>
        </is>
      </c>
      <c r="E329" s="26" t="inlineStr">
        <is>
          <t>FY2025</t>
        </is>
      </c>
      <c r="F329" s="28" t="inlineStr">
        <is>
          <t>654</t>
        </is>
      </c>
      <c r="G329" s="26" t="inlineStr">
        <is>
          <t>01_Financial/finance_veolia_urd_2025_en.pdf</t>
        </is>
      </c>
      <c r="H329" s="29" t="n">
        <v>362</v>
      </c>
      <c r="I329" s="26" t="inlineStr">
        <is>
          <t>2 Contrainte</t>
        </is>
      </c>
      <c r="J329" s="28" t="inlineStr">
        <is>
          <t>https://www.veolia.com/sites/g/files/dvc4206/files/document/2026/03/Finance_Veolia_URD_2025_en.pdf</t>
        </is>
      </c>
      <c r="K329" s="28" t="inlineStr">
        <is>
          <t>2026-09-22</t>
        </is>
      </c>
      <c r="L329" s="30" t="inlineStr">
        <is>
          <t>à relire</t>
        </is>
      </c>
    </row>
    <row r="330">
      <c r="A330" s="20" t="inlineStr">
        <is>
          <t>F325</t>
        </is>
      </c>
      <c r="B330" s="5" t="inlineStr">
        <is>
          <t>Tableau de flux : coût de l'endettement financier net</t>
        </is>
      </c>
      <c r="C330" s="21" t="n">
        <v>590</v>
      </c>
      <c r="D330" s="5" t="inlineStr">
        <is>
          <t>M EUR</t>
        </is>
      </c>
      <c r="E330" s="5" t="inlineStr">
        <is>
          <t>FY2024</t>
        </is>
      </c>
      <c r="F330" s="22" t="inlineStr">
        <is>
          <t>590</t>
        </is>
      </c>
      <c r="G330" s="5" t="inlineStr">
        <is>
          <t>01_Financial/finance_veolia_urd_2025_en.pdf</t>
        </is>
      </c>
      <c r="H330" s="23" t="n">
        <v>362</v>
      </c>
      <c r="I330" s="5" t="inlineStr">
        <is>
          <t>2 Contrainte</t>
        </is>
      </c>
      <c r="J330" s="22" t="inlineStr">
        <is>
          <t>https://www.veolia.com/sites/g/files/dvc4206/files/document/2026/03/Finance_Veolia_URD_2025_en.pdf</t>
        </is>
      </c>
      <c r="K330" s="22" t="inlineStr">
        <is>
          <t>2026-09-22</t>
        </is>
      </c>
      <c r="L330" s="24" t="inlineStr">
        <is>
          <t>à relire</t>
        </is>
      </c>
    </row>
    <row r="331">
      <c r="A331" s="25" t="inlineStr">
        <is>
          <t>F326</t>
        </is>
      </c>
      <c r="B331" s="26" t="inlineStr">
        <is>
          <t>Tableau de flux : charge d'impôt</t>
        </is>
      </c>
      <c r="C331" s="31" t="n">
        <v>587</v>
      </c>
      <c r="D331" s="26" t="inlineStr">
        <is>
          <t>M EUR</t>
        </is>
      </c>
      <c r="E331" s="26" t="inlineStr">
        <is>
          <t>FY2025</t>
        </is>
      </c>
      <c r="F331" s="28" t="inlineStr">
        <is>
          <t>587</t>
        </is>
      </c>
      <c r="G331" s="26" t="inlineStr">
        <is>
          <t>01_Financial/finance_veolia_urd_2025_en.pdf</t>
        </is>
      </c>
      <c r="H331" s="29" t="n">
        <v>362</v>
      </c>
      <c r="I331" s="26" t="inlineStr">
        <is>
          <t>2 Contrainte</t>
        </is>
      </c>
      <c r="J331" s="28" t="inlineStr">
        <is>
          <t>https://www.veolia.com/sites/g/files/dvc4206/files/document/2026/03/Finance_Veolia_URD_2025_en.pdf</t>
        </is>
      </c>
      <c r="K331" s="28" t="inlineStr">
        <is>
          <t>2026-09-22</t>
        </is>
      </c>
      <c r="L331" s="30" t="inlineStr">
        <is>
          <t>à relire</t>
        </is>
      </c>
    </row>
    <row r="332">
      <c r="A332" s="20" t="inlineStr">
        <is>
          <t>F327</t>
        </is>
      </c>
      <c r="B332" s="5" t="inlineStr">
        <is>
          <t>Tableau de flux : charge d'impôt</t>
        </is>
      </c>
      <c r="C332" s="21" t="n">
        <v>566</v>
      </c>
      <c r="D332" s="5" t="inlineStr">
        <is>
          <t>M EUR</t>
        </is>
      </c>
      <c r="E332" s="5" t="inlineStr">
        <is>
          <t>FY2024</t>
        </is>
      </c>
      <c r="F332" s="22" t="inlineStr">
        <is>
          <t>566</t>
        </is>
      </c>
      <c r="G332" s="5" t="inlineStr">
        <is>
          <t>01_Financial/finance_veolia_urd_2025_en.pdf</t>
        </is>
      </c>
      <c r="H332" s="23" t="n">
        <v>362</v>
      </c>
      <c r="I332" s="5" t="inlineStr">
        <is>
          <t>2 Contrainte</t>
        </is>
      </c>
      <c r="J332" s="22" t="inlineStr">
        <is>
          <t>https://www.veolia.com/sites/g/files/dvc4206/files/document/2026/03/Finance_Veolia_URD_2025_en.pdf</t>
        </is>
      </c>
      <c r="K332" s="22" t="inlineStr">
        <is>
          <t>2026-09-22</t>
        </is>
      </c>
      <c r="L332" s="24" t="inlineStr">
        <is>
          <t>à relire</t>
        </is>
      </c>
    </row>
    <row r="333">
      <c r="A333" s="25" t="inlineStr">
        <is>
          <t>F328</t>
        </is>
      </c>
      <c r="B333" s="26" t="inlineStr">
        <is>
          <t>Tableau de flux : intérêts payés</t>
        </is>
      </c>
      <c r="C333" s="31" t="n">
        <v>-619</v>
      </c>
      <c r="D333" s="26" t="inlineStr">
        <is>
          <t>M EUR</t>
        </is>
      </c>
      <c r="E333" s="26" t="inlineStr">
        <is>
          <t>FY2025</t>
        </is>
      </c>
      <c r="F333" s="28" t="inlineStr">
        <is>
          <t>-619</t>
        </is>
      </c>
      <c r="G333" s="26" t="inlineStr">
        <is>
          <t>01_Financial/finance_veolia_urd_2025_en.pdf</t>
        </is>
      </c>
      <c r="H333" s="29" t="n">
        <v>363</v>
      </c>
      <c r="I333" s="26" t="inlineStr">
        <is>
          <t>2 Contrainte</t>
        </is>
      </c>
      <c r="J333" s="28" t="inlineStr">
        <is>
          <t>https://www.veolia.com/sites/g/files/dvc4206/files/document/2026/03/Finance_Veolia_URD_2025_en.pdf</t>
        </is>
      </c>
      <c r="K333" s="28" t="inlineStr">
        <is>
          <t>2026-09-22</t>
        </is>
      </c>
      <c r="L333" s="30" t="inlineStr">
        <is>
          <t>à relire</t>
        </is>
      </c>
    </row>
    <row r="334">
      <c r="A334" s="20" t="inlineStr">
        <is>
          <t>F329</t>
        </is>
      </c>
      <c r="B334" s="5" t="inlineStr">
        <is>
          <t>Tableau de flux : intérêts payés</t>
        </is>
      </c>
      <c r="C334" s="21" t="n">
        <v>-585</v>
      </c>
      <c r="D334" s="5" t="inlineStr">
        <is>
          <t>M EUR</t>
        </is>
      </c>
      <c r="E334" s="5" t="inlineStr">
        <is>
          <t>FY2024</t>
        </is>
      </c>
      <c r="F334" s="22" t="inlineStr">
        <is>
          <t>-585</t>
        </is>
      </c>
      <c r="G334" s="5" t="inlineStr">
        <is>
          <t>01_Financial/finance_veolia_urd_2025_en.pdf</t>
        </is>
      </c>
      <c r="H334" s="23" t="n">
        <v>363</v>
      </c>
      <c r="I334" s="5" t="inlineStr">
        <is>
          <t>2 Contrainte</t>
        </is>
      </c>
      <c r="J334" s="22" t="inlineStr">
        <is>
          <t>https://www.veolia.com/sites/g/files/dvc4206/files/document/2026/03/Finance_Veolia_URD_2025_en.pdf</t>
        </is>
      </c>
      <c r="K334" s="22" t="inlineStr">
        <is>
          <t>2026-09-22</t>
        </is>
      </c>
      <c r="L334" s="24" t="inlineStr">
        <is>
          <t>à relire</t>
        </is>
      </c>
    </row>
    <row r="335">
      <c r="A335" s="25" t="inlineStr">
        <is>
          <t>F330</t>
        </is>
      </c>
      <c r="B335" s="26" t="inlineStr">
        <is>
          <t>Tableau de flux : intérêts sur actifs IFRIC 12</t>
        </is>
      </c>
      <c r="C335" s="31" t="n">
        <v>-78</v>
      </c>
      <c r="D335" s="26" t="inlineStr">
        <is>
          <t>M EUR</t>
        </is>
      </c>
      <c r="E335" s="26" t="inlineStr">
        <is>
          <t>FY2025</t>
        </is>
      </c>
      <c r="F335" s="28" t="inlineStr">
        <is>
          <t>-78</t>
        </is>
      </c>
      <c r="G335" s="26" t="inlineStr">
        <is>
          <t>01_Financial/finance_veolia_urd_2025_en.pdf</t>
        </is>
      </c>
      <c r="H335" s="29" t="n">
        <v>363</v>
      </c>
      <c r="I335" s="26" t="inlineStr">
        <is>
          <t>2 Contrainte</t>
        </is>
      </c>
      <c r="J335" s="28" t="inlineStr">
        <is>
          <t>https://www.veolia.com/sites/g/files/dvc4206/files/document/2026/03/Finance_Veolia_URD_2025_en.pdf</t>
        </is>
      </c>
      <c r="K335" s="28" t="inlineStr">
        <is>
          <t>2026-09-22</t>
        </is>
      </c>
      <c r="L335" s="30" t="inlineStr">
        <is>
          <t>à relire</t>
        </is>
      </c>
    </row>
    <row r="336">
      <c r="A336" s="20" t="inlineStr">
        <is>
          <t>F331</t>
        </is>
      </c>
      <c r="B336" s="5" t="inlineStr">
        <is>
          <t>Tableau de flux : intérêts sur actifs IFRIC 12</t>
        </is>
      </c>
      <c r="C336" s="21" t="n">
        <v>-86</v>
      </c>
      <c r="D336" s="5" t="inlineStr">
        <is>
          <t>M EUR</t>
        </is>
      </c>
      <c r="E336" s="5" t="inlineStr">
        <is>
          <t>FY2024</t>
        </is>
      </c>
      <c r="F336" s="22" t="inlineStr">
        <is>
          <t>-86</t>
        </is>
      </c>
      <c r="G336" s="5" t="inlineStr">
        <is>
          <t>01_Financial/finance_veolia_urd_2025_en.pdf</t>
        </is>
      </c>
      <c r="H336" s="23" t="n">
        <v>363</v>
      </c>
      <c r="I336" s="5" t="inlineStr">
        <is>
          <t>2 Contrainte</t>
        </is>
      </c>
      <c r="J336" s="22" t="inlineStr">
        <is>
          <t>https://www.veolia.com/sites/g/files/dvc4206/files/document/2026/03/Finance_Veolia_URD_2025_en.pdf</t>
        </is>
      </c>
      <c r="K336" s="22" t="inlineStr">
        <is>
          <t>2026-09-22</t>
        </is>
      </c>
      <c r="L336" s="24" t="inlineStr">
        <is>
          <t>à relire</t>
        </is>
      </c>
    </row>
    <row r="337">
      <c r="A337" s="25" t="inlineStr">
        <is>
          <t>F332</t>
        </is>
      </c>
      <c r="B337" s="26" t="inlineStr">
        <is>
          <t>Tableau de flux : intérêts sur dette de loyers IFRS 16</t>
        </is>
      </c>
      <c r="C337" s="31" t="n">
        <v>-67</v>
      </c>
      <c r="D337" s="26" t="inlineStr">
        <is>
          <t>M EUR</t>
        </is>
      </c>
      <c r="E337" s="26" t="inlineStr">
        <is>
          <t>FY2025</t>
        </is>
      </c>
      <c r="F337" s="28" t="inlineStr">
        <is>
          <t>-67</t>
        </is>
      </c>
      <c r="G337" s="26" t="inlineStr">
        <is>
          <t>01_Financial/finance_veolia_urd_2025_en.pdf</t>
        </is>
      </c>
      <c r="H337" s="29" t="n">
        <v>363</v>
      </c>
      <c r="I337" s="26" t="inlineStr">
        <is>
          <t>2 Contrainte</t>
        </is>
      </c>
      <c r="J337" s="28" t="inlineStr">
        <is>
          <t>https://www.veolia.com/sites/g/files/dvc4206/files/document/2026/03/Finance_Veolia_URD_2025_en.pdf</t>
        </is>
      </c>
      <c r="K337" s="28" t="inlineStr">
        <is>
          <t>2026-09-22</t>
        </is>
      </c>
      <c r="L337" s="30" t="inlineStr">
        <is>
          <t>à relire</t>
        </is>
      </c>
    </row>
    <row r="338">
      <c r="A338" s="20" t="inlineStr">
        <is>
          <t>F333</t>
        </is>
      </c>
      <c r="B338" s="5" t="inlineStr">
        <is>
          <t>Tableau de flux : intérêts sur dette de loyers IFRS 16</t>
        </is>
      </c>
      <c r="C338" s="21" t="n">
        <v>-66</v>
      </c>
      <c r="D338" s="5" t="inlineStr">
        <is>
          <t>M EUR</t>
        </is>
      </c>
      <c r="E338" s="5" t="inlineStr">
        <is>
          <t>FY2024</t>
        </is>
      </c>
      <c r="F338" s="22" t="inlineStr">
        <is>
          <t>-66</t>
        </is>
      </c>
      <c r="G338" s="5" t="inlineStr">
        <is>
          <t>01_Financial/finance_veolia_urd_2025_en.pdf</t>
        </is>
      </c>
      <c r="H338" s="23" t="n">
        <v>363</v>
      </c>
      <c r="I338" s="5" t="inlineStr">
        <is>
          <t>2 Contrainte</t>
        </is>
      </c>
      <c r="J338" s="22" t="inlineStr">
        <is>
          <t>https://www.veolia.com/sites/g/files/dvc4206/files/document/2026/03/Finance_Veolia_URD_2025_en.pdf</t>
        </is>
      </c>
      <c r="K338" s="22" t="inlineStr">
        <is>
          <t>2026-09-22</t>
        </is>
      </c>
      <c r="L338" s="24" t="inlineStr">
        <is>
          <t>à relire</t>
        </is>
      </c>
    </row>
    <row r="339">
      <c r="A339" s="25" t="inlineStr">
        <is>
          <t>F334</t>
        </is>
      </c>
      <c r="B339" s="26" t="inlineStr">
        <is>
          <t>Tableau de flux : coupons des titres super-subordonnés</t>
        </is>
      </c>
      <c r="C339" s="31" t="n">
        <v>-121</v>
      </c>
      <c r="D339" s="26" t="inlineStr">
        <is>
          <t>M EUR</t>
        </is>
      </c>
      <c r="E339" s="26" t="inlineStr">
        <is>
          <t>FY2025</t>
        </is>
      </c>
      <c r="F339" s="28" t="inlineStr">
        <is>
          <t>-121</t>
        </is>
      </c>
      <c r="G339" s="26" t="inlineStr">
        <is>
          <t>01_Financial/finance_veolia_urd_2025_en.pdf</t>
        </is>
      </c>
      <c r="H339" s="29" t="n">
        <v>363</v>
      </c>
      <c r="I339" s="26" t="inlineStr">
        <is>
          <t>2 Contrainte</t>
        </is>
      </c>
      <c r="J339" s="28" t="inlineStr">
        <is>
          <t>https://www.veolia.com/sites/g/files/dvc4206/files/document/2026/03/Finance_Veolia_URD_2025_en.pdf</t>
        </is>
      </c>
      <c r="K339" s="28" t="inlineStr">
        <is>
          <t>2026-09-22</t>
        </is>
      </c>
      <c r="L339" s="30" t="inlineStr">
        <is>
          <t>à relire</t>
        </is>
      </c>
    </row>
    <row r="340">
      <c r="A340" s="20" t="inlineStr">
        <is>
          <t>F335</t>
        </is>
      </c>
      <c r="B340" s="5" t="inlineStr">
        <is>
          <t>Tableau de flux : coupons des titres super-subordonnés</t>
        </is>
      </c>
      <c r="C340" s="21" t="n">
        <v>-81</v>
      </c>
      <c r="D340" s="5" t="inlineStr">
        <is>
          <t>M EUR</t>
        </is>
      </c>
      <c r="E340" s="5" t="inlineStr">
        <is>
          <t>FY2024</t>
        </is>
      </c>
      <c r="F340" s="22" t="inlineStr">
        <is>
          <t>-81</t>
        </is>
      </c>
      <c r="G340" s="5" t="inlineStr">
        <is>
          <t>01_Financial/finance_veolia_urd_2025_en.pdf</t>
        </is>
      </c>
      <c r="H340" s="23" t="n">
        <v>363</v>
      </c>
      <c r="I340" s="5" t="inlineStr">
        <is>
          <t>2 Contrainte</t>
        </is>
      </c>
      <c r="J340" s="22" t="inlineStr">
        <is>
          <t>https://www.veolia.com/sites/g/files/dvc4206/files/document/2026/03/Finance_Veolia_URD_2025_en.pdf</t>
        </is>
      </c>
      <c r="K340" s="22" t="inlineStr">
        <is>
          <t>2026-09-22</t>
        </is>
      </c>
      <c r="L340" s="24" t="inlineStr">
        <is>
          <t>à relire</t>
        </is>
      </c>
    </row>
    <row r="341">
      <c r="A341" s="25" t="inlineStr">
        <is>
          <t>F336</t>
        </is>
      </c>
      <c r="B341" s="26" t="inlineStr">
        <is>
          <t>Tableau de flux : dividendes versés</t>
        </is>
      </c>
      <c r="C341" s="31" t="n">
        <v>-1280</v>
      </c>
      <c r="D341" s="26" t="inlineStr">
        <is>
          <t>M EUR</t>
        </is>
      </c>
      <c r="E341" s="26" t="inlineStr">
        <is>
          <t>FY2025</t>
        </is>
      </c>
      <c r="F341" s="28" t="inlineStr">
        <is>
          <t>-1,280</t>
        </is>
      </c>
      <c r="G341" s="26" t="inlineStr">
        <is>
          <t>01_Financial/finance_veolia_urd_2025_en.pdf</t>
        </is>
      </c>
      <c r="H341" s="29" t="n">
        <v>363</v>
      </c>
      <c r="I341" s="26" t="inlineStr">
        <is>
          <t>3 Capacité</t>
        </is>
      </c>
      <c r="J341" s="28" t="inlineStr">
        <is>
          <t>https://www.veolia.com/sites/g/files/dvc4206/files/document/2026/03/Finance_Veolia_URD_2025_en.pdf</t>
        </is>
      </c>
      <c r="K341" s="28" t="inlineStr">
        <is>
          <t>2026-09-22</t>
        </is>
      </c>
      <c r="L341" s="30" t="inlineStr">
        <is>
          <t>à relire</t>
        </is>
      </c>
    </row>
    <row r="342">
      <c r="A342" s="20" t="inlineStr">
        <is>
          <t>F337</t>
        </is>
      </c>
      <c r="B342" s="5" t="inlineStr">
        <is>
          <t>Tableau de flux : dividendes versés</t>
        </is>
      </c>
      <c r="C342" s="21" t="n">
        <v>-1218</v>
      </c>
      <c r="D342" s="5" t="inlineStr">
        <is>
          <t>M EUR</t>
        </is>
      </c>
      <c r="E342" s="5" t="inlineStr">
        <is>
          <t>FY2024</t>
        </is>
      </c>
      <c r="F342" s="22" t="inlineStr">
        <is>
          <t>-1,218</t>
        </is>
      </c>
      <c r="G342" s="5" t="inlineStr">
        <is>
          <t>01_Financial/finance_veolia_urd_2025_en.pdf</t>
        </is>
      </c>
      <c r="H342" s="23" t="n">
        <v>363</v>
      </c>
      <c r="I342" s="5" t="inlineStr">
        <is>
          <t>3 Capacité</t>
        </is>
      </c>
      <c r="J342" s="22" t="inlineStr">
        <is>
          <t>https://www.veolia.com/sites/g/files/dvc4206/files/document/2026/03/Finance_Veolia_URD_2025_en.pdf</t>
        </is>
      </c>
      <c r="K342" s="22" t="inlineStr">
        <is>
          <t>2026-09-22</t>
        </is>
      </c>
      <c r="L342" s="24" t="inlineStr">
        <is>
          <t>à relire</t>
        </is>
      </c>
    </row>
    <row r="343">
      <c r="A343" s="25" t="inlineStr">
        <is>
          <t>F338</t>
        </is>
      </c>
      <c r="B343" s="26" t="inlineStr">
        <is>
          <t>Tableau de flux : remboursement de la dette de loyers IFRS 16 courante</t>
        </is>
      </c>
      <c r="C343" s="31" t="n">
        <v>-506</v>
      </c>
      <c r="D343" s="26" t="inlineStr">
        <is>
          <t>M EUR</t>
        </is>
      </c>
      <c r="E343" s="26" t="inlineStr">
        <is>
          <t>FY2025</t>
        </is>
      </c>
      <c r="F343" s="28" t="inlineStr">
        <is>
          <t>-506</t>
        </is>
      </c>
      <c r="G343" s="26" t="inlineStr">
        <is>
          <t>01_Financial/finance_veolia_urd_2025_en.pdf</t>
        </is>
      </c>
      <c r="H343" s="29" t="n">
        <v>363</v>
      </c>
      <c r="I343" s="26" t="inlineStr">
        <is>
          <t>2 Contrainte</t>
        </is>
      </c>
      <c r="J343" s="28" t="inlineStr">
        <is>
          <t>https://www.veolia.com/sites/g/files/dvc4206/files/document/2026/03/Finance_Veolia_URD_2025_en.pdf</t>
        </is>
      </c>
      <c r="K343" s="28" t="inlineStr">
        <is>
          <t>2026-09-22</t>
        </is>
      </c>
      <c r="L343" s="30" t="inlineStr">
        <is>
          <t>à relire</t>
        </is>
      </c>
    </row>
    <row r="344">
      <c r="A344" s="20" t="inlineStr">
        <is>
          <t>F339</t>
        </is>
      </c>
      <c r="B344" s="5" t="inlineStr">
        <is>
          <t>Tableau de flux : remboursement de la dette de loyers IFRS 16 courante</t>
        </is>
      </c>
      <c r="C344" s="21" t="n">
        <v>-541</v>
      </c>
      <c r="D344" s="5" t="inlineStr">
        <is>
          <t>M EUR</t>
        </is>
      </c>
      <c r="E344" s="5" t="inlineStr">
        <is>
          <t>FY2024</t>
        </is>
      </c>
      <c r="F344" s="22" t="inlineStr">
        <is>
          <t>-541</t>
        </is>
      </c>
      <c r="G344" s="5" t="inlineStr">
        <is>
          <t>01_Financial/finance_veolia_urd_2025_en.pdf</t>
        </is>
      </c>
      <c r="H344" s="23" t="n">
        <v>363</v>
      </c>
      <c r="I344" s="5" t="inlineStr">
        <is>
          <t>2 Contrainte</t>
        </is>
      </c>
      <c r="J344" s="22" t="inlineStr">
        <is>
          <t>https://www.veolia.com/sites/g/files/dvc4206/files/document/2026/03/Finance_Veolia_URD_2025_en.pdf</t>
        </is>
      </c>
      <c r="K344" s="22" t="inlineStr">
        <is>
          <t>2026-09-22</t>
        </is>
      </c>
      <c r="L344" s="24" t="inlineStr">
        <is>
          <t>à relire</t>
        </is>
      </c>
    </row>
    <row r="345">
      <c r="A345" s="25" t="inlineStr">
        <is>
          <t>F340</t>
        </is>
      </c>
      <c r="B345" s="26" t="inlineStr">
        <is>
          <t>Tableau de flux : nouveaux emprunts non courants</t>
        </is>
      </c>
      <c r="C345" s="31" t="n">
        <v>2766</v>
      </c>
      <c r="D345" s="26" t="inlineStr">
        <is>
          <t>M EUR</t>
        </is>
      </c>
      <c r="E345" s="26" t="inlineStr">
        <is>
          <t>FY2025</t>
        </is>
      </c>
      <c r="F345" s="28" t="inlineStr">
        <is>
          <t>2,766</t>
        </is>
      </c>
      <c r="G345" s="26" t="inlineStr">
        <is>
          <t>01_Financial/finance_veolia_urd_2025_en.pdf</t>
        </is>
      </c>
      <c r="H345" s="29" t="n">
        <v>363</v>
      </c>
      <c r="I345" s="26" t="inlineStr">
        <is>
          <t>2 Contrainte</t>
        </is>
      </c>
      <c r="J345" s="28" t="inlineStr">
        <is>
          <t>https://www.veolia.com/sites/g/files/dvc4206/files/document/2026/03/Finance_Veolia_URD_2025_en.pdf</t>
        </is>
      </c>
      <c r="K345" s="28" t="inlineStr">
        <is>
          <t>2026-09-22</t>
        </is>
      </c>
      <c r="L345" s="30" t="inlineStr">
        <is>
          <t>à relire</t>
        </is>
      </c>
    </row>
    <row r="346">
      <c r="A346" s="20" t="inlineStr">
        <is>
          <t>F341</t>
        </is>
      </c>
      <c r="B346" s="5" t="inlineStr">
        <is>
          <t>Tableau de flux : nouveaux emprunts non courants</t>
        </is>
      </c>
      <c r="C346" s="21" t="n">
        <v>1462</v>
      </c>
      <c r="D346" s="5" t="inlineStr">
        <is>
          <t>M EUR</t>
        </is>
      </c>
      <c r="E346" s="5" t="inlineStr">
        <is>
          <t>FY2024</t>
        </is>
      </c>
      <c r="F346" s="22" t="inlineStr">
        <is>
          <t>1,462</t>
        </is>
      </c>
      <c r="G346" s="5" t="inlineStr">
        <is>
          <t>01_Financial/finance_veolia_urd_2025_en.pdf</t>
        </is>
      </c>
      <c r="H346" s="23" t="n">
        <v>363</v>
      </c>
      <c r="I346" s="5" t="inlineStr">
        <is>
          <t>2 Contrainte</t>
        </is>
      </c>
      <c r="J346" s="22" t="inlineStr">
        <is>
          <t>https://www.veolia.com/sites/g/files/dvc4206/files/document/2026/03/Finance_Veolia_URD_2025_en.pdf</t>
        </is>
      </c>
      <c r="K346" s="22" t="inlineStr">
        <is>
          <t>2026-09-22</t>
        </is>
      </c>
      <c r="L346" s="24" t="inlineStr">
        <is>
          <t>à relire</t>
        </is>
      </c>
    </row>
    <row r="347">
      <c r="A347" s="25" t="inlineStr">
        <is>
          <t>F342</t>
        </is>
      </c>
      <c r="B347" s="26" t="inlineStr">
        <is>
          <t>Tableau de flux : remboursements d'emprunts non courants</t>
        </is>
      </c>
      <c r="C347" s="31" t="n">
        <v>-186</v>
      </c>
      <c r="D347" s="26" t="inlineStr">
        <is>
          <t>M EUR</t>
        </is>
      </c>
      <c r="E347" s="26" t="inlineStr">
        <is>
          <t>FY2025</t>
        </is>
      </c>
      <c r="F347" s="28" t="inlineStr">
        <is>
          <t>-186</t>
        </is>
      </c>
      <c r="G347" s="26" t="inlineStr">
        <is>
          <t>01_Financial/finance_veolia_urd_2025_en.pdf</t>
        </is>
      </c>
      <c r="H347" s="29" t="n">
        <v>363</v>
      </c>
      <c r="I347" s="26" t="inlineStr">
        <is>
          <t>2 Contrainte</t>
        </is>
      </c>
      <c r="J347" s="28" t="inlineStr">
        <is>
          <t>https://www.veolia.com/sites/g/files/dvc4206/files/document/2026/03/Finance_Veolia_URD_2025_en.pdf</t>
        </is>
      </c>
      <c r="K347" s="28" t="inlineStr">
        <is>
          <t>2026-09-22</t>
        </is>
      </c>
      <c r="L347" s="30" t="inlineStr">
        <is>
          <t>à relire</t>
        </is>
      </c>
    </row>
    <row r="348">
      <c r="A348" s="20" t="inlineStr">
        <is>
          <t>F343</t>
        </is>
      </c>
      <c r="B348" s="5" t="inlineStr">
        <is>
          <t>Tableau de flux : remboursements d'emprunts non courants</t>
        </is>
      </c>
      <c r="C348" s="21" t="n">
        <v>-619</v>
      </c>
      <c r="D348" s="5" t="inlineStr">
        <is>
          <t>M EUR</t>
        </is>
      </c>
      <c r="E348" s="5" t="inlineStr">
        <is>
          <t>FY2024</t>
        </is>
      </c>
      <c r="F348" s="22" t="inlineStr">
        <is>
          <t>-619</t>
        </is>
      </c>
      <c r="G348" s="5" t="inlineStr">
        <is>
          <t>01_Financial/finance_veolia_urd_2025_en.pdf</t>
        </is>
      </c>
      <c r="H348" s="23" t="n">
        <v>363</v>
      </c>
      <c r="I348" s="5" t="inlineStr">
        <is>
          <t>2 Contrainte</t>
        </is>
      </c>
      <c r="J348" s="22" t="inlineStr">
        <is>
          <t>https://www.veolia.com/sites/g/files/dvc4206/files/document/2026/03/Finance_Veolia_URD_2025_en.pdf</t>
        </is>
      </c>
      <c r="K348" s="22" t="inlineStr">
        <is>
          <t>2026-09-22</t>
        </is>
      </c>
      <c r="L348" s="24" t="inlineStr">
        <is>
          <t>à relire</t>
        </is>
      </c>
    </row>
    <row r="349">
      <c r="A349" s="25" t="inlineStr">
        <is>
          <t>F344</t>
        </is>
      </c>
      <c r="B349" s="26" t="inlineStr">
        <is>
          <t>Tableau de flux : variation des passifs financiers courants</t>
        </is>
      </c>
      <c r="C349" s="31" t="n">
        <v>-2170</v>
      </c>
      <c r="D349" s="26" t="inlineStr">
        <is>
          <t>M EUR</t>
        </is>
      </c>
      <c r="E349" s="26" t="inlineStr">
        <is>
          <t>FY2025</t>
        </is>
      </c>
      <c r="F349" s="28" t="inlineStr">
        <is>
          <t>-2,170</t>
        </is>
      </c>
      <c r="G349" s="26" t="inlineStr">
        <is>
          <t>01_Financial/finance_veolia_urd_2025_en.pdf</t>
        </is>
      </c>
      <c r="H349" s="29" t="n">
        <v>363</v>
      </c>
      <c r="I349" s="26" t="inlineStr">
        <is>
          <t>2 Contrainte</t>
        </is>
      </c>
      <c r="J349" s="28" t="inlineStr">
        <is>
          <t>https://www.veolia.com/sites/g/files/dvc4206/files/document/2026/03/Finance_Veolia_URD_2025_en.pdf</t>
        </is>
      </c>
      <c r="K349" s="28" t="inlineStr">
        <is>
          <t>2026-09-22</t>
        </is>
      </c>
      <c r="L349" s="30" t="inlineStr">
        <is>
          <t>à relire</t>
        </is>
      </c>
    </row>
    <row r="350">
      <c r="A350" s="20" t="inlineStr">
        <is>
          <t>F345</t>
        </is>
      </c>
      <c r="B350" s="5" t="inlineStr">
        <is>
          <t>Tableau de flux : variation des passifs financiers courants</t>
        </is>
      </c>
      <c r="C350" s="21" t="n">
        <v>-5</v>
      </c>
      <c r="D350" s="5" t="inlineStr">
        <is>
          <t>M EUR</t>
        </is>
      </c>
      <c r="E350" s="5" t="inlineStr">
        <is>
          <t>FY2024</t>
        </is>
      </c>
      <c r="F350" s="22" t="inlineStr">
        <is>
          <t>-5</t>
        </is>
      </c>
      <c r="G350" s="5" t="inlineStr">
        <is>
          <t>01_Financial/finance_veolia_urd_2025_en.pdf</t>
        </is>
      </c>
      <c r="H350" s="23" t="n">
        <v>363</v>
      </c>
      <c r="I350" s="5" t="inlineStr">
        <is>
          <t>2 Contrainte</t>
        </is>
      </c>
      <c r="J350" s="22" t="inlineStr">
        <is>
          <t>https://www.veolia.com/sites/g/files/dvc4206/files/document/2026/03/Finance_Veolia_URD_2025_en.pdf</t>
        </is>
      </c>
      <c r="K350" s="22" t="inlineStr">
        <is>
          <t>2026-09-22</t>
        </is>
      </c>
      <c r="L350" s="24" t="inlineStr">
        <is>
          <t>à relire</t>
        </is>
      </c>
    </row>
    <row r="351">
      <c r="A351" s="25" t="inlineStr">
        <is>
          <t>F346</t>
        </is>
      </c>
      <c r="B351" s="26" t="inlineStr">
        <is>
          <t>Tableau de flux : émission / remboursement de titres super-subordonnés</t>
        </is>
      </c>
      <c r="C351" s="31" t="n">
        <v>492</v>
      </c>
      <c r="D351" s="26" t="inlineStr">
        <is>
          <t>M EUR</t>
        </is>
      </c>
      <c r="E351" s="26" t="inlineStr">
        <is>
          <t>FY2025</t>
        </is>
      </c>
      <c r="F351" s="28" t="inlineStr">
        <is>
          <t>492</t>
        </is>
      </c>
      <c r="G351" s="26" t="inlineStr">
        <is>
          <t>01_Financial/finance_veolia_urd_2025_en.pdf</t>
        </is>
      </c>
      <c r="H351" s="29" t="n">
        <v>363</v>
      </c>
      <c r="I351" s="26" t="inlineStr">
        <is>
          <t>2 Contrainte</t>
        </is>
      </c>
      <c r="J351" s="28" t="inlineStr">
        <is>
          <t>https://www.veolia.com/sites/g/files/dvc4206/files/document/2026/03/Finance_Veolia_URD_2025_en.pdf</t>
        </is>
      </c>
      <c r="K351" s="28" t="inlineStr">
        <is>
          <t>2026-09-22</t>
        </is>
      </c>
      <c r="L351" s="30" t="inlineStr">
        <is>
          <t>à relire</t>
        </is>
      </c>
    </row>
    <row r="352">
      <c r="A352" s="20" t="inlineStr">
        <is>
          <t>F347</t>
        </is>
      </c>
      <c r="B352" s="5" t="inlineStr">
        <is>
          <t>Tableau de flux : émission / remboursement de titres super-subordonnés</t>
        </is>
      </c>
      <c r="C352" s="21" t="n">
        <v>-221</v>
      </c>
      <c r="D352" s="5" t="inlineStr">
        <is>
          <t>M EUR</t>
        </is>
      </c>
      <c r="E352" s="5" t="inlineStr">
        <is>
          <t>FY2024</t>
        </is>
      </c>
      <c r="F352" s="22" t="inlineStr">
        <is>
          <t>-221</t>
        </is>
      </c>
      <c r="G352" s="5" t="inlineStr">
        <is>
          <t>01_Financial/finance_veolia_urd_2025_en.pdf</t>
        </is>
      </c>
      <c r="H352" s="23" t="n">
        <v>363</v>
      </c>
      <c r="I352" s="5" t="inlineStr">
        <is>
          <t>2 Contrainte</t>
        </is>
      </c>
      <c r="J352" s="22" t="inlineStr">
        <is>
          <t>https://www.veolia.com/sites/g/files/dvc4206/files/document/2026/03/Finance_Veolia_URD_2025_en.pdf</t>
        </is>
      </c>
      <c r="K352" s="22" t="inlineStr">
        <is>
          <t>2026-09-22</t>
        </is>
      </c>
      <c r="L352" s="24" t="inlineStr">
        <is>
          <t>à relire</t>
        </is>
      </c>
    </row>
    <row r="353">
      <c r="A353" s="25" t="inlineStr">
        <is>
          <t>F348</t>
        </is>
      </c>
      <c r="B353" s="26" t="inlineStr">
        <is>
          <t>Tableau de flux : réduction de capital</t>
        </is>
      </c>
      <c r="C353" s="31" t="n">
        <v>-402</v>
      </c>
      <c r="D353" s="26" t="inlineStr">
        <is>
          <t>M EUR</t>
        </is>
      </c>
      <c r="E353" s="26" t="inlineStr">
        <is>
          <t>FY2025</t>
        </is>
      </c>
      <c r="F353" s="28" t="inlineStr">
        <is>
          <t>-402</t>
        </is>
      </c>
      <c r="G353" s="26" t="inlineStr">
        <is>
          <t>01_Financial/finance_veolia_urd_2025_en.pdf</t>
        </is>
      </c>
      <c r="H353" s="29" t="n">
        <v>363</v>
      </c>
      <c r="I353" s="26" t="inlineStr">
        <is>
          <t>3 Capacité</t>
        </is>
      </c>
      <c r="J353" s="28" t="inlineStr">
        <is>
          <t>https://www.veolia.com/sites/g/files/dvc4206/files/document/2026/03/Finance_Veolia_URD_2025_en.pdf</t>
        </is>
      </c>
      <c r="K353" s="28" t="inlineStr">
        <is>
          <t>2026-09-22</t>
        </is>
      </c>
      <c r="L353" s="30" t="inlineStr">
        <is>
          <t>à relire</t>
        </is>
      </c>
    </row>
    <row r="354">
      <c r="A354" s="20" t="inlineStr">
        <is>
          <t>F349</t>
        </is>
      </c>
      <c r="B354" s="5" t="inlineStr">
        <is>
          <t>Flux contractuels non actualisés : emprunts obligataires, 2027</t>
        </is>
      </c>
      <c r="C354" s="21" t="n">
        <v>3043</v>
      </c>
      <c r="D354" s="5" t="inlineStr">
        <is>
          <t>M EUR</t>
        </is>
      </c>
      <c r="E354" s="5" t="inlineStr">
        <is>
          <t>31/12/2025</t>
        </is>
      </c>
      <c r="F354" s="22" t="inlineStr">
        <is>
          <t>3,043</t>
        </is>
      </c>
      <c r="G354" s="5" t="inlineStr">
        <is>
          <t>01_Financial/finance_veolia_urd_2025_en.pdf</t>
        </is>
      </c>
      <c r="H354" s="23" t="n">
        <v>421</v>
      </c>
      <c r="I354" s="5" t="inlineStr">
        <is>
          <t>2 Contrainte</t>
        </is>
      </c>
      <c r="J354" s="22" t="inlineStr">
        <is>
          <t>https://www.veolia.com/sites/g/files/dvc4206/files/document/2026/03/Finance_Veolia_URD_2025_en.pdf</t>
        </is>
      </c>
      <c r="K354" s="22" t="inlineStr">
        <is>
          <t>2026-09-22</t>
        </is>
      </c>
      <c r="L354" s="24" t="inlineStr">
        <is>
          <t>à relire</t>
        </is>
      </c>
    </row>
    <row r="355">
      <c r="A355" s="25" t="inlineStr">
        <is>
          <t>F350</t>
        </is>
      </c>
      <c r="B355" s="26" t="inlineStr">
        <is>
          <t>Flux contractuels non actualisés : emprunts obligataires, 2028</t>
        </is>
      </c>
      <c r="C355" s="31" t="n">
        <v>2447</v>
      </c>
      <c r="D355" s="26" t="inlineStr">
        <is>
          <t>M EUR</t>
        </is>
      </c>
      <c r="E355" s="26" t="inlineStr">
        <is>
          <t>31/12/2025</t>
        </is>
      </c>
      <c r="F355" s="28" t="inlineStr">
        <is>
          <t>2,447</t>
        </is>
      </c>
      <c r="G355" s="26" t="inlineStr">
        <is>
          <t>01_Financial/finance_veolia_urd_2025_en.pdf</t>
        </is>
      </c>
      <c r="H355" s="29" t="n">
        <v>421</v>
      </c>
      <c r="I355" s="26" t="inlineStr">
        <is>
          <t>2 Contrainte</t>
        </is>
      </c>
      <c r="J355" s="28" t="inlineStr">
        <is>
          <t>https://www.veolia.com/sites/g/files/dvc4206/files/document/2026/03/Finance_Veolia_URD_2025_en.pdf</t>
        </is>
      </c>
      <c r="K355" s="28" t="inlineStr">
        <is>
          <t>2026-09-22</t>
        </is>
      </c>
      <c r="L355" s="30" t="inlineStr">
        <is>
          <t>à relire</t>
        </is>
      </c>
    </row>
    <row r="356">
      <c r="A356" s="20" t="inlineStr">
        <is>
          <t>F351</t>
        </is>
      </c>
      <c r="B356" s="5" t="inlineStr">
        <is>
          <t>Flux contractuels non actualisés : emprunts obligataires, 2029</t>
        </is>
      </c>
      <c r="C356" s="21" t="n">
        <v>1781</v>
      </c>
      <c r="D356" s="5" t="inlineStr">
        <is>
          <t>M EUR</t>
        </is>
      </c>
      <c r="E356" s="5" t="inlineStr">
        <is>
          <t>31/12/2025</t>
        </is>
      </c>
      <c r="F356" s="22" t="inlineStr">
        <is>
          <t>1,781</t>
        </is>
      </c>
      <c r="G356" s="5" t="inlineStr">
        <is>
          <t>01_Financial/finance_veolia_urd_2025_en.pdf</t>
        </is>
      </c>
      <c r="H356" s="23" t="n">
        <v>421</v>
      </c>
      <c r="I356" s="5" t="inlineStr">
        <is>
          <t>2 Contrainte</t>
        </is>
      </c>
      <c r="J356" s="22" t="inlineStr">
        <is>
          <t>https://www.veolia.com/sites/g/files/dvc4206/files/document/2026/03/Finance_Veolia_URD_2025_en.pdf</t>
        </is>
      </c>
      <c r="K356" s="22" t="inlineStr">
        <is>
          <t>2026-09-22</t>
        </is>
      </c>
      <c r="L356" s="24" t="inlineStr">
        <is>
          <t>à relire</t>
        </is>
      </c>
    </row>
    <row r="357">
      <c r="A357" s="25" t="inlineStr">
        <is>
          <t>F352</t>
        </is>
      </c>
      <c r="B357" s="26" t="inlineStr">
        <is>
          <t>Flux contractuels non actualisés : emprunts obligataires, 2030</t>
        </is>
      </c>
      <c r="C357" s="31" t="n">
        <v>2006</v>
      </c>
      <c r="D357" s="26" t="inlineStr">
        <is>
          <t>M EUR</t>
        </is>
      </c>
      <c r="E357" s="26" t="inlineStr">
        <is>
          <t>31/12/2025</t>
        </is>
      </c>
      <c r="F357" s="28" t="inlineStr">
        <is>
          <t>2,006</t>
        </is>
      </c>
      <c r="G357" s="26" t="inlineStr">
        <is>
          <t>01_Financial/finance_veolia_urd_2025_en.pdf</t>
        </is>
      </c>
      <c r="H357" s="29" t="n">
        <v>421</v>
      </c>
      <c r="I357" s="26" t="inlineStr">
        <is>
          <t>2 Contrainte</t>
        </is>
      </c>
      <c r="J357" s="28" t="inlineStr">
        <is>
          <t>https://www.veolia.com/sites/g/files/dvc4206/files/document/2026/03/Finance_Veolia_URD_2025_en.pdf</t>
        </is>
      </c>
      <c r="K357" s="28" t="inlineStr">
        <is>
          <t>2026-09-22</t>
        </is>
      </c>
      <c r="L357" s="30" t="inlineStr">
        <is>
          <t>à relire</t>
        </is>
      </c>
    </row>
    <row r="358">
      <c r="A358" s="20" t="inlineStr">
        <is>
          <t>F353</t>
        </is>
      </c>
      <c r="B358" s="5" t="inlineStr">
        <is>
          <t>Flux contractuels non actualisés : emprunts obligataires, au-delà de 5 ans</t>
        </is>
      </c>
      <c r="C358" s="21" t="n">
        <v>11065</v>
      </c>
      <c r="D358" s="5" t="inlineStr">
        <is>
          <t>M EUR</t>
        </is>
      </c>
      <c r="E358" s="5" t="inlineStr">
        <is>
          <t>31/12/2025</t>
        </is>
      </c>
      <c r="F358" s="22" t="inlineStr">
        <is>
          <t>11,065</t>
        </is>
      </c>
      <c r="G358" s="5" t="inlineStr">
        <is>
          <t>01_Financial/finance_veolia_urd_2025_en.pdf</t>
        </is>
      </c>
      <c r="H358" s="23" t="n">
        <v>421</v>
      </c>
      <c r="I358" s="5" t="inlineStr">
        <is>
          <t>2 Contrainte</t>
        </is>
      </c>
      <c r="J358" s="22" t="inlineStr">
        <is>
          <t>https://www.veolia.com/sites/g/files/dvc4206/files/document/2026/03/Finance_Veolia_URD_2025_en.pdf</t>
        </is>
      </c>
      <c r="K358" s="22" t="inlineStr">
        <is>
          <t>2026-09-22</t>
        </is>
      </c>
      <c r="L358" s="24" t="inlineStr">
        <is>
          <t>à relire</t>
        </is>
      </c>
    </row>
    <row r="359">
      <c r="A359" s="25" t="inlineStr">
        <is>
          <t>F354</t>
        </is>
      </c>
      <c r="B359" s="26" t="inlineStr">
        <is>
          <t>Flux contractuels non actualisés : autres passifs et découverts bancaires, total</t>
        </is>
      </c>
      <c r="C359" s="31" t="n">
        <v>9977</v>
      </c>
      <c r="D359" s="26" t="inlineStr">
        <is>
          <t>M EUR</t>
        </is>
      </c>
      <c r="E359" s="26" t="inlineStr">
        <is>
          <t>31/12/2025</t>
        </is>
      </c>
      <c r="F359" s="28" t="inlineStr">
        <is>
          <t>9,977</t>
        </is>
      </c>
      <c r="G359" s="26" t="inlineStr">
        <is>
          <t>01_Financial/finance_veolia_urd_2025_en.pdf</t>
        </is>
      </c>
      <c r="H359" s="29" t="n">
        <v>421</v>
      </c>
      <c r="I359" s="26" t="inlineStr">
        <is>
          <t>2 Contrainte</t>
        </is>
      </c>
      <c r="J359" s="28" t="inlineStr">
        <is>
          <t>https://www.veolia.com/sites/g/files/dvc4206/files/document/2026/03/Finance_Veolia_URD_2025_en.pdf</t>
        </is>
      </c>
      <c r="K359" s="28" t="inlineStr">
        <is>
          <t>2026-09-22</t>
        </is>
      </c>
      <c r="L359" s="30" t="inlineStr">
        <is>
          <t>à relire</t>
        </is>
      </c>
    </row>
    <row r="360">
      <c r="A360" s="20" t="inlineStr">
        <is>
          <t>F355</t>
        </is>
      </c>
      <c r="B360" s="5" t="inlineStr">
        <is>
          <t>Flux contractuels non actualisés : autres passifs et découverts bancaires, 2026</t>
        </is>
      </c>
      <c r="C360" s="21" t="n">
        <v>7219</v>
      </c>
      <c r="D360" s="5" t="inlineStr">
        <is>
          <t>M EUR</t>
        </is>
      </c>
      <c r="E360" s="5" t="inlineStr">
        <is>
          <t>31/12/2025</t>
        </is>
      </c>
      <c r="F360" s="22" t="inlineStr">
        <is>
          <t>7,219</t>
        </is>
      </c>
      <c r="G360" s="5" t="inlineStr">
        <is>
          <t>01_Financial/finance_veolia_urd_2025_en.pdf</t>
        </is>
      </c>
      <c r="H360" s="23" t="n">
        <v>421</v>
      </c>
      <c r="I360" s="5" t="inlineStr">
        <is>
          <t>2 Contrainte</t>
        </is>
      </c>
      <c r="J360" s="22" t="inlineStr">
        <is>
          <t>https://www.veolia.com/sites/g/files/dvc4206/files/document/2026/03/Finance_Veolia_URD_2025_en.pdf</t>
        </is>
      </c>
      <c r="K360" s="22" t="inlineStr">
        <is>
          <t>2026-09-22</t>
        </is>
      </c>
      <c r="L360" s="24" t="inlineStr">
        <is>
          <t>à relire</t>
        </is>
      </c>
    </row>
    <row r="361">
      <c r="A361" s="25" t="inlineStr">
        <is>
          <t>F356</t>
        </is>
      </c>
      <c r="B361" s="26" t="inlineStr">
        <is>
          <t>Flux contractuels non actualisés : autres passifs et découverts bancaires, 2027</t>
        </is>
      </c>
      <c r="C361" s="31" t="n">
        <v>465</v>
      </c>
      <c r="D361" s="26" t="inlineStr">
        <is>
          <t>M EUR</t>
        </is>
      </c>
      <c r="E361" s="26" t="inlineStr">
        <is>
          <t>31/12/2025</t>
        </is>
      </c>
      <c r="F361" s="28" t="inlineStr">
        <is>
          <t>465</t>
        </is>
      </c>
      <c r="G361" s="26" t="inlineStr">
        <is>
          <t>01_Financial/finance_veolia_urd_2025_en.pdf</t>
        </is>
      </c>
      <c r="H361" s="29" t="n">
        <v>421</v>
      </c>
      <c r="I361" s="26" t="inlineStr">
        <is>
          <t>2 Contrainte</t>
        </is>
      </c>
      <c r="J361" s="28" t="inlineStr">
        <is>
          <t>https://www.veolia.com/sites/g/files/dvc4206/files/document/2026/03/Finance_Veolia_URD_2025_en.pdf</t>
        </is>
      </c>
      <c r="K361" s="28" t="inlineStr">
        <is>
          <t>2026-09-22</t>
        </is>
      </c>
      <c r="L361" s="30" t="inlineStr">
        <is>
          <t>à relire</t>
        </is>
      </c>
    </row>
    <row r="362">
      <c r="A362" s="20" t="inlineStr">
        <is>
          <t>F357</t>
        </is>
      </c>
      <c r="B362" s="5" t="inlineStr">
        <is>
          <t>Flux contractuels non actualisés : autres passifs et découverts bancaires, 2028</t>
        </is>
      </c>
      <c r="C362" s="21" t="n">
        <v>728</v>
      </c>
      <c r="D362" s="5" t="inlineStr">
        <is>
          <t>M EUR</t>
        </is>
      </c>
      <c r="E362" s="5" t="inlineStr">
        <is>
          <t>31/12/2025</t>
        </is>
      </c>
      <c r="F362" s="22" t="inlineStr">
        <is>
          <t>728</t>
        </is>
      </c>
      <c r="G362" s="5" t="inlineStr">
        <is>
          <t>01_Financial/finance_veolia_urd_2025_en.pdf</t>
        </is>
      </c>
      <c r="H362" s="23" t="n">
        <v>421</v>
      </c>
      <c r="I362" s="5" t="inlineStr">
        <is>
          <t>2 Contrainte</t>
        </is>
      </c>
      <c r="J362" s="22" t="inlineStr">
        <is>
          <t>https://www.veolia.com/sites/g/files/dvc4206/files/document/2026/03/Finance_Veolia_URD_2025_en.pdf</t>
        </is>
      </c>
      <c r="K362" s="22" t="inlineStr">
        <is>
          <t>2026-09-22</t>
        </is>
      </c>
      <c r="L362" s="24" t="inlineStr">
        <is>
          <t>à relire</t>
        </is>
      </c>
    </row>
    <row r="363">
      <c r="A363" s="25" t="inlineStr">
        <is>
          <t>F358</t>
        </is>
      </c>
      <c r="B363" s="26" t="inlineStr">
        <is>
          <t>Flux contractuels non actualisés : autres passifs et découverts bancaires, 2029</t>
        </is>
      </c>
      <c r="C363" s="31" t="n">
        <v>302</v>
      </c>
      <c r="D363" s="26" t="inlineStr">
        <is>
          <t>M EUR</t>
        </is>
      </c>
      <c r="E363" s="26" t="inlineStr">
        <is>
          <t>31/12/2025</t>
        </is>
      </c>
      <c r="F363" s="28" t="inlineStr">
        <is>
          <t>302</t>
        </is>
      </c>
      <c r="G363" s="26" t="inlineStr">
        <is>
          <t>01_Financial/finance_veolia_urd_2025_en.pdf</t>
        </is>
      </c>
      <c r="H363" s="29" t="n">
        <v>421</v>
      </c>
      <c r="I363" s="26" t="inlineStr">
        <is>
          <t>2 Contrainte</t>
        </is>
      </c>
      <c r="J363" s="28" t="inlineStr">
        <is>
          <t>https://www.veolia.com/sites/g/files/dvc4206/files/document/2026/03/Finance_Veolia_URD_2025_en.pdf</t>
        </is>
      </c>
      <c r="K363" s="28" t="inlineStr">
        <is>
          <t>2026-09-22</t>
        </is>
      </c>
      <c r="L363" s="30" t="inlineStr">
        <is>
          <t>à relire</t>
        </is>
      </c>
    </row>
    <row r="364">
      <c r="A364" s="20" t="inlineStr">
        <is>
          <t>F359</t>
        </is>
      </c>
      <c r="B364" s="5" t="inlineStr">
        <is>
          <t>Flux contractuels non actualisés : autres passifs et découverts bancaires, 2030</t>
        </is>
      </c>
      <c r="C364" s="21" t="n">
        <v>254</v>
      </c>
      <c r="D364" s="5" t="inlineStr">
        <is>
          <t>M EUR</t>
        </is>
      </c>
      <c r="E364" s="5" t="inlineStr">
        <is>
          <t>31/12/2025</t>
        </is>
      </c>
      <c r="F364" s="22" t="inlineStr">
        <is>
          <t>254</t>
        </is>
      </c>
      <c r="G364" s="5" t="inlineStr">
        <is>
          <t>01_Financial/finance_veolia_urd_2025_en.pdf</t>
        </is>
      </c>
      <c r="H364" s="23" t="n">
        <v>421</v>
      </c>
      <c r="I364" s="5" t="inlineStr">
        <is>
          <t>2 Contrainte</t>
        </is>
      </c>
      <c r="J364" s="22" t="inlineStr">
        <is>
          <t>https://www.veolia.com/sites/g/files/dvc4206/files/document/2026/03/Finance_Veolia_URD_2025_en.pdf</t>
        </is>
      </c>
      <c r="K364" s="22" t="inlineStr">
        <is>
          <t>2026-09-22</t>
        </is>
      </c>
      <c r="L364" s="24" t="inlineStr">
        <is>
          <t>à relire</t>
        </is>
      </c>
    </row>
    <row r="365">
      <c r="A365" s="25" t="inlineStr">
        <is>
          <t>F360</t>
        </is>
      </c>
      <c r="B365" s="26" t="inlineStr">
        <is>
          <t>Flux contractuels non actualisés : autres passifs et découverts bancaires, au-delà de 5 ans</t>
        </is>
      </c>
      <c r="C365" s="31" t="n">
        <v>1009</v>
      </c>
      <c r="D365" s="26" t="inlineStr">
        <is>
          <t>M EUR</t>
        </is>
      </c>
      <c r="E365" s="26" t="inlineStr">
        <is>
          <t>31/12/2025</t>
        </is>
      </c>
      <c r="F365" s="28" t="inlineStr">
        <is>
          <t>1,009</t>
        </is>
      </c>
      <c r="G365" s="26" t="inlineStr">
        <is>
          <t>01_Financial/finance_veolia_urd_2025_en.pdf</t>
        </is>
      </c>
      <c r="H365" s="29" t="n">
        <v>421</v>
      </c>
      <c r="I365" s="26" t="inlineStr">
        <is>
          <t>2 Contrainte</t>
        </is>
      </c>
      <c r="J365" s="28" t="inlineStr">
        <is>
          <t>https://www.veolia.com/sites/g/files/dvc4206/files/document/2026/03/Finance_Veolia_URD_2025_en.pdf</t>
        </is>
      </c>
      <c r="K365" s="28" t="inlineStr">
        <is>
          <t>2026-09-22</t>
        </is>
      </c>
      <c r="L365" s="30" t="inlineStr">
        <is>
          <t>à relire</t>
        </is>
      </c>
    </row>
    <row r="366">
      <c r="A366" s="20" t="inlineStr">
        <is>
          <t>F361</t>
        </is>
      </c>
      <c r="B366" s="5" t="inlineStr">
        <is>
          <t>Flux contractuels non actualisés : dette de loyers IFRS 16, total</t>
        </is>
      </c>
      <c r="C366" s="21" t="n">
        <v>2162</v>
      </c>
      <c r="D366" s="5" t="inlineStr">
        <is>
          <t>M EUR</t>
        </is>
      </c>
      <c r="E366" s="5" t="inlineStr">
        <is>
          <t>31/12/2025</t>
        </is>
      </c>
      <c r="F366" s="22" t="inlineStr">
        <is>
          <t>2,162</t>
        </is>
      </c>
      <c r="G366" s="5" t="inlineStr">
        <is>
          <t>01_Financial/finance_veolia_urd_2025_en.pdf</t>
        </is>
      </c>
      <c r="H366" s="23" t="n">
        <v>421</v>
      </c>
      <c r="I366" s="5" t="inlineStr">
        <is>
          <t>2 Contrainte</t>
        </is>
      </c>
      <c r="J366" s="22" t="inlineStr">
        <is>
          <t>https://www.veolia.com/sites/g/files/dvc4206/files/document/2026/03/Finance_Veolia_URD_2025_en.pdf</t>
        </is>
      </c>
      <c r="K366" s="22" t="inlineStr">
        <is>
          <t>2026-09-22</t>
        </is>
      </c>
      <c r="L366" s="24" t="inlineStr">
        <is>
          <t>à relire</t>
        </is>
      </c>
    </row>
    <row r="367">
      <c r="A367" s="25" t="inlineStr">
        <is>
          <t>F362</t>
        </is>
      </c>
      <c r="B367" s="26" t="inlineStr">
        <is>
          <t>Flux contractuels non actualisés : dette de loyers IFRS 16, 2026</t>
        </is>
      </c>
      <c r="C367" s="31" t="n">
        <v>499</v>
      </c>
      <c r="D367" s="26" t="inlineStr">
        <is>
          <t>M EUR</t>
        </is>
      </c>
      <c r="E367" s="26" t="inlineStr">
        <is>
          <t>31/12/2025</t>
        </is>
      </c>
      <c r="F367" s="28" t="inlineStr">
        <is>
          <t>499</t>
        </is>
      </c>
      <c r="G367" s="26" t="inlineStr">
        <is>
          <t>01_Financial/finance_veolia_urd_2025_en.pdf</t>
        </is>
      </c>
      <c r="H367" s="29" t="n">
        <v>421</v>
      </c>
      <c r="I367" s="26" t="inlineStr">
        <is>
          <t>2 Contrainte</t>
        </is>
      </c>
      <c r="J367" s="28" t="inlineStr">
        <is>
          <t>https://www.veolia.com/sites/g/files/dvc4206/files/document/2026/03/Finance_Veolia_URD_2025_en.pdf</t>
        </is>
      </c>
      <c r="K367" s="28" t="inlineStr">
        <is>
          <t>2026-09-22</t>
        </is>
      </c>
      <c r="L367" s="30" t="inlineStr">
        <is>
          <t>à relire</t>
        </is>
      </c>
    </row>
    <row r="368">
      <c r="A368" s="20" t="inlineStr">
        <is>
          <t>F363</t>
        </is>
      </c>
      <c r="B368" s="5" t="inlineStr">
        <is>
          <t>Flux contractuels non actualisés : dette de loyers IFRS 16, 2027</t>
        </is>
      </c>
      <c r="C368" s="21" t="n">
        <v>384</v>
      </c>
      <c r="D368" s="5" t="inlineStr">
        <is>
          <t>M EUR</t>
        </is>
      </c>
      <c r="E368" s="5" t="inlineStr">
        <is>
          <t>31/12/2025</t>
        </is>
      </c>
      <c r="F368" s="22" t="inlineStr">
        <is>
          <t>384</t>
        </is>
      </c>
      <c r="G368" s="5" t="inlineStr">
        <is>
          <t>01_Financial/finance_veolia_urd_2025_en.pdf</t>
        </is>
      </c>
      <c r="H368" s="23" t="n">
        <v>421</v>
      </c>
      <c r="I368" s="5" t="inlineStr">
        <is>
          <t>2 Contrainte</t>
        </is>
      </c>
      <c r="J368" s="22" t="inlineStr">
        <is>
          <t>https://www.veolia.com/sites/g/files/dvc4206/files/document/2026/03/Finance_Veolia_URD_2025_en.pdf</t>
        </is>
      </c>
      <c r="K368" s="22" t="inlineStr">
        <is>
          <t>2026-09-22</t>
        </is>
      </c>
      <c r="L368" s="24" t="inlineStr">
        <is>
          <t>à relire</t>
        </is>
      </c>
    </row>
    <row r="369">
      <c r="A369" s="25" t="inlineStr">
        <is>
          <t>F364</t>
        </is>
      </c>
      <c r="B369" s="26" t="inlineStr">
        <is>
          <t>Flux contractuels non actualisés : dette de loyers IFRS 16, 2028</t>
        </is>
      </c>
      <c r="C369" s="31" t="n">
        <v>317</v>
      </c>
      <c r="D369" s="26" t="inlineStr">
        <is>
          <t>M EUR</t>
        </is>
      </c>
      <c r="E369" s="26" t="inlineStr">
        <is>
          <t>31/12/2025</t>
        </is>
      </c>
      <c r="F369" s="28" t="inlineStr">
        <is>
          <t>317</t>
        </is>
      </c>
      <c r="G369" s="26" t="inlineStr">
        <is>
          <t>01_Financial/finance_veolia_urd_2025_en.pdf</t>
        </is>
      </c>
      <c r="H369" s="29" t="n">
        <v>421</v>
      </c>
      <c r="I369" s="26" t="inlineStr">
        <is>
          <t>2 Contrainte</t>
        </is>
      </c>
      <c r="J369" s="28" t="inlineStr">
        <is>
          <t>https://www.veolia.com/sites/g/files/dvc4206/files/document/2026/03/Finance_Veolia_URD_2025_en.pdf</t>
        </is>
      </c>
      <c r="K369" s="28" t="inlineStr">
        <is>
          <t>2026-09-22</t>
        </is>
      </c>
      <c r="L369" s="30" t="inlineStr">
        <is>
          <t>à relire</t>
        </is>
      </c>
    </row>
    <row r="370">
      <c r="A370" s="20" t="inlineStr">
        <is>
          <t>F365</t>
        </is>
      </c>
      <c r="B370" s="5" t="inlineStr">
        <is>
          <t>Flux contractuels non actualisés : dette de loyers IFRS 16, 2029</t>
        </is>
      </c>
      <c r="C370" s="21" t="n">
        <v>198</v>
      </c>
      <c r="D370" s="5" t="inlineStr">
        <is>
          <t>M EUR</t>
        </is>
      </c>
      <c r="E370" s="5" t="inlineStr">
        <is>
          <t>31/12/2025</t>
        </is>
      </c>
      <c r="F370" s="22" t="inlineStr">
        <is>
          <t>198</t>
        </is>
      </c>
      <c r="G370" s="5" t="inlineStr">
        <is>
          <t>01_Financial/finance_veolia_urd_2025_en.pdf</t>
        </is>
      </c>
      <c r="H370" s="23" t="n">
        <v>421</v>
      </c>
      <c r="I370" s="5" t="inlineStr">
        <is>
          <t>2 Contrainte</t>
        </is>
      </c>
      <c r="J370" s="22" t="inlineStr">
        <is>
          <t>https://www.veolia.com/sites/g/files/dvc4206/files/document/2026/03/Finance_Veolia_URD_2025_en.pdf</t>
        </is>
      </c>
      <c r="K370" s="22" t="inlineStr">
        <is>
          <t>2026-09-22</t>
        </is>
      </c>
      <c r="L370" s="24" t="inlineStr">
        <is>
          <t>à relire</t>
        </is>
      </c>
    </row>
    <row r="371">
      <c r="A371" s="25" t="inlineStr">
        <is>
          <t>F366</t>
        </is>
      </c>
      <c r="B371" s="26" t="inlineStr">
        <is>
          <t>Flux contractuels non actualisés : dette de loyers IFRS 16, 2030</t>
        </is>
      </c>
      <c r="C371" s="31" t="n">
        <v>147</v>
      </c>
      <c r="D371" s="26" t="inlineStr">
        <is>
          <t>M EUR</t>
        </is>
      </c>
      <c r="E371" s="26" t="inlineStr">
        <is>
          <t>31/12/2025</t>
        </is>
      </c>
      <c r="F371" s="28" t="inlineStr">
        <is>
          <t>147</t>
        </is>
      </c>
      <c r="G371" s="26" t="inlineStr">
        <is>
          <t>01_Financial/finance_veolia_urd_2025_en.pdf</t>
        </is>
      </c>
      <c r="H371" s="29" t="n">
        <v>421</v>
      </c>
      <c r="I371" s="26" t="inlineStr">
        <is>
          <t>2 Contrainte</t>
        </is>
      </c>
      <c r="J371" s="28" t="inlineStr">
        <is>
          <t>https://www.veolia.com/sites/g/files/dvc4206/files/document/2026/03/Finance_Veolia_URD_2025_en.pdf</t>
        </is>
      </c>
      <c r="K371" s="28" t="inlineStr">
        <is>
          <t>2026-09-22</t>
        </is>
      </c>
      <c r="L371" s="30" t="inlineStr">
        <is>
          <t>à relire</t>
        </is>
      </c>
    </row>
    <row r="372">
      <c r="A372" s="20" t="inlineStr">
        <is>
          <t>F367</t>
        </is>
      </c>
      <c r="B372" s="5" t="inlineStr">
        <is>
          <t>Flux contractuels non actualisés : dette de loyers IFRS 16, au-delà de 5 ans</t>
        </is>
      </c>
      <c r="C372" s="21" t="n">
        <v>618</v>
      </c>
      <c r="D372" s="5" t="inlineStr">
        <is>
          <t>M EUR</t>
        </is>
      </c>
      <c r="E372" s="5" t="inlineStr">
        <is>
          <t>31/12/2025</t>
        </is>
      </c>
      <c r="F372" s="22" t="inlineStr">
        <is>
          <t>618</t>
        </is>
      </c>
      <c r="G372" s="5" t="inlineStr">
        <is>
          <t>01_Financial/finance_veolia_urd_2025_en.pdf</t>
        </is>
      </c>
      <c r="H372" s="23" t="n">
        <v>421</v>
      </c>
      <c r="I372" s="5" t="inlineStr">
        <is>
          <t>2 Contrainte</t>
        </is>
      </c>
      <c r="J372" s="22" t="inlineStr">
        <is>
          <t>https://www.veolia.com/sites/g/files/dvc4206/files/document/2026/03/Finance_Veolia_URD_2025_en.pdf</t>
        </is>
      </c>
      <c r="K372" s="22" t="inlineStr">
        <is>
          <t>2026-09-22</t>
        </is>
      </c>
      <c r="L372" s="24" t="inlineStr">
        <is>
          <t>à relire</t>
        </is>
      </c>
    </row>
    <row r="373">
      <c r="A373" s="25" t="inlineStr">
        <is>
          <t>F368</t>
        </is>
      </c>
      <c r="B373" s="26" t="inlineStr">
        <is>
          <t>Flux contractuels non actualisés : passifs financiers bruts, 2027</t>
        </is>
      </c>
      <c r="C373" s="31" t="n">
        <v>3891</v>
      </c>
      <c r="D373" s="26" t="inlineStr">
        <is>
          <t>M EUR</t>
        </is>
      </c>
      <c r="E373" s="26" t="inlineStr">
        <is>
          <t>31/12/2025</t>
        </is>
      </c>
      <c r="F373" s="28" t="inlineStr">
        <is>
          <t>3,891</t>
        </is>
      </c>
      <c r="G373" s="26" t="inlineStr">
        <is>
          <t>01_Financial/finance_veolia_urd_2025_en.pdf</t>
        </is>
      </c>
      <c r="H373" s="29" t="n">
        <v>421</v>
      </c>
      <c r="I373" s="26" t="inlineStr">
        <is>
          <t>2 Contrainte</t>
        </is>
      </c>
      <c r="J373" s="28" t="inlineStr">
        <is>
          <t>https://www.veolia.com/sites/g/files/dvc4206/files/document/2026/03/Finance_Veolia_URD_2025_en.pdf</t>
        </is>
      </c>
      <c r="K373" s="28" t="inlineStr">
        <is>
          <t>2026-09-22</t>
        </is>
      </c>
      <c r="L373" s="30" t="inlineStr">
        <is>
          <t>à relire</t>
        </is>
      </c>
    </row>
    <row r="374">
      <c r="A374" s="20" t="inlineStr">
        <is>
          <t>F369</t>
        </is>
      </c>
      <c r="B374" s="5" t="inlineStr">
        <is>
          <t>Flux contractuels non actualisés : passifs financiers bruts, 2028</t>
        </is>
      </c>
      <c r="C374" s="21" t="n">
        <v>3492</v>
      </c>
      <c r="D374" s="5" t="inlineStr">
        <is>
          <t>M EUR</t>
        </is>
      </c>
      <c r="E374" s="5" t="inlineStr">
        <is>
          <t>31/12/2025</t>
        </is>
      </c>
      <c r="F374" s="22" t="inlineStr">
        <is>
          <t>3,492</t>
        </is>
      </c>
      <c r="G374" s="5" t="inlineStr">
        <is>
          <t>01_Financial/finance_veolia_urd_2025_en.pdf</t>
        </is>
      </c>
      <c r="H374" s="23" t="n">
        <v>421</v>
      </c>
      <c r="I374" s="5" t="inlineStr">
        <is>
          <t>2 Contrainte</t>
        </is>
      </c>
      <c r="J374" s="22" t="inlineStr">
        <is>
          <t>https://www.veolia.com/sites/g/files/dvc4206/files/document/2026/03/Finance_Veolia_URD_2025_en.pdf</t>
        </is>
      </c>
      <c r="K374" s="22" t="inlineStr">
        <is>
          <t>2026-09-22</t>
        </is>
      </c>
      <c r="L374" s="24" t="inlineStr">
        <is>
          <t>à relire</t>
        </is>
      </c>
    </row>
    <row r="375">
      <c r="A375" s="25" t="inlineStr">
        <is>
          <t>F370</t>
        </is>
      </c>
      <c r="B375" s="26" t="inlineStr">
        <is>
          <t>Flux contractuels non actualisés : passifs financiers bruts, 2029</t>
        </is>
      </c>
      <c r="C375" s="31" t="n">
        <v>2281</v>
      </c>
      <c r="D375" s="26" t="inlineStr">
        <is>
          <t>M EUR</t>
        </is>
      </c>
      <c r="E375" s="26" t="inlineStr">
        <is>
          <t>31/12/2025</t>
        </is>
      </c>
      <c r="F375" s="28" t="inlineStr">
        <is>
          <t>2,281</t>
        </is>
      </c>
      <c r="G375" s="26" t="inlineStr">
        <is>
          <t>01_Financial/finance_veolia_urd_2025_en.pdf</t>
        </is>
      </c>
      <c r="H375" s="29" t="n">
        <v>421</v>
      </c>
      <c r="I375" s="26" t="inlineStr">
        <is>
          <t>2 Contrainte</t>
        </is>
      </c>
      <c r="J375" s="28" t="inlineStr">
        <is>
          <t>https://www.veolia.com/sites/g/files/dvc4206/files/document/2026/03/Finance_Veolia_URD_2025_en.pdf</t>
        </is>
      </c>
      <c r="K375" s="28" t="inlineStr">
        <is>
          <t>2026-09-22</t>
        </is>
      </c>
      <c r="L375" s="30" t="inlineStr">
        <is>
          <t>à relire</t>
        </is>
      </c>
    </row>
    <row r="376">
      <c r="A376" s="20" t="inlineStr">
        <is>
          <t>F371</t>
        </is>
      </c>
      <c r="B376" s="5" t="inlineStr">
        <is>
          <t>Flux contractuels non actualisés : passifs financiers bruts, 2030</t>
        </is>
      </c>
      <c r="C376" s="21" t="n">
        <v>2407</v>
      </c>
      <c r="D376" s="5" t="inlineStr">
        <is>
          <t>M EUR</t>
        </is>
      </c>
      <c r="E376" s="5" t="inlineStr">
        <is>
          <t>31/12/2025</t>
        </is>
      </c>
      <c r="F376" s="22" t="inlineStr">
        <is>
          <t>2,407</t>
        </is>
      </c>
      <c r="G376" s="5" t="inlineStr">
        <is>
          <t>01_Financial/finance_veolia_urd_2025_en.pdf</t>
        </is>
      </c>
      <c r="H376" s="23" t="n">
        <v>421</v>
      </c>
      <c r="I376" s="5" t="inlineStr">
        <is>
          <t>2 Contrainte</t>
        </is>
      </c>
      <c r="J376" s="22" t="inlineStr">
        <is>
          <t>https://www.veolia.com/sites/g/files/dvc4206/files/document/2026/03/Finance_Veolia_URD_2025_en.pdf</t>
        </is>
      </c>
      <c r="K376" s="22" t="inlineStr">
        <is>
          <t>2026-09-22</t>
        </is>
      </c>
      <c r="L376" s="24" t="inlineStr">
        <is>
          <t>à relire</t>
        </is>
      </c>
    </row>
    <row r="377">
      <c r="A377" s="25" t="inlineStr">
        <is>
          <t>F372</t>
        </is>
      </c>
      <c r="B377" s="26" t="inlineStr">
        <is>
          <t>Flux contractuels non actualisés : passifs financiers bruts, au-delà de 5 ans</t>
        </is>
      </c>
      <c r="C377" s="31" t="n">
        <v>12692</v>
      </c>
      <c r="D377" s="26" t="inlineStr">
        <is>
          <t>M EUR</t>
        </is>
      </c>
      <c r="E377" s="26" t="inlineStr">
        <is>
          <t>31/12/2025</t>
        </is>
      </c>
      <c r="F377" s="28" t="inlineStr">
        <is>
          <t>12,692</t>
        </is>
      </c>
      <c r="G377" s="26" t="inlineStr">
        <is>
          <t>01_Financial/finance_veolia_urd_2025_en.pdf</t>
        </is>
      </c>
      <c r="H377" s="29" t="n">
        <v>421</v>
      </c>
      <c r="I377" s="26" t="inlineStr">
        <is>
          <t>2 Contrainte</t>
        </is>
      </c>
      <c r="J377" s="28" t="inlineStr">
        <is>
          <t>https://www.veolia.com/sites/g/files/dvc4206/files/document/2026/03/Finance_Veolia_URD_2025_en.pdf</t>
        </is>
      </c>
      <c r="K377" s="28" t="inlineStr">
        <is>
          <t>2026-09-22</t>
        </is>
      </c>
      <c r="L377" s="30" t="inlineStr">
        <is>
          <t>à relire</t>
        </is>
      </c>
    </row>
    <row r="378">
      <c r="A378" s="20" t="inlineStr">
        <is>
          <t>F373</t>
        </is>
      </c>
      <c r="B378" s="5" t="inlineStr">
        <is>
          <t>Ligne de crédit syndiquée non tirée (Veolia Environnement)</t>
        </is>
      </c>
      <c r="C378" s="21" t="n">
        <v>4500</v>
      </c>
      <c r="D378" s="5" t="inlineStr">
        <is>
          <t>M EUR</t>
        </is>
      </c>
      <c r="E378" s="5" t="inlineStr">
        <is>
          <t>31/12/2025</t>
        </is>
      </c>
      <c r="F378" s="22" t="inlineStr">
        <is>
          <t>4,500</t>
        </is>
      </c>
      <c r="G378" s="5" t="inlineStr">
        <is>
          <t>01_Financial/finance_veolia_urd_2025_en.pdf</t>
        </is>
      </c>
      <c r="H378" s="23" t="n">
        <v>421</v>
      </c>
      <c r="I378" s="5" t="inlineStr">
        <is>
          <t>2 Contrainte</t>
        </is>
      </c>
      <c r="J378" s="22" t="inlineStr">
        <is>
          <t>https://www.veolia.com/sites/g/files/dvc4206/files/document/2026/03/Finance_Veolia_URD_2025_en.pdf</t>
        </is>
      </c>
      <c r="K378" s="22" t="inlineStr">
        <is>
          <t>2026-09-22</t>
        </is>
      </c>
      <c r="L378" s="24" t="inlineStr">
        <is>
          <t>à relire</t>
        </is>
      </c>
    </row>
    <row r="379">
      <c r="A379" s="25" t="inlineStr">
        <is>
          <t>F374</t>
        </is>
      </c>
      <c r="B379" s="26" t="inlineStr">
        <is>
          <t>Lignes de crédit bilatérales MT non tirées (Veolia Environnement)</t>
        </is>
      </c>
      <c r="C379" s="31" t="n">
        <v>765</v>
      </c>
      <c r="D379" s="26" t="inlineStr">
        <is>
          <t>M EUR</t>
        </is>
      </c>
      <c r="E379" s="26" t="inlineStr">
        <is>
          <t>31/12/2025</t>
        </is>
      </c>
      <c r="F379" s="28" t="inlineStr">
        <is>
          <t>765</t>
        </is>
      </c>
      <c r="G379" s="26" t="inlineStr">
        <is>
          <t>01_Financial/finance_veolia_urd_2025_en.pdf</t>
        </is>
      </c>
      <c r="H379" s="29" t="n">
        <v>421</v>
      </c>
      <c r="I379" s="26" t="inlineStr">
        <is>
          <t>2 Contrainte</t>
        </is>
      </c>
      <c r="J379" s="28" t="inlineStr">
        <is>
          <t>https://www.veolia.com/sites/g/files/dvc4206/files/document/2026/03/Finance_Veolia_URD_2025_en.pdf</t>
        </is>
      </c>
      <c r="K379" s="28" t="inlineStr">
        <is>
          <t>2026-09-22</t>
        </is>
      </c>
      <c r="L379" s="30" t="inlineStr">
        <is>
          <t>à relire</t>
        </is>
      </c>
    </row>
    <row r="380">
      <c r="A380" s="20" t="inlineStr">
        <is>
          <t>F375</t>
        </is>
      </c>
      <c r="B380" s="5" t="inlineStr">
        <is>
          <t>Trésorerie, équivalents, actifs liquides et de financement (Veolia Environnement)</t>
        </is>
      </c>
      <c r="C380" s="21" t="n">
        <v>7551</v>
      </c>
      <c r="D380" s="5" t="inlineStr">
        <is>
          <t>M EUR</t>
        </is>
      </c>
      <c r="E380" s="5" t="inlineStr">
        <is>
          <t>31/12/2025</t>
        </is>
      </c>
      <c r="F380" s="22" t="inlineStr">
        <is>
          <t>7,551</t>
        </is>
      </c>
      <c r="G380" s="5" t="inlineStr">
        <is>
          <t>01_Financial/finance_veolia_urd_2025_en.pdf</t>
        </is>
      </c>
      <c r="H380" s="23" t="n">
        <v>421</v>
      </c>
      <c r="I380" s="5" t="inlineStr">
        <is>
          <t>2 Contrainte</t>
        </is>
      </c>
      <c r="J380" s="22" t="inlineStr">
        <is>
          <t>https://www.veolia.com/sites/g/files/dvc4206/files/document/2026/03/Finance_Veolia_URD_2025_en.pdf</t>
        </is>
      </c>
      <c r="K380" s="22" t="inlineStr">
        <is>
          <t>2026-09-22</t>
        </is>
      </c>
      <c r="L380" s="24" t="inlineStr">
        <is>
          <t>à relire</t>
        </is>
      </c>
    </row>
    <row r="381">
      <c r="A381" s="25" t="inlineStr">
        <is>
          <t>F376</t>
        </is>
      </c>
      <c r="B381" s="26" t="inlineStr">
        <is>
          <t>Lignes de crédit bilatérales des filiales</t>
        </is>
      </c>
      <c r="C381" s="31" t="n">
        <v>673</v>
      </c>
      <c r="D381" s="26" t="inlineStr">
        <is>
          <t>M EUR</t>
        </is>
      </c>
      <c r="E381" s="26" t="inlineStr">
        <is>
          <t>31/12/2025</t>
        </is>
      </c>
      <c r="F381" s="28" t="inlineStr">
        <is>
          <t>673</t>
        </is>
      </c>
      <c r="G381" s="26" t="inlineStr">
        <is>
          <t>01_Financial/finance_veolia_urd_2025_en.pdf</t>
        </is>
      </c>
      <c r="H381" s="29" t="n">
        <v>421</v>
      </c>
      <c r="I381" s="26" t="inlineStr">
        <is>
          <t>2 Contrainte</t>
        </is>
      </c>
      <c r="J381" s="28" t="inlineStr">
        <is>
          <t>https://www.veolia.com/sites/g/files/dvc4206/files/document/2026/03/Finance_Veolia_URD_2025_en.pdf</t>
        </is>
      </c>
      <c r="K381" s="28" t="inlineStr">
        <is>
          <t>2026-09-22</t>
        </is>
      </c>
      <c r="L381" s="30" t="inlineStr">
        <is>
          <t>à relire</t>
        </is>
      </c>
    </row>
    <row r="382">
      <c r="A382" s="20" t="inlineStr">
        <is>
          <t>F377</t>
        </is>
      </c>
      <c r="B382" s="5" t="inlineStr">
        <is>
          <t>Souche EMTN Series 41, échéance 15/04/2028 : nominal</t>
        </is>
      </c>
      <c r="C382" s="21" t="n">
        <v>700</v>
      </c>
      <c r="D382" s="5" t="inlineStr">
        <is>
          <t>M EUR</t>
        </is>
      </c>
      <c r="E382" s="5" t="inlineStr">
        <is>
          <t>31/12/2025</t>
        </is>
      </c>
      <c r="F382" s="22" t="inlineStr">
        <is>
          <t>700</t>
        </is>
      </c>
      <c r="G382" s="5" t="inlineStr">
        <is>
          <t>01_Financial/finance_veolia_urd_2025_en.pdf</t>
        </is>
      </c>
      <c r="H382" s="23" t="n">
        <v>407</v>
      </c>
      <c r="I382" s="5" t="inlineStr">
        <is>
          <t>2 Contrainte</t>
        </is>
      </c>
      <c r="J382" s="22" t="inlineStr">
        <is>
          <t>https://www.veolia.com/sites/g/files/dvc4206/files/document/2026/03/Finance_Veolia_URD_2025_en.pdf</t>
        </is>
      </c>
      <c r="K382" s="22" t="inlineStr">
        <is>
          <t>2026-09-22</t>
        </is>
      </c>
      <c r="L382" s="24" t="inlineStr">
        <is>
          <t>à relire</t>
        </is>
      </c>
    </row>
    <row r="383">
      <c r="A383" s="25" t="inlineStr">
        <is>
          <t>F378</t>
        </is>
      </c>
      <c r="B383" s="26" t="inlineStr">
        <is>
          <t>Souche EMTN Series 41, échéance 15/04/2028 : taux</t>
        </is>
      </c>
      <c r="C383" s="27" t="n">
        <v>1.25</v>
      </c>
      <c r="D383" s="26" t="inlineStr">
        <is>
          <t>%</t>
        </is>
      </c>
      <c r="E383" s="26" t="inlineStr">
        <is>
          <t>31/12/2025</t>
        </is>
      </c>
      <c r="F383" s="28" t="inlineStr">
        <is>
          <t>1.250</t>
        </is>
      </c>
      <c r="G383" s="26" t="inlineStr">
        <is>
          <t>01_Financial/finance_veolia_urd_2025_en.pdf</t>
        </is>
      </c>
      <c r="H383" s="29" t="n">
        <v>407</v>
      </c>
      <c r="I383" s="26" t="inlineStr">
        <is>
          <t>2 Contrainte</t>
        </is>
      </c>
      <c r="J383" s="28" t="inlineStr">
        <is>
          <t>https://www.veolia.com/sites/g/files/dvc4206/files/document/2026/03/Finance_Veolia_URD_2025_en.pdf</t>
        </is>
      </c>
      <c r="K383" s="28" t="inlineStr">
        <is>
          <t>2026-09-22</t>
        </is>
      </c>
      <c r="L383" s="30" t="inlineStr">
        <is>
          <t>à relire</t>
        </is>
      </c>
    </row>
    <row r="384">
      <c r="A384" s="20" t="inlineStr">
        <is>
          <t>F379</t>
        </is>
      </c>
      <c r="B384" s="5" t="inlineStr">
        <is>
          <t>Souche EMTN Series 17, échéance 19/05/2028 : nominal</t>
        </is>
      </c>
      <c r="C384" s="21" t="n">
        <v>800</v>
      </c>
      <c r="D384" s="5" t="inlineStr">
        <is>
          <t>M EUR</t>
        </is>
      </c>
      <c r="E384" s="5" t="inlineStr">
        <is>
          <t>31/12/2025</t>
        </is>
      </c>
      <c r="F384" s="22" t="inlineStr">
        <is>
          <t>800</t>
        </is>
      </c>
      <c r="G384" s="5" t="inlineStr">
        <is>
          <t>01_Financial/finance_veolia_urd_2025_en.pdf</t>
        </is>
      </c>
      <c r="H384" s="23" t="n">
        <v>407</v>
      </c>
      <c r="I384" s="5" t="inlineStr">
        <is>
          <t>2 Contrainte</t>
        </is>
      </c>
      <c r="J384" s="22" t="inlineStr">
        <is>
          <t>https://www.veolia.com/sites/g/files/dvc4206/files/document/2026/03/Finance_Veolia_URD_2025_en.pdf</t>
        </is>
      </c>
      <c r="K384" s="22" t="inlineStr">
        <is>
          <t>2026-09-22</t>
        </is>
      </c>
      <c r="L384" s="24" t="inlineStr">
        <is>
          <t>à relire</t>
        </is>
      </c>
    </row>
    <row r="385">
      <c r="A385" s="25" t="inlineStr">
        <is>
          <t>F380</t>
        </is>
      </c>
      <c r="B385" s="26" t="inlineStr">
        <is>
          <t>Souche EMTN Series 17, échéance 19/05/2028 : taux</t>
        </is>
      </c>
      <c r="C385" s="27" t="n">
        <v>1.25</v>
      </c>
      <c r="D385" s="26" t="inlineStr">
        <is>
          <t>%</t>
        </is>
      </c>
      <c r="E385" s="26" t="inlineStr">
        <is>
          <t>31/12/2025</t>
        </is>
      </c>
      <c r="F385" s="28" t="inlineStr">
        <is>
          <t>1.250</t>
        </is>
      </c>
      <c r="G385" s="26" t="inlineStr">
        <is>
          <t>01_Financial/finance_veolia_urd_2025_en.pdf</t>
        </is>
      </c>
      <c r="H385" s="29" t="n">
        <v>407</v>
      </c>
      <c r="I385" s="26" t="inlineStr">
        <is>
          <t>2 Contrainte</t>
        </is>
      </c>
      <c r="J385" s="28" t="inlineStr">
        <is>
          <t>https://www.veolia.com/sites/g/files/dvc4206/files/document/2026/03/Finance_Veolia_URD_2025_en.pdf</t>
        </is>
      </c>
      <c r="K385" s="28" t="inlineStr">
        <is>
          <t>2026-09-22</t>
        </is>
      </c>
      <c r="L385" s="30" t="inlineStr">
        <is>
          <t>à relire</t>
        </is>
      </c>
    </row>
    <row r="386">
      <c r="A386" s="20" t="inlineStr">
        <is>
          <t>F381</t>
        </is>
      </c>
      <c r="B386" s="5" t="inlineStr">
        <is>
          <t>Souche EMTN Series 34, échéance 04/01/2029 : nominal</t>
        </is>
      </c>
      <c r="C386" s="21" t="n">
        <v>500</v>
      </c>
      <c r="D386" s="5" t="inlineStr">
        <is>
          <t>M EUR</t>
        </is>
      </c>
      <c r="E386" s="5" t="inlineStr">
        <is>
          <t>31/12/2025</t>
        </is>
      </c>
      <c r="F386" s="22" t="inlineStr">
        <is>
          <t>500</t>
        </is>
      </c>
      <c r="G386" s="5" t="inlineStr">
        <is>
          <t>01_Financial/finance_veolia_urd_2025_en.pdf</t>
        </is>
      </c>
      <c r="H386" s="23" t="n">
        <v>407</v>
      </c>
      <c r="I386" s="5" t="inlineStr">
        <is>
          <t>2 Contrainte</t>
        </is>
      </c>
      <c r="J386" s="22" t="inlineStr">
        <is>
          <t>https://www.veolia.com/sites/g/files/dvc4206/files/document/2026/03/Finance_Veolia_URD_2025_en.pdf</t>
        </is>
      </c>
      <c r="K386" s="22" t="inlineStr">
        <is>
          <t>2026-09-22</t>
        </is>
      </c>
      <c r="L386" s="24" t="inlineStr">
        <is>
          <t>à relire</t>
        </is>
      </c>
    </row>
    <row r="387">
      <c r="A387" s="25" t="inlineStr">
        <is>
          <t>F382</t>
        </is>
      </c>
      <c r="B387" s="26" t="inlineStr">
        <is>
          <t>Souche EMTN Series 19, échéance 03/04/2029 : nominal</t>
        </is>
      </c>
      <c r="C387" s="31" t="n">
        <v>700</v>
      </c>
      <c r="D387" s="26" t="inlineStr">
        <is>
          <t>M EUR</t>
        </is>
      </c>
      <c r="E387" s="26" t="inlineStr">
        <is>
          <t>31/12/2025</t>
        </is>
      </c>
      <c r="F387" s="28" t="inlineStr">
        <is>
          <t>700</t>
        </is>
      </c>
      <c r="G387" s="26" t="inlineStr">
        <is>
          <t>01_Financial/finance_veolia_urd_2025_en.pdf</t>
        </is>
      </c>
      <c r="H387" s="29" t="n">
        <v>407</v>
      </c>
      <c r="I387" s="26" t="inlineStr">
        <is>
          <t>2 Contrainte</t>
        </is>
      </c>
      <c r="J387" s="28" t="inlineStr">
        <is>
          <t>https://www.veolia.com/sites/g/files/dvc4206/files/document/2026/03/Finance_Veolia_URD_2025_en.pdf</t>
        </is>
      </c>
      <c r="K387" s="28" t="inlineStr">
        <is>
          <t>2026-09-22</t>
        </is>
      </c>
      <c r="L387" s="30" t="inlineStr">
        <is>
          <t>à relire</t>
        </is>
      </c>
    </row>
    <row r="388">
      <c r="A388" s="20" t="inlineStr">
        <is>
          <t>F383</t>
        </is>
      </c>
      <c r="B388" s="5" t="inlineStr">
        <is>
          <t>Souche EMTN Series 13, échéance 21/05/2029 : nominal</t>
        </is>
      </c>
      <c r="C388" s="21" t="n">
        <v>75</v>
      </c>
      <c r="D388" s="5" t="inlineStr">
        <is>
          <t>M EUR</t>
        </is>
      </c>
      <c r="E388" s="5" t="inlineStr">
        <is>
          <t>31/12/2025</t>
        </is>
      </c>
      <c r="F388" s="22" t="inlineStr">
        <is>
          <t>75</t>
        </is>
      </c>
      <c r="G388" s="5" t="inlineStr">
        <is>
          <t>01_Financial/finance_veolia_urd_2025_en.pdf</t>
        </is>
      </c>
      <c r="H388" s="23" t="n">
        <v>407</v>
      </c>
      <c r="I388" s="5" t="inlineStr">
        <is>
          <t>2 Contrainte</t>
        </is>
      </c>
      <c r="J388" s="22" t="inlineStr">
        <is>
          <t>https://www.veolia.com/sites/g/files/dvc4206/files/document/2026/03/Finance_Veolia_URD_2025_en.pdf</t>
        </is>
      </c>
      <c r="K388" s="22" t="inlineStr">
        <is>
          <t>2026-09-22</t>
        </is>
      </c>
      <c r="L388" s="24" t="inlineStr">
        <is>
          <t>à relire</t>
        </is>
      </c>
    </row>
    <row r="389">
      <c r="A389" s="25" t="inlineStr">
        <is>
          <t>F384</t>
        </is>
      </c>
      <c r="B389" s="26" t="inlineStr">
        <is>
          <t>Souche EMTN Series 38, échéance 07/01/2030 : nominal</t>
        </is>
      </c>
      <c r="C389" s="31" t="n">
        <v>750</v>
      </c>
      <c r="D389" s="26" t="inlineStr">
        <is>
          <t>M EUR</t>
        </is>
      </c>
      <c r="E389" s="26" t="inlineStr">
        <is>
          <t>31/12/2025</t>
        </is>
      </c>
      <c r="F389" s="28" t="inlineStr">
        <is>
          <t>750</t>
        </is>
      </c>
      <c r="G389" s="26" t="inlineStr">
        <is>
          <t>01_Financial/finance_veolia_urd_2025_en.pdf</t>
        </is>
      </c>
      <c r="H389" s="29" t="n">
        <v>407</v>
      </c>
      <c r="I389" s="26" t="inlineStr">
        <is>
          <t>2 Contrainte</t>
        </is>
      </c>
      <c r="J389" s="28" t="inlineStr">
        <is>
          <t>https://www.veolia.com/sites/g/files/dvc4206/files/document/2026/03/Finance_Veolia_URD_2025_en.pdf</t>
        </is>
      </c>
      <c r="K389" s="28" t="inlineStr">
        <is>
          <t>2026-09-22</t>
        </is>
      </c>
      <c r="L389" s="30" t="inlineStr">
        <is>
          <t>à relire</t>
        </is>
      </c>
    </row>
    <row r="390">
      <c r="A390" s="20" t="inlineStr">
        <is>
          <t>F385</t>
        </is>
      </c>
      <c r="B390" s="5" t="inlineStr">
        <is>
          <t>Souche EMTN Series 15, échéance 01/07/2030 : nominal</t>
        </is>
      </c>
      <c r="C390" s="21" t="n">
        <v>50</v>
      </c>
      <c r="D390" s="5" t="inlineStr">
        <is>
          <t>M EUR</t>
        </is>
      </c>
      <c r="E390" s="5" t="inlineStr">
        <is>
          <t>31/12/2025</t>
        </is>
      </c>
      <c r="F390" s="22" t="inlineStr">
        <is>
          <t>50</t>
        </is>
      </c>
      <c r="G390" s="5" t="inlineStr">
        <is>
          <t>01_Financial/finance_veolia_urd_2025_en.pdf</t>
        </is>
      </c>
      <c r="H390" s="23" t="n">
        <v>407</v>
      </c>
      <c r="I390" s="5" t="inlineStr">
        <is>
          <t>2 Contrainte</t>
        </is>
      </c>
      <c r="J390" s="22" t="inlineStr">
        <is>
          <t>https://www.veolia.com/sites/g/files/dvc4206/files/document/2026/03/Finance_Veolia_URD_2025_en.pdf</t>
        </is>
      </c>
      <c r="K390" s="22" t="inlineStr">
        <is>
          <t>2026-09-22</t>
        </is>
      </c>
      <c r="L390" s="24" t="inlineStr">
        <is>
          <t>à relire</t>
        </is>
      </c>
    </row>
    <row r="391">
      <c r="A391" s="25" t="inlineStr">
        <is>
          <t>F386</t>
        </is>
      </c>
      <c r="B391" s="26" t="inlineStr">
        <is>
          <t>Souche EMTN Series 21, échéance 17/09/2030 : nominal</t>
        </is>
      </c>
      <c r="C391" s="31" t="n">
        <v>500</v>
      </c>
      <c r="D391" s="26" t="inlineStr">
        <is>
          <t>M EUR</t>
        </is>
      </c>
      <c r="E391" s="26" t="inlineStr">
        <is>
          <t>31/12/2025</t>
        </is>
      </c>
      <c r="F391" s="28" t="inlineStr">
        <is>
          <t>500</t>
        </is>
      </c>
      <c r="G391" s="26" t="inlineStr">
        <is>
          <t>01_Financial/finance_veolia_urd_2025_en.pdf</t>
        </is>
      </c>
      <c r="H391" s="29" t="n">
        <v>407</v>
      </c>
      <c r="I391" s="26" t="inlineStr">
        <is>
          <t>2 Contrainte</t>
        </is>
      </c>
      <c r="J391" s="28" t="inlineStr">
        <is>
          <t>https://www.veolia.com/sites/g/files/dvc4206/files/document/2026/03/Finance_Veolia_URD_2025_en.pdf</t>
        </is>
      </c>
      <c r="K391" s="28" t="inlineStr">
        <is>
          <t>2026-09-22</t>
        </is>
      </c>
      <c r="L391" s="30" t="inlineStr">
        <is>
          <t>à relire</t>
        </is>
      </c>
    </row>
    <row r="392">
      <c r="A392" s="20" t="inlineStr">
        <is>
          <t>F387</t>
        </is>
      </c>
      <c r="B392" s="5" t="inlineStr">
        <is>
          <t>Tableau de flux : investissements industriels nets de subventions</t>
        </is>
      </c>
      <c r="C392" s="21" t="n">
        <v>-2965</v>
      </c>
      <c r="D392" s="5" t="inlineStr">
        <is>
          <t>M EUR</t>
        </is>
      </c>
      <c r="E392" s="5" t="inlineStr">
        <is>
          <t>FY2024</t>
        </is>
      </c>
      <c r="F392" s="22" t="inlineStr">
        <is>
          <t>-2,965</t>
        </is>
      </c>
      <c r="G392" s="5" t="inlineStr">
        <is>
          <t>01_Financial/finance_veolia_urd_2025_en.pdf</t>
        </is>
      </c>
      <c r="H392" s="23" t="n">
        <v>362</v>
      </c>
      <c r="I392" s="5" t="inlineStr">
        <is>
          <t>3 Capacité</t>
        </is>
      </c>
      <c r="J392" s="22" t="inlineStr">
        <is>
          <t>https://www.veolia.com/sites/g/files/dvc4206/files/document/2026/03/Finance_Veolia_URD_2025_en.pdf</t>
        </is>
      </c>
      <c r="K392" s="22" t="inlineStr">
        <is>
          <t>2026-09-22</t>
        </is>
      </c>
      <c r="L392" s="24" t="inlineStr">
        <is>
          <t>à relire</t>
        </is>
      </c>
    </row>
    <row r="393">
      <c r="A393" s="25" t="inlineStr">
        <is>
          <t>F388</t>
        </is>
      </c>
      <c r="B393" s="26" t="inlineStr">
        <is>
          <t>Tableau de flux : cessions d'actifs industriels</t>
        </is>
      </c>
      <c r="C393" s="31" t="n">
        <v>199</v>
      </c>
      <c r="D393" s="26" t="inlineStr">
        <is>
          <t>M EUR</t>
        </is>
      </c>
      <c r="E393" s="26" t="inlineStr">
        <is>
          <t>FY2025</t>
        </is>
      </c>
      <c r="F393" s="28" t="inlineStr">
        <is>
          <t>199</t>
        </is>
      </c>
      <c r="G393" s="26" t="inlineStr">
        <is>
          <t>01_Financial/finance_veolia_urd_2025_en.pdf</t>
        </is>
      </c>
      <c r="H393" s="29" t="n">
        <v>362</v>
      </c>
      <c r="I393" s="26" t="inlineStr">
        <is>
          <t>3 Capacité</t>
        </is>
      </c>
      <c r="J393" s="28" t="inlineStr">
        <is>
          <t>https://www.veolia.com/sites/g/files/dvc4206/files/document/2026/03/Finance_Veolia_URD_2025_en.pdf</t>
        </is>
      </c>
      <c r="K393" s="28" t="inlineStr">
        <is>
          <t>2026-09-22</t>
        </is>
      </c>
      <c r="L393" s="30" t="inlineStr">
        <is>
          <t>à relire</t>
        </is>
      </c>
    </row>
    <row r="394">
      <c r="A394" s="20" t="inlineStr">
        <is>
          <t>F389</t>
        </is>
      </c>
      <c r="B394" s="5" t="inlineStr">
        <is>
          <t>Tableau de flux : cessions d'actifs industriels</t>
        </is>
      </c>
      <c r="C394" s="21" t="n">
        <v>212</v>
      </c>
      <c r="D394" s="5" t="inlineStr">
        <is>
          <t>M EUR</t>
        </is>
      </c>
      <c r="E394" s="5" t="inlineStr">
        <is>
          <t>FY2024</t>
        </is>
      </c>
      <c r="F394" s="22" t="inlineStr">
        <is>
          <t>212</t>
        </is>
      </c>
      <c r="G394" s="5" t="inlineStr">
        <is>
          <t>01_Financial/finance_veolia_urd_2025_en.pdf</t>
        </is>
      </c>
      <c r="H394" s="23" t="n">
        <v>362</v>
      </c>
      <c r="I394" s="5" t="inlineStr">
        <is>
          <t>3 Capacité</t>
        </is>
      </c>
      <c r="J394" s="22" t="inlineStr">
        <is>
          <t>https://www.veolia.com/sites/g/files/dvc4206/files/document/2026/03/Finance_Veolia_URD_2025_en.pdf</t>
        </is>
      </c>
      <c r="K394" s="22" t="inlineStr">
        <is>
          <t>2026-09-22</t>
        </is>
      </c>
      <c r="L394" s="24" t="inlineStr">
        <is>
          <t>à relire</t>
        </is>
      </c>
    </row>
    <row r="395">
      <c r="A395" s="25" t="inlineStr">
        <is>
          <t>F390</t>
        </is>
      </c>
      <c r="B395" s="26" t="inlineStr">
        <is>
          <t>Tableau de flux : acquisitions de titres (purchases of investments)</t>
        </is>
      </c>
      <c r="C395" s="31" t="n">
        <v>-702</v>
      </c>
      <c r="D395" s="26" t="inlineStr">
        <is>
          <t>M EUR</t>
        </is>
      </c>
      <c r="E395" s="26" t="inlineStr">
        <is>
          <t>FY2025</t>
        </is>
      </c>
      <c r="F395" s="28" t="inlineStr">
        <is>
          <t>-702</t>
        </is>
      </c>
      <c r="G395" s="26" t="inlineStr">
        <is>
          <t>01_Financial/finance_veolia_urd_2025_en.pdf</t>
        </is>
      </c>
      <c r="H395" s="29" t="n">
        <v>362</v>
      </c>
      <c r="I395" s="26" t="inlineStr">
        <is>
          <t>3 Capacité</t>
        </is>
      </c>
      <c r="J395" s="28" t="inlineStr">
        <is>
          <t>https://www.veolia.com/sites/g/files/dvc4206/files/document/2026/03/Finance_Veolia_URD_2025_en.pdf</t>
        </is>
      </c>
      <c r="K395" s="28" t="inlineStr">
        <is>
          <t>2026-09-22</t>
        </is>
      </c>
      <c r="L395" s="30" t="inlineStr">
        <is>
          <t>à relire</t>
        </is>
      </c>
    </row>
    <row r="396">
      <c r="A396" s="20" t="inlineStr">
        <is>
          <t>F391</t>
        </is>
      </c>
      <c r="B396" s="5" t="inlineStr">
        <is>
          <t>Tableau de flux : acquisitions de titres (purchases of investments)</t>
        </is>
      </c>
      <c r="C396" s="21" t="n">
        <v>-482</v>
      </c>
      <c r="D396" s="5" t="inlineStr">
        <is>
          <t>M EUR</t>
        </is>
      </c>
      <c r="E396" s="5" t="inlineStr">
        <is>
          <t>FY2024</t>
        </is>
      </c>
      <c r="F396" s="22" t="inlineStr">
        <is>
          <t>-482</t>
        </is>
      </c>
      <c r="G396" s="5" t="inlineStr">
        <is>
          <t>01_Financial/finance_veolia_urd_2025_en.pdf</t>
        </is>
      </c>
      <c r="H396" s="23" t="n">
        <v>362</v>
      </c>
      <c r="I396" s="5" t="inlineStr">
        <is>
          <t>3 Capacité</t>
        </is>
      </c>
      <c r="J396" s="22" t="inlineStr">
        <is>
          <t>https://www.veolia.com/sites/g/files/dvc4206/files/document/2026/03/Finance_Veolia_URD_2025_en.pdf</t>
        </is>
      </c>
      <c r="K396" s="22" t="inlineStr">
        <is>
          <t>2026-09-22</t>
        </is>
      </c>
      <c r="L396" s="24" t="inlineStr">
        <is>
          <t>à relire</t>
        </is>
      </c>
    </row>
    <row r="397">
      <c r="A397" s="25" t="inlineStr">
        <is>
          <t>F392</t>
        </is>
      </c>
      <c r="B397" s="26" t="inlineStr">
        <is>
          <t>Tableau de flux : cessions d'actifs financiers</t>
        </is>
      </c>
      <c r="C397" s="31" t="n">
        <v>59</v>
      </c>
      <c r="D397" s="26" t="inlineStr">
        <is>
          <t>M EUR</t>
        </is>
      </c>
      <c r="E397" s="26" t="inlineStr">
        <is>
          <t>FY2025</t>
        </is>
      </c>
      <c r="F397" s="28" t="inlineStr">
        <is>
          <t>59</t>
        </is>
      </c>
      <c r="G397" s="26" t="inlineStr">
        <is>
          <t>01_Financial/finance_veolia_urd_2025_en.pdf</t>
        </is>
      </c>
      <c r="H397" s="29" t="n">
        <v>362</v>
      </c>
      <c r="I397" s="26" t="inlineStr">
        <is>
          <t>3 Capacité</t>
        </is>
      </c>
      <c r="J397" s="28" t="inlineStr">
        <is>
          <t>https://www.veolia.com/sites/g/files/dvc4206/files/document/2026/03/Finance_Veolia_URD_2025_en.pdf</t>
        </is>
      </c>
      <c r="K397" s="28" t="inlineStr">
        <is>
          <t>2026-09-22</t>
        </is>
      </c>
      <c r="L397" s="30" t="inlineStr">
        <is>
          <t>à relire</t>
        </is>
      </c>
    </row>
    <row r="398">
      <c r="A398" s="20" t="inlineStr">
        <is>
          <t>F393</t>
        </is>
      </c>
      <c r="B398" s="5" t="inlineStr">
        <is>
          <t>Tableau de flux : cessions d'actifs financiers</t>
        </is>
      </c>
      <c r="C398" s="21" t="n">
        <v>949</v>
      </c>
      <c r="D398" s="5" t="inlineStr">
        <is>
          <t>M EUR</t>
        </is>
      </c>
      <c r="E398" s="5" t="inlineStr">
        <is>
          <t>FY2024</t>
        </is>
      </c>
      <c r="F398" s="22" t="inlineStr">
        <is>
          <t>949</t>
        </is>
      </c>
      <c r="G398" s="5" t="inlineStr">
        <is>
          <t>01_Financial/finance_veolia_urd_2025_en.pdf</t>
        </is>
      </c>
      <c r="H398" s="23" t="n">
        <v>362</v>
      </c>
      <c r="I398" s="5" t="inlineStr">
        <is>
          <t>3 Capacité</t>
        </is>
      </c>
      <c r="J398" s="22" t="inlineStr">
        <is>
          <t>https://www.veolia.com/sites/g/files/dvc4206/files/document/2026/03/Finance_Veolia_URD_2025_en.pdf</t>
        </is>
      </c>
      <c r="K398" s="22" t="inlineStr">
        <is>
          <t>2026-09-22</t>
        </is>
      </c>
      <c r="L398" s="24" t="inlineStr">
        <is>
          <t>à relire</t>
        </is>
      </c>
    </row>
    <row r="399">
      <c r="A399" s="25" t="inlineStr">
        <is>
          <t>F394</t>
        </is>
      </c>
      <c r="B399" s="26" t="inlineStr">
        <is>
          <t>Tableau de flux : nouveaux actifs financiers opérationnels</t>
        </is>
      </c>
      <c r="C399" s="31" t="n">
        <v>-156</v>
      </c>
      <c r="D399" s="26" t="inlineStr">
        <is>
          <t>M EUR</t>
        </is>
      </c>
      <c r="E399" s="26" t="inlineStr">
        <is>
          <t>FY2025</t>
        </is>
      </c>
      <c r="F399" s="28" t="inlineStr">
        <is>
          <t>-156</t>
        </is>
      </c>
      <c r="G399" s="26" t="inlineStr">
        <is>
          <t>01_Financial/finance_veolia_urd_2025_en.pdf</t>
        </is>
      </c>
      <c r="H399" s="29" t="n">
        <v>362</v>
      </c>
      <c r="I399" s="26" t="inlineStr">
        <is>
          <t>2 Contrainte</t>
        </is>
      </c>
      <c r="J399" s="28" t="inlineStr">
        <is>
          <t>https://www.veolia.com/sites/g/files/dvc4206/files/document/2026/03/Finance_Veolia_URD_2025_en.pdf</t>
        </is>
      </c>
      <c r="K399" s="28" t="inlineStr">
        <is>
          <t>2026-09-22</t>
        </is>
      </c>
      <c r="L399" s="30" t="inlineStr">
        <is>
          <t>à relire</t>
        </is>
      </c>
    </row>
    <row r="400">
      <c r="A400" s="20" t="inlineStr">
        <is>
          <t>F395</t>
        </is>
      </c>
      <c r="B400" s="5" t="inlineStr">
        <is>
          <t>Tableau de flux : nouveaux actifs financiers opérationnels</t>
        </is>
      </c>
      <c r="C400" s="21" t="n">
        <v>-225</v>
      </c>
      <c r="D400" s="5" t="inlineStr">
        <is>
          <t>M EUR</t>
        </is>
      </c>
      <c r="E400" s="5" t="inlineStr">
        <is>
          <t>FY2024</t>
        </is>
      </c>
      <c r="F400" s="22" t="inlineStr">
        <is>
          <t>-225</t>
        </is>
      </c>
      <c r="G400" s="5" t="inlineStr">
        <is>
          <t>01_Financial/finance_veolia_urd_2025_en.pdf</t>
        </is>
      </c>
      <c r="H400" s="23" t="n">
        <v>362</v>
      </c>
      <c r="I400" s="5" t="inlineStr">
        <is>
          <t>2 Contrainte</t>
        </is>
      </c>
      <c r="J400" s="22" t="inlineStr">
        <is>
          <t>https://www.veolia.com/sites/g/files/dvc4206/files/document/2026/03/Finance_Veolia_URD_2025_en.pdf</t>
        </is>
      </c>
      <c r="K400" s="22" t="inlineStr">
        <is>
          <t>2026-09-22</t>
        </is>
      </c>
      <c r="L400" s="24" t="inlineStr">
        <is>
          <t>à relire</t>
        </is>
      </c>
    </row>
    <row r="401">
      <c r="A401" s="25" t="inlineStr">
        <is>
          <t>F396</t>
        </is>
      </c>
      <c r="B401" s="26" t="inlineStr">
        <is>
          <t>Tableau de flux : remboursements d'actifs financiers opérationnels</t>
        </is>
      </c>
      <c r="C401" s="31" t="n">
        <v>268</v>
      </c>
      <c r="D401" s="26" t="inlineStr">
        <is>
          <t>M EUR</t>
        </is>
      </c>
      <c r="E401" s="26" t="inlineStr">
        <is>
          <t>FY2025</t>
        </is>
      </c>
      <c r="F401" s="28" t="inlineStr">
        <is>
          <t>268</t>
        </is>
      </c>
      <c r="G401" s="26" t="inlineStr">
        <is>
          <t>01_Financial/finance_veolia_urd_2025_en.pdf</t>
        </is>
      </c>
      <c r="H401" s="29" t="n">
        <v>362</v>
      </c>
      <c r="I401" s="26" t="inlineStr">
        <is>
          <t>2 Contrainte</t>
        </is>
      </c>
      <c r="J401" s="28" t="inlineStr">
        <is>
          <t>https://www.veolia.com/sites/g/files/dvc4206/files/document/2026/03/Finance_Veolia_URD_2025_en.pdf</t>
        </is>
      </c>
      <c r="K401" s="28" t="inlineStr">
        <is>
          <t>2026-09-22</t>
        </is>
      </c>
      <c r="L401" s="30" t="inlineStr">
        <is>
          <t>à relire</t>
        </is>
      </c>
    </row>
    <row r="402">
      <c r="A402" s="20" t="inlineStr">
        <is>
          <t>F397</t>
        </is>
      </c>
      <c r="B402" s="5" t="inlineStr">
        <is>
          <t>Tableau de flux : transactions avec les minoritaires : achats partiels</t>
        </is>
      </c>
      <c r="C402" s="21" t="n">
        <v>-1563</v>
      </c>
      <c r="D402" s="5" t="inlineStr">
        <is>
          <t>M EUR</t>
        </is>
      </c>
      <c r="E402" s="5" t="inlineStr">
        <is>
          <t>FY2025</t>
        </is>
      </c>
      <c r="F402" s="22" t="inlineStr">
        <is>
          <t>-1,563</t>
        </is>
      </c>
      <c r="G402" s="5" t="inlineStr">
        <is>
          <t>01_Financial/finance_veolia_urd_2025_en.pdf</t>
        </is>
      </c>
      <c r="H402" s="23" t="n">
        <v>363</v>
      </c>
      <c r="I402" s="5" t="inlineStr">
        <is>
          <t>3 Capacité</t>
        </is>
      </c>
      <c r="J402" s="22" t="inlineStr">
        <is>
          <t>https://www.veolia.com/sites/g/files/dvc4206/files/document/2026/03/Finance_Veolia_URD_2025_en.pdf</t>
        </is>
      </c>
      <c r="K402" s="22" t="inlineStr">
        <is>
          <t>2026-09-22</t>
        </is>
      </c>
      <c r="L402" s="24" t="inlineStr">
        <is>
          <t>à relire</t>
        </is>
      </c>
    </row>
    <row r="403">
      <c r="A403" s="25" t="inlineStr">
        <is>
          <t>F398</t>
        </is>
      </c>
      <c r="B403" s="26" t="inlineStr">
        <is>
          <t>Tableau de flux : transactions avec les minoritaires : achats partiels</t>
        </is>
      </c>
      <c r="C403" s="31" t="n">
        <v>-32</v>
      </c>
      <c r="D403" s="26" t="inlineStr">
        <is>
          <t>M EUR</t>
        </is>
      </c>
      <c r="E403" s="26" t="inlineStr">
        <is>
          <t>FY2024</t>
        </is>
      </c>
      <c r="F403" s="28" t="inlineStr">
        <is>
          <t>-32</t>
        </is>
      </c>
      <c r="G403" s="26" t="inlineStr">
        <is>
          <t>01_Financial/finance_veolia_urd_2025_en.pdf</t>
        </is>
      </c>
      <c r="H403" s="29" t="n">
        <v>363</v>
      </c>
      <c r="I403" s="26" t="inlineStr">
        <is>
          <t>3 Capacité</t>
        </is>
      </c>
      <c r="J403" s="28" t="inlineStr">
        <is>
          <t>https://www.veolia.com/sites/g/files/dvc4206/files/document/2026/03/Finance_Veolia_URD_2025_en.pdf</t>
        </is>
      </c>
      <c r="K403" s="28" t="inlineStr">
        <is>
          <t>2026-09-22</t>
        </is>
      </c>
      <c r="L403" s="30" t="inlineStr">
        <is>
          <t>à relire</t>
        </is>
      </c>
    </row>
    <row r="404">
      <c r="A404" s="20" t="inlineStr">
        <is>
          <t>F399</t>
        </is>
      </c>
      <c r="B404" s="5" t="inlineStr">
        <is>
          <t>Tableau de flux : émission d'actions</t>
        </is>
      </c>
      <c r="C404" s="21" t="n">
        <v>318</v>
      </c>
      <c r="D404" s="5" t="inlineStr">
        <is>
          <t>M EUR</t>
        </is>
      </c>
      <c r="E404" s="5" t="inlineStr">
        <is>
          <t>FY2025</t>
        </is>
      </c>
      <c r="F404" s="22" t="inlineStr">
        <is>
          <t>318</t>
        </is>
      </c>
      <c r="G404" s="5" t="inlineStr">
        <is>
          <t>01_Financial/finance_veolia_urd_2025_en.pdf</t>
        </is>
      </c>
      <c r="H404" s="23" t="n">
        <v>363</v>
      </c>
      <c r="I404" s="5" t="inlineStr">
        <is>
          <t>3 Capacité</t>
        </is>
      </c>
      <c r="J404" s="22" t="inlineStr">
        <is>
          <t>https://www.veolia.com/sites/g/files/dvc4206/files/document/2026/03/Finance_Veolia_URD_2025_en.pdf</t>
        </is>
      </c>
      <c r="K404" s="22" t="inlineStr">
        <is>
          <t>2026-09-22</t>
        </is>
      </c>
      <c r="L404" s="24" t="inlineStr">
        <is>
          <t>à relire</t>
        </is>
      </c>
    </row>
    <row r="405">
      <c r="A405" s="25" t="inlineStr">
        <is>
          <t>F400</t>
        </is>
      </c>
      <c r="B405" s="26" t="inlineStr">
        <is>
          <t>Tableau de flux : émission d'actions</t>
        </is>
      </c>
      <c r="C405" s="31" t="n">
        <v>341</v>
      </c>
      <c r="D405" s="26" t="inlineStr">
        <is>
          <t>M EUR</t>
        </is>
      </c>
      <c r="E405" s="26" t="inlineStr">
        <is>
          <t>FY2024</t>
        </is>
      </c>
      <c r="F405" s="28" t="inlineStr">
        <is>
          <t>341</t>
        </is>
      </c>
      <c r="G405" s="26" t="inlineStr">
        <is>
          <t>01_Financial/finance_veolia_urd_2025_en.pdf</t>
        </is>
      </c>
      <c r="H405" s="29" t="n">
        <v>363</v>
      </c>
      <c r="I405" s="26" t="inlineStr">
        <is>
          <t>3 Capacité</t>
        </is>
      </c>
      <c r="J405" s="28" t="inlineStr">
        <is>
          <t>https://www.veolia.com/sites/g/files/dvc4206/files/document/2026/03/Finance_Veolia_URD_2025_en.pdf</t>
        </is>
      </c>
      <c r="K405" s="28" t="inlineStr">
        <is>
          <t>2026-09-22</t>
        </is>
      </c>
      <c r="L405" s="30" t="inlineStr">
        <is>
          <t>à relire</t>
        </is>
      </c>
    </row>
    <row r="406">
      <c r="A406" s="20" t="inlineStr">
        <is>
          <t>F401</t>
        </is>
      </c>
      <c r="B406" s="5" t="inlineStr">
        <is>
          <t>Tableau de flux : flux nets des activités de financement</t>
        </is>
      </c>
      <c r="C406" s="21" t="n">
        <v>-3358</v>
      </c>
      <c r="D406" s="5" t="inlineStr">
        <is>
          <t>M EUR</t>
        </is>
      </c>
      <c r="E406" s="5" t="inlineStr">
        <is>
          <t>FY2025</t>
        </is>
      </c>
      <c r="F406" s="22" t="inlineStr">
        <is>
          <t>-3,358</t>
        </is>
      </c>
      <c r="G406" s="5" t="inlineStr">
        <is>
          <t>01_Financial/finance_veolia_urd_2025_en.pdf</t>
        </is>
      </c>
      <c r="H406" s="23" t="n">
        <v>363</v>
      </c>
      <c r="I406" s="5" t="inlineStr">
        <is>
          <t>3 Capacité</t>
        </is>
      </c>
      <c r="J406" s="22" t="inlineStr">
        <is>
          <t>https://www.veolia.com/sites/g/files/dvc4206/files/document/2026/03/Finance_Veolia_URD_2025_en.pdf</t>
        </is>
      </c>
      <c r="K406" s="22" t="inlineStr">
        <is>
          <t>2026-09-22</t>
        </is>
      </c>
      <c r="L406" s="24" t="inlineStr">
        <is>
          <t>à relire</t>
        </is>
      </c>
    </row>
    <row r="407">
      <c r="A407" s="25" t="inlineStr">
        <is>
          <t>F402</t>
        </is>
      </c>
      <c r="B407" s="26" t="inlineStr">
        <is>
          <t>Tableau de flux : flux nets des activités de financement</t>
        </is>
      </c>
      <c r="C407" s="31" t="n">
        <v>-1857</v>
      </c>
      <c r="D407" s="26" t="inlineStr">
        <is>
          <t>M EUR</t>
        </is>
      </c>
      <c r="E407" s="26" t="inlineStr">
        <is>
          <t>FY2024</t>
        </is>
      </c>
      <c r="F407" s="28" t="inlineStr">
        <is>
          <t>-1,857</t>
        </is>
      </c>
      <c r="G407" s="26" t="inlineStr">
        <is>
          <t>01_Financial/finance_veolia_urd_2025_en.pdf</t>
        </is>
      </c>
      <c r="H407" s="29" t="n">
        <v>363</v>
      </c>
      <c r="I407" s="26" t="inlineStr">
        <is>
          <t>3 Capacité</t>
        </is>
      </c>
      <c r="J407" s="28" t="inlineStr">
        <is>
          <t>https://www.veolia.com/sites/g/files/dvc4206/files/document/2026/03/Finance_Veolia_URD_2025_en.pdf</t>
        </is>
      </c>
      <c r="K407" s="28" t="inlineStr">
        <is>
          <t>2026-09-22</t>
        </is>
      </c>
      <c r="L407" s="30" t="inlineStr">
        <is>
          <t>à relire</t>
        </is>
      </c>
    </row>
    <row r="408">
      <c r="A408" s="20" t="inlineStr">
        <is>
          <t>F403</t>
        </is>
      </c>
      <c r="B408" s="5" t="inlineStr">
        <is>
          <t>Tableau de flux : trésorerie nette de clôture</t>
        </is>
      </c>
      <c r="C408" s="21" t="n">
        <v>7806</v>
      </c>
      <c r="D408" s="5" t="inlineStr">
        <is>
          <t>M EUR</t>
        </is>
      </c>
      <c r="E408" s="5" t="inlineStr">
        <is>
          <t>FY2025</t>
        </is>
      </c>
      <c r="F408" s="22" t="inlineStr">
        <is>
          <t>7,806</t>
        </is>
      </c>
      <c r="G408" s="5" t="inlineStr">
        <is>
          <t>01_Financial/finance_veolia_urd_2025_en.pdf</t>
        </is>
      </c>
      <c r="H408" s="23" t="n">
        <v>363</v>
      </c>
      <c r="I408" s="5" t="inlineStr">
        <is>
          <t>2 Contrainte</t>
        </is>
      </c>
      <c r="J408" s="22" t="inlineStr">
        <is>
          <t>https://www.veolia.com/sites/g/files/dvc4206/files/document/2026/03/Finance_Veolia_URD_2025_en.pdf</t>
        </is>
      </c>
      <c r="K408" s="22" t="inlineStr">
        <is>
          <t>2026-09-22</t>
        </is>
      </c>
      <c r="L408" s="24" t="inlineStr">
        <is>
          <t>à relire</t>
        </is>
      </c>
    </row>
    <row r="409">
      <c r="A409" s="25" t="inlineStr">
        <is>
          <t>F404</t>
        </is>
      </c>
      <c r="B409" s="26" t="inlineStr">
        <is>
          <t>Tableau de flux : trésorerie nette de clôture</t>
        </is>
      </c>
      <c r="C409" s="31" t="n">
        <v>9404</v>
      </c>
      <c r="D409" s="26" t="inlineStr">
        <is>
          <t>M EUR</t>
        </is>
      </c>
      <c r="E409" s="26" t="inlineStr">
        <is>
          <t>FY2024</t>
        </is>
      </c>
      <c r="F409" s="28" t="inlineStr">
        <is>
          <t>9,404</t>
        </is>
      </c>
      <c r="G409" s="26" t="inlineStr">
        <is>
          <t>01_Financial/finance_veolia_urd_2025_en.pdf</t>
        </is>
      </c>
      <c r="H409" s="29" t="n">
        <v>363</v>
      </c>
      <c r="I409" s="26" t="inlineStr">
        <is>
          <t>2 Contrainte</t>
        </is>
      </c>
      <c r="J409" s="28" t="inlineStr">
        <is>
          <t>https://www.veolia.com/sites/g/files/dvc4206/files/document/2026/03/Finance_Veolia_URD_2025_en.pdf</t>
        </is>
      </c>
      <c r="K409" s="28" t="inlineStr">
        <is>
          <t>2026-09-22</t>
        </is>
      </c>
      <c r="L409" s="30" t="inlineStr">
        <is>
          <t>à relire</t>
        </is>
      </c>
    </row>
    <row r="410">
      <c r="A410" s="20" t="inlineStr">
        <is>
          <t>F405</t>
        </is>
      </c>
      <c r="B410" s="5" t="inlineStr">
        <is>
          <t>Flux contractuels non actualisés : emprunts obligataires, total</t>
        </is>
      </c>
      <c r="C410" s="21" t="n">
        <v>22265</v>
      </c>
      <c r="D410" s="5" t="inlineStr">
        <is>
          <t>M EUR</t>
        </is>
      </c>
      <c r="E410" s="5" t="inlineStr">
        <is>
          <t>31/12/2025</t>
        </is>
      </c>
      <c r="F410" s="22" t="inlineStr">
        <is>
          <t>22,265</t>
        </is>
      </c>
      <c r="G410" s="5" t="inlineStr">
        <is>
          <t>01_Financial/finance_veolia_urd_2025_en.pdf</t>
        </is>
      </c>
      <c r="H410" s="23" t="n">
        <v>421</v>
      </c>
      <c r="I410" s="5" t="inlineStr">
        <is>
          <t>2 Contrainte</t>
        </is>
      </c>
      <c r="J410" s="22" t="inlineStr">
        <is>
          <t>https://www.veolia.com/sites/g/files/dvc4206/files/document/2026/03/Finance_Veolia_URD_2025_en.pdf</t>
        </is>
      </c>
      <c r="K410" s="22" t="inlineStr">
        <is>
          <t>2026-09-22</t>
        </is>
      </c>
      <c r="L410" s="24" t="inlineStr">
        <is>
          <t>à relire</t>
        </is>
      </c>
    </row>
    <row r="411">
      <c r="A411" s="25" t="inlineStr">
        <is>
          <t>F406</t>
        </is>
      </c>
      <c r="B411" s="26" t="inlineStr">
        <is>
          <t>Flux contractuels non actualisés : emprunts obligataires, 2026</t>
        </is>
      </c>
      <c r="C411" s="31" t="n">
        <v>1924</v>
      </c>
      <c r="D411" s="26" t="inlineStr">
        <is>
          <t>M EUR</t>
        </is>
      </c>
      <c r="E411" s="26" t="inlineStr">
        <is>
          <t>31/12/2025</t>
        </is>
      </c>
      <c r="F411" s="28" t="inlineStr">
        <is>
          <t>1,924</t>
        </is>
      </c>
      <c r="G411" s="26" t="inlineStr">
        <is>
          <t>01_Financial/finance_veolia_urd_2025_en.pdf</t>
        </is>
      </c>
      <c r="H411" s="29" t="n">
        <v>421</v>
      </c>
      <c r="I411" s="26" t="inlineStr">
        <is>
          <t>2 Contrainte</t>
        </is>
      </c>
      <c r="J411" s="28" t="inlineStr">
        <is>
          <t>https://www.veolia.com/sites/g/files/dvc4206/files/document/2026/03/Finance_Veolia_URD_2025_en.pdf</t>
        </is>
      </c>
      <c r="K411" s="28" t="inlineStr">
        <is>
          <t>2026-09-22</t>
        </is>
      </c>
      <c r="L411" s="30" t="inlineStr">
        <is>
          <t>à relire</t>
        </is>
      </c>
    </row>
    <row r="412">
      <c r="A412" s="20" t="inlineStr">
        <is>
          <t>F407</t>
        </is>
      </c>
      <c r="B412" s="5" t="inlineStr">
        <is>
          <t>Flux contractuels non actualisés : passifs financiers bruts, total</t>
        </is>
      </c>
      <c r="C412" s="21" t="n">
        <v>34404</v>
      </c>
      <c r="D412" s="5" t="inlineStr">
        <is>
          <t>M EUR</t>
        </is>
      </c>
      <c r="E412" s="5" t="inlineStr">
        <is>
          <t>31/12/2025</t>
        </is>
      </c>
      <c r="F412" s="22" t="inlineStr">
        <is>
          <t>34,404</t>
        </is>
      </c>
      <c r="G412" s="5" t="inlineStr">
        <is>
          <t>01_Financial/finance_veolia_urd_2025_en.pdf</t>
        </is>
      </c>
      <c r="H412" s="23" t="n">
        <v>421</v>
      </c>
      <c r="I412" s="5" t="inlineStr">
        <is>
          <t>2 Contrainte</t>
        </is>
      </c>
      <c r="J412" s="22" t="inlineStr">
        <is>
          <t>https://www.veolia.com/sites/g/files/dvc4206/files/document/2026/03/Finance_Veolia_URD_2025_en.pdf</t>
        </is>
      </c>
      <c r="K412" s="22" t="inlineStr">
        <is>
          <t>2026-09-22</t>
        </is>
      </c>
      <c r="L412" s="24" t="inlineStr">
        <is>
          <t>à relire</t>
        </is>
      </c>
    </row>
    <row r="413">
      <c r="A413" s="25" t="inlineStr">
        <is>
          <t>F408</t>
        </is>
      </c>
      <c r="B413" s="26" t="inlineStr">
        <is>
          <t>Flux contractuels non actualisés : passifs financiers bruts, 2026</t>
        </is>
      </c>
      <c r="C413" s="31" t="n">
        <v>9642</v>
      </c>
      <c r="D413" s="26" t="inlineStr">
        <is>
          <t>M EUR</t>
        </is>
      </c>
      <c r="E413" s="26" t="inlineStr">
        <is>
          <t>31/12/2025</t>
        </is>
      </c>
      <c r="F413" s="28" t="inlineStr">
        <is>
          <t>9,642</t>
        </is>
      </c>
      <c r="G413" s="26" t="inlineStr">
        <is>
          <t>01_Financial/finance_veolia_urd_2025_en.pdf</t>
        </is>
      </c>
      <c r="H413" s="29" t="n">
        <v>421</v>
      </c>
      <c r="I413" s="26" t="inlineStr">
        <is>
          <t>2 Contrainte</t>
        </is>
      </c>
      <c r="J413" s="28" t="inlineStr">
        <is>
          <t>https://www.veolia.com/sites/g/files/dvc4206/files/document/2026/03/Finance_Veolia_URD_2025_en.pdf</t>
        </is>
      </c>
      <c r="K413" s="28" t="inlineStr">
        <is>
          <t>2026-09-22</t>
        </is>
      </c>
      <c r="L413" s="30" t="inlineStr">
        <is>
          <t>à relire</t>
        </is>
      </c>
    </row>
    <row r="414">
      <c r="A414" s="20" t="inlineStr">
        <is>
          <t>F409</t>
        </is>
      </c>
      <c r="B414" s="5" t="inlineStr">
        <is>
          <t>Trésorerie, équivalents, actifs liquides et de financement (filiales)</t>
        </is>
      </c>
      <c r="C414" s="21" t="n">
        <v>2422</v>
      </c>
      <c r="D414" s="5" t="inlineStr">
        <is>
          <t>M EUR</t>
        </is>
      </c>
      <c r="E414" s="5" t="inlineStr">
        <is>
          <t>31/12/2025</t>
        </is>
      </c>
      <c r="F414" s="22" t="inlineStr">
        <is>
          <t>2,422</t>
        </is>
      </c>
      <c r="G414" s="5" t="inlineStr">
        <is>
          <t>01_Financial/finance_veolia_urd_2025_en.pdf</t>
        </is>
      </c>
      <c r="H414" s="23" t="n">
        <v>421</v>
      </c>
      <c r="I414" s="5" t="inlineStr">
        <is>
          <t>2 Contrainte</t>
        </is>
      </c>
      <c r="J414" s="22" t="inlineStr">
        <is>
          <t>https://www.veolia.com/sites/g/files/dvc4206/files/document/2026/03/Finance_Veolia_URD_2025_en.pdf</t>
        </is>
      </c>
      <c r="K414" s="22" t="inlineStr">
        <is>
          <t>2026-09-22</t>
        </is>
      </c>
      <c r="L414" s="24" t="inlineStr">
        <is>
          <t>à relire</t>
        </is>
      </c>
    </row>
    <row r="415">
      <c r="A415" s="25" t="inlineStr">
        <is>
          <t>F410</t>
        </is>
      </c>
      <c r="B415" s="26" t="inlineStr">
        <is>
          <t>Dettes courantes, découverts bancaires et autres : total</t>
        </is>
      </c>
      <c r="C415" s="31" t="n">
        <v>9026</v>
      </c>
      <c r="D415" s="26" t="inlineStr">
        <is>
          <t>M EUR</t>
        </is>
      </c>
      <c r="E415" s="26" t="inlineStr">
        <is>
          <t>31/12/2025</t>
        </is>
      </c>
      <c r="F415" s="28" t="inlineStr">
        <is>
          <t>9,026</t>
        </is>
      </c>
      <c r="G415" s="26" t="inlineStr">
        <is>
          <t>01_Financial/finance_veolia_urd_2025_en.pdf</t>
        </is>
      </c>
      <c r="H415" s="29" t="n">
        <v>421</v>
      </c>
      <c r="I415" s="26" t="inlineStr">
        <is>
          <t>2 Contrainte</t>
        </is>
      </c>
      <c r="J415" s="28" t="inlineStr">
        <is>
          <t>https://www.veolia.com/sites/g/files/dvc4206/files/document/2026/03/Finance_Veolia_URD_2025_en.pdf</t>
        </is>
      </c>
      <c r="K415" s="28" t="inlineStr">
        <is>
          <t>2026-09-22</t>
        </is>
      </c>
      <c r="L415" s="30" t="inlineStr">
        <is>
          <t>à relire</t>
        </is>
      </c>
    </row>
    <row r="416">
      <c r="A416" s="20" t="inlineStr">
        <is>
          <t>F411</t>
        </is>
      </c>
      <c r="B416" s="5" t="inlineStr">
        <is>
          <t>Liquidités nettes des dettes courantes et découverts</t>
        </is>
      </c>
      <c r="C416" s="21" t="n">
        <v>6886</v>
      </c>
      <c r="D416" s="5" t="inlineStr">
        <is>
          <t>M EUR</t>
        </is>
      </c>
      <c r="E416" s="5" t="inlineStr">
        <is>
          <t>31/12/2025</t>
        </is>
      </c>
      <c r="F416" s="22" t="inlineStr">
        <is>
          <t>6,886</t>
        </is>
      </c>
      <c r="G416" s="5" t="inlineStr">
        <is>
          <t>01_Financial/finance_veolia_urd_2025_en.pdf</t>
        </is>
      </c>
      <c r="H416" s="23" t="n">
        <v>421</v>
      </c>
      <c r="I416" s="5" t="inlineStr">
        <is>
          <t>2 Contrainte</t>
        </is>
      </c>
      <c r="J416" s="22" t="inlineStr">
        <is>
          <t>https://www.veolia.com/sites/g/files/dvc4206/files/document/2026/03/Finance_Veolia_URD_2025_en.pdf</t>
        </is>
      </c>
      <c r="K416" s="22" t="inlineStr">
        <is>
          <t>2026-09-22</t>
        </is>
      </c>
      <c r="L416" s="24" t="inlineStr">
        <is>
          <t>à relire</t>
        </is>
      </c>
    </row>
    <row r="417">
      <c r="A417" s="25" t="inlineStr">
        <is>
          <t>F412</t>
        </is>
      </c>
      <c r="B417" s="26" t="inlineStr">
        <is>
          <t>Total des liquidités</t>
        </is>
      </c>
      <c r="C417" s="31" t="n">
        <v>17792</v>
      </c>
      <c r="D417" s="26" t="inlineStr">
        <is>
          <t>M EUR</t>
        </is>
      </c>
      <c r="E417" s="26" t="inlineStr">
        <is>
          <t>31/12/2024</t>
        </is>
      </c>
      <c r="F417" s="28" t="inlineStr">
        <is>
          <t>17,792</t>
        </is>
      </c>
      <c r="G417" s="26" t="inlineStr">
        <is>
          <t>01_Financial/finance_veolia_urd_2025_en.pdf</t>
        </is>
      </c>
      <c r="H417" s="29" t="n">
        <v>421</v>
      </c>
      <c r="I417" s="26" t="inlineStr">
        <is>
          <t>2 Contrainte</t>
        </is>
      </c>
      <c r="J417" s="28" t="inlineStr">
        <is>
          <t>https://www.veolia.com/sites/g/files/dvc4206/files/document/2026/03/Finance_Veolia_URD_2025_en.pdf</t>
        </is>
      </c>
      <c r="K417" s="28" t="inlineStr">
        <is>
          <t>2026-09-22</t>
        </is>
      </c>
      <c r="L417" s="30" t="inlineStr">
        <is>
          <t>à relire</t>
        </is>
      </c>
    </row>
    <row r="418">
      <c r="A418" s="20" t="inlineStr">
        <is>
          <t>F413</t>
        </is>
      </c>
      <c r="B418" s="5" t="inlineStr">
        <is>
          <t>Liquidités nettes des dettes courantes et découverts</t>
        </is>
      </c>
      <c r="C418" s="21" t="n">
        <v>8313</v>
      </c>
      <c r="D418" s="5" t="inlineStr">
        <is>
          <t>M EUR</t>
        </is>
      </c>
      <c r="E418" s="5" t="inlineStr">
        <is>
          <t>31/12/2024</t>
        </is>
      </c>
      <c r="F418" s="22" t="inlineStr">
        <is>
          <t>8,313</t>
        </is>
      </c>
      <c r="G418" s="5" t="inlineStr">
        <is>
          <t>01_Financial/finance_veolia_urd_2025_en.pdf</t>
        </is>
      </c>
      <c r="H418" s="23" t="n">
        <v>421</v>
      </c>
      <c r="I418" s="5" t="inlineStr">
        <is>
          <t>2 Contrainte</t>
        </is>
      </c>
      <c r="J418" s="22" t="inlineStr">
        <is>
          <t>https://www.veolia.com/sites/g/files/dvc4206/files/document/2026/03/Finance_Veolia_URD_2025_en.pdf</t>
        </is>
      </c>
      <c r="K418" s="22" t="inlineStr">
        <is>
          <t>2026-09-22</t>
        </is>
      </c>
      <c r="L418" s="24" t="inlineStr">
        <is>
          <t>à relire</t>
        </is>
      </c>
    </row>
    <row r="419">
      <c r="A419" s="25" t="inlineStr">
        <is>
          <t>F414</t>
        </is>
      </c>
      <c r="B419" s="26" t="inlineStr">
        <is>
          <t>Ligne de crédit syndiquée : échéance après prolongation</t>
        </is>
      </c>
      <c r="C419" s="31" t="n">
        <v>2030</v>
      </c>
      <c r="D419" s="26" t="inlineStr">
        <is>
          <t>année</t>
        </is>
      </c>
      <c r="E419" s="26" t="inlineStr">
        <is>
          <t>31/12/2025</t>
        </is>
      </c>
      <c r="F419" s="28" t="inlineStr">
        <is>
          <t>2030</t>
        </is>
      </c>
      <c r="G419" s="26" t="inlineStr">
        <is>
          <t>01_Financial/finance_veolia_urd_2025_en.pdf</t>
        </is>
      </c>
      <c r="H419" s="29" t="n">
        <v>421</v>
      </c>
      <c r="I419" s="26" t="inlineStr">
        <is>
          <t>2 Contrainte</t>
        </is>
      </c>
      <c r="J419" s="28" t="inlineStr">
        <is>
          <t>https://www.veolia.com/sites/g/files/dvc4206/files/document/2026/03/Finance_Veolia_URD_2025_en.pdf</t>
        </is>
      </c>
      <c r="K419" s="28" t="inlineStr">
        <is>
          <t>2026-09-22</t>
        </is>
      </c>
      <c r="L419" s="30" t="inlineStr">
        <is>
          <t>à relire</t>
        </is>
      </c>
    </row>
    <row r="420">
      <c r="A420" s="20" t="inlineStr">
        <is>
          <t>F415</t>
        </is>
      </c>
      <c r="B420" s="5" t="inlineStr">
        <is>
          <t>Lignes de crédit confirmées non tirées : total</t>
        </is>
      </c>
      <c r="C420" s="21" t="n">
        <v>5938</v>
      </c>
      <c r="D420" s="5" t="inlineStr">
        <is>
          <t>M EUR</t>
        </is>
      </c>
      <c r="E420" s="5" t="inlineStr">
        <is>
          <t>31/12/2025</t>
        </is>
      </c>
      <c r="F420" s="22" t="inlineStr">
        <is>
          <t>5,938</t>
        </is>
      </c>
      <c r="G420" s="5" t="inlineStr">
        <is>
          <t>01_Financial/finance_veolia_urd_2025_en.pdf</t>
        </is>
      </c>
      <c r="H420" s="23" t="n">
        <v>422</v>
      </c>
      <c r="I420" s="5" t="inlineStr">
        <is>
          <t>2 Contrainte</t>
        </is>
      </c>
      <c r="J420" s="22" t="inlineStr">
        <is>
          <t>https://www.veolia.com/sites/g/files/dvc4206/files/document/2026/03/Finance_Veolia_URD_2025_en.pdf</t>
        </is>
      </c>
      <c r="K420" s="22" t="inlineStr">
        <is>
          <t>2026-09-22</t>
        </is>
      </c>
      <c r="L420" s="24" t="inlineStr">
        <is>
          <t>à relire</t>
        </is>
      </c>
    </row>
    <row r="421">
      <c r="A421" s="25" t="inlineStr">
        <is>
          <t>F416</t>
        </is>
      </c>
      <c r="B421" s="26" t="inlineStr">
        <is>
          <t>Lignes de crédit confirmées non tirées : échéance 2030</t>
        </is>
      </c>
      <c r="C421" s="31" t="n">
        <v>4650</v>
      </c>
      <c r="D421" s="26" t="inlineStr">
        <is>
          <t>M EUR</t>
        </is>
      </c>
      <c r="E421" s="26" t="inlineStr">
        <is>
          <t>31/12/2025</t>
        </is>
      </c>
      <c r="F421" s="28" t="inlineStr">
        <is>
          <t>4,650</t>
        </is>
      </c>
      <c r="G421" s="26" t="inlineStr">
        <is>
          <t>01_Financial/finance_veolia_urd_2025_en.pdf</t>
        </is>
      </c>
      <c r="H421" s="29" t="n">
        <v>422</v>
      </c>
      <c r="I421" s="26" t="inlineStr">
        <is>
          <t>2 Contrainte</t>
        </is>
      </c>
      <c r="J421" s="28" t="inlineStr">
        <is>
          <t>https://www.veolia.com/sites/g/files/dvc4206/files/document/2026/03/Finance_Veolia_URD_2025_en.pdf</t>
        </is>
      </c>
      <c r="K421" s="28" t="inlineStr">
        <is>
          <t>2026-09-22</t>
        </is>
      </c>
      <c r="L421" s="30" t="inlineStr">
        <is>
          <t>à relire</t>
        </is>
      </c>
    </row>
    <row r="422">
      <c r="A422" s="20" t="inlineStr">
        <is>
          <t>F417</t>
        </is>
      </c>
      <c r="B422" s="5" t="inlineStr">
        <is>
          <t>Total des liquidités</t>
        </is>
      </c>
      <c r="C422" s="21" t="n">
        <v>15911</v>
      </c>
      <c r="D422" s="5" t="inlineStr">
        <is>
          <t>M EUR</t>
        </is>
      </c>
      <c r="E422" s="5" t="inlineStr">
        <is>
          <t>31/12/2025</t>
        </is>
      </c>
      <c r="F422" s="22" t="inlineStr">
        <is>
          <t>15,911</t>
        </is>
      </c>
      <c r="G422" s="5" t="inlineStr">
        <is>
          <t>01_Financial/finance_veolia_urd_2025_en.pdf</t>
        </is>
      </c>
      <c r="H422" s="23" t="n">
        <v>421</v>
      </c>
      <c r="I422" s="5" t="inlineStr">
        <is>
          <t>2 Contrainte</t>
        </is>
      </c>
      <c r="J422" s="22" t="inlineStr">
        <is>
          <t>https://www.veolia.com/sites/g/files/dvc4206/files/document/2026/03/Finance_Veolia_URD_2025_en.pdf</t>
        </is>
      </c>
      <c r="K422" s="22" t="inlineStr">
        <is>
          <t>2026-09-22</t>
        </is>
      </c>
      <c r="L422" s="24" t="inlineStr">
        <is>
          <t>à relire</t>
        </is>
      </c>
    </row>
    <row r="423">
      <c r="A423" s="25" t="inlineStr">
        <is>
          <t>F418</t>
        </is>
      </c>
      <c r="B423" s="26" t="inlineStr">
        <is>
          <t>GreenUp : EBITDA de base</t>
        </is>
      </c>
      <c r="C423" s="27" t="n">
        <v>6.5</v>
      </c>
      <c r="D423" s="26" t="inlineStr">
        <is>
          <t>Md EUR</t>
        </is>
      </c>
      <c r="E423" s="26" t="inlineStr">
        <is>
          <t>2023</t>
        </is>
      </c>
      <c r="F423" s="28" t="inlineStr">
        <is>
          <t>6.5</t>
        </is>
      </c>
      <c r="G423" s="26" t="inlineStr">
        <is>
          <t>01_Financial/en_master_greenup_strategy-day_v270324.pdf</t>
        </is>
      </c>
      <c r="H423" s="29" t="n">
        <v>58</v>
      </c>
      <c r="I423" s="26" t="inlineStr">
        <is>
          <t>4 Écart</t>
        </is>
      </c>
      <c r="J423" s="28" t="inlineStr">
        <is>
          <t>https://www.veolia.com/sites/g/files/dvc4206/files/document/2024/03/EN_Master_GreenUp_Strategy%20day_V270324.pdf</t>
        </is>
      </c>
      <c r="K423" s="28" t="inlineStr">
        <is>
          <t>2026-09-22</t>
        </is>
      </c>
      <c r="L423" s="30" t="inlineStr">
        <is>
          <t>à relire</t>
        </is>
      </c>
    </row>
    <row r="424">
      <c r="A424" s="20" t="inlineStr">
        <is>
          <t>F419</t>
        </is>
      </c>
      <c r="B424" s="5" t="inlineStr">
        <is>
          <t>GreenUp : croissance annuelle moyenne de l'EBITDA 2023-2027, environ</t>
        </is>
      </c>
      <c r="C424" s="21" t="n">
        <v>5</v>
      </c>
      <c r="D424" s="5" t="inlineStr">
        <is>
          <t>%</t>
        </is>
      </c>
      <c r="E424" s="5" t="inlineStr">
        <is>
          <t>2023-2027</t>
        </is>
      </c>
      <c r="F424" s="22" t="inlineStr">
        <is>
          <t>5</t>
        </is>
      </c>
      <c r="G424" s="5" t="inlineStr">
        <is>
          <t>01_Financial/en_master_greenup_strategy-day_v270324.pdf</t>
        </is>
      </c>
      <c r="H424" s="23" t="n">
        <v>58</v>
      </c>
      <c r="I424" s="5" t="inlineStr">
        <is>
          <t>4 Écart</t>
        </is>
      </c>
      <c r="J424" s="22" t="inlineStr">
        <is>
          <t>https://www.veolia.com/sites/g/files/dvc4206/files/document/2024/03/EN_Master_GreenUp_Strategy%20day_V270324.pdf</t>
        </is>
      </c>
      <c r="K424" s="22" t="inlineStr">
        <is>
          <t>2026-09-22</t>
        </is>
      </c>
      <c r="L424" s="24" t="inlineStr">
        <is>
          <t>à relire</t>
        </is>
      </c>
    </row>
    <row r="425">
      <c r="A425" s="25" t="inlineStr">
        <is>
          <t>F420</t>
        </is>
      </c>
      <c r="B425" s="26" t="inlineStr">
        <is>
          <t>GreenUp : gains d'efficacité par an</t>
        </is>
      </c>
      <c r="C425" s="31" t="n">
        <v>350</v>
      </c>
      <c r="D425" s="26" t="inlineStr">
        <is>
          <t>M EUR</t>
        </is>
      </c>
      <c r="E425" s="26" t="inlineStr">
        <is>
          <t>2024-2027</t>
        </is>
      </c>
      <c r="F425" s="28" t="inlineStr">
        <is>
          <t>350</t>
        </is>
      </c>
      <c r="G425" s="26" t="inlineStr">
        <is>
          <t>01_Financial/en_master_greenup_strategy-day_v270324.pdf</t>
        </is>
      </c>
      <c r="H425" s="29" t="n">
        <v>58</v>
      </c>
      <c r="I425" s="26" t="inlineStr">
        <is>
          <t>4 Écart</t>
        </is>
      </c>
      <c r="J425" s="28" t="inlineStr">
        <is>
          <t>https://www.veolia.com/sites/g/files/dvc4206/files/document/2024/03/EN_Master_GreenUp_Strategy%20day_V270324.pdf</t>
        </is>
      </c>
      <c r="K425" s="28" t="inlineStr">
        <is>
          <t>2026-09-22</t>
        </is>
      </c>
      <c r="L425" s="30" t="inlineStr">
        <is>
          <t>à relire</t>
        </is>
      </c>
    </row>
    <row r="426">
      <c r="A426" s="20" t="inlineStr">
        <is>
          <t>F421</t>
        </is>
      </c>
      <c r="B426" s="5" t="inlineStr">
        <is>
          <t>GreenUp : synergies de coûts attendues en 2024-2025, environ</t>
        </is>
      </c>
      <c r="C426" s="21" t="n">
        <v>200</v>
      </c>
      <c r="D426" s="5" t="inlineStr">
        <is>
          <t>M EUR</t>
        </is>
      </c>
      <c r="E426" s="5" t="inlineStr">
        <is>
          <t>2024-2025</t>
        </is>
      </c>
      <c r="F426" s="22" t="inlineStr">
        <is>
          <t>200</t>
        </is>
      </c>
      <c r="G426" s="5" t="inlineStr">
        <is>
          <t>01_Financial/en_master_greenup_strategy-day_v270324.pdf</t>
        </is>
      </c>
      <c r="H426" s="23" t="n">
        <v>58</v>
      </c>
      <c r="I426" s="5" t="inlineStr">
        <is>
          <t>4 Écart</t>
        </is>
      </c>
      <c r="J426" s="22" t="inlineStr">
        <is>
          <t>https://www.veolia.com/sites/g/files/dvc4206/files/document/2024/03/EN_Master_GreenUp_Strategy%20day_V270324.pdf</t>
        </is>
      </c>
      <c r="K426" s="22" t="inlineStr">
        <is>
          <t>2026-09-22</t>
        </is>
      </c>
      <c r="L426" s="24" t="inlineStr">
        <is>
          <t>à relire</t>
        </is>
      </c>
    </row>
    <row r="427">
      <c r="A427" s="25" t="inlineStr">
        <is>
          <t>F422</t>
        </is>
      </c>
      <c r="B427" s="26" t="inlineStr">
        <is>
          <t>GreenUp : synergies Suez cumulées 2022-2025 confirmées</t>
        </is>
      </c>
      <c r="C427" s="31" t="n">
        <v>500</v>
      </c>
      <c r="D427" s="26" t="inlineStr">
        <is>
          <t>M EUR</t>
        </is>
      </c>
      <c r="E427" s="26" t="inlineStr">
        <is>
          <t>2022-2025</t>
        </is>
      </c>
      <c r="F427" s="28" t="inlineStr">
        <is>
          <t>500</t>
        </is>
      </c>
      <c r="G427" s="26" t="inlineStr">
        <is>
          <t>01_Financial/en_master_greenup_strategy-day_v270324.pdf</t>
        </is>
      </c>
      <c r="H427" s="29" t="n">
        <v>58</v>
      </c>
      <c r="I427" s="26" t="inlineStr">
        <is>
          <t>4 Écart</t>
        </is>
      </c>
      <c r="J427" s="28" t="inlineStr">
        <is>
          <t>https://www.veolia.com/sites/g/files/dvc4206/files/document/2024/03/EN_Master_GreenUp_Strategy%20day_V270324.pdf</t>
        </is>
      </c>
      <c r="K427" s="28" t="inlineStr">
        <is>
          <t>2026-09-22</t>
        </is>
      </c>
      <c r="L427" s="30" t="inlineStr">
        <is>
          <t>à relire</t>
        </is>
      </c>
    </row>
    <row r="428">
      <c r="A428" s="20" t="inlineStr">
        <is>
          <t>F423</t>
        </is>
      </c>
      <c r="B428" s="5" t="inlineStr">
        <is>
          <t>GreenUp : croissance annuelle moyenne du résultat net courant 2023-2027, environ</t>
        </is>
      </c>
      <c r="C428" s="21" t="n">
        <v>10</v>
      </c>
      <c r="D428" s="5" t="inlineStr">
        <is>
          <t>%</t>
        </is>
      </c>
      <c r="E428" s="5" t="inlineStr">
        <is>
          <t>2023-2027</t>
        </is>
      </c>
      <c r="F428" s="22" t="inlineStr">
        <is>
          <t>10</t>
        </is>
      </c>
      <c r="G428" s="5" t="inlineStr">
        <is>
          <t>01_Financial/en_master_greenup_strategy-day_v270324.pdf</t>
        </is>
      </c>
      <c r="H428" s="23" t="n">
        <v>69</v>
      </c>
      <c r="I428" s="5" t="inlineStr">
        <is>
          <t>4 Écart</t>
        </is>
      </c>
      <c r="J428" s="22" t="inlineStr">
        <is>
          <t>https://www.veolia.com/sites/g/files/dvc4206/files/document/2024/03/EN_Master_GreenUp_Strategy%20day_V270324.pdf</t>
        </is>
      </c>
      <c r="K428" s="22" t="inlineStr">
        <is>
          <t>2026-09-22</t>
        </is>
      </c>
      <c r="L428" s="24" t="inlineStr">
        <is>
          <t>à relire</t>
        </is>
      </c>
    </row>
    <row r="429">
      <c r="A429" s="25" t="inlineStr">
        <is>
          <t>F424</t>
        </is>
      </c>
      <c r="B429" s="26" t="inlineStr">
        <is>
          <t>Gains d'efficacité annuels</t>
        </is>
      </c>
      <c r="C429" s="31" t="n">
        <v>399</v>
      </c>
      <c r="D429" s="26" t="inlineStr">
        <is>
          <t>M EUR</t>
        </is>
      </c>
      <c r="E429" s="26" t="inlineStr">
        <is>
          <t>FY2025</t>
        </is>
      </c>
      <c r="F429" s="28" t="inlineStr">
        <is>
          <t>399</t>
        </is>
      </c>
      <c r="G429" s="26" t="inlineStr">
        <is>
          <t>01_Financial/finance_veolia_2025_full_year_results_presentation_0.pdf</t>
        </is>
      </c>
      <c r="H429" s="29" t="n">
        <v>21</v>
      </c>
      <c r="I429" s="26" t="inlineStr">
        <is>
          <t>4 Écart</t>
        </is>
      </c>
      <c r="J429" s="28" t="inlineStr">
        <is>
          <t>https://www.veolia.com/sites/g/files/dvc4206/files/document/2026/03/Finance_Veolia_2025_full_year_results_presentation_0.pdf</t>
        </is>
      </c>
      <c r="K429" s="28" t="inlineStr">
        <is>
          <t>2026-09-22</t>
        </is>
      </c>
      <c r="L429" s="30" t="inlineStr">
        <is>
          <t>à relire</t>
        </is>
      </c>
    </row>
    <row r="430">
      <c r="A430" s="20" t="inlineStr">
        <is>
          <t>F425</t>
        </is>
      </c>
      <c r="B430" s="5" t="inlineStr">
        <is>
          <t>Croissance organique de l'EBITDA (groupe)</t>
        </is>
      </c>
      <c r="C430" s="32" t="n">
        <v>6.3</v>
      </c>
      <c r="D430" s="5" t="inlineStr">
        <is>
          <t>%</t>
        </is>
      </c>
      <c r="E430" s="5" t="inlineStr">
        <is>
          <t>FY2025</t>
        </is>
      </c>
      <c r="F430" s="22" t="inlineStr">
        <is>
          <t>+6.3</t>
        </is>
      </c>
      <c r="G430" s="5" t="inlineStr">
        <is>
          <t>01_Financial/finance_veolia_2025_full_year_results_presentation_0.pdf</t>
        </is>
      </c>
      <c r="H430" s="23" t="n">
        <v>21</v>
      </c>
      <c r="I430" s="5" t="inlineStr">
        <is>
          <t>4 Écart</t>
        </is>
      </c>
      <c r="J430" s="22" t="inlineStr">
        <is>
          <t>https://www.veolia.com/sites/g/files/dvc4206/files/document/2026/03/Finance_Veolia_2025_full_year_results_presentation_0.pdf</t>
        </is>
      </c>
      <c r="K430" s="22" t="inlineStr">
        <is>
          <t>2026-09-22</t>
        </is>
      </c>
      <c r="L430" s="24" t="inlineStr">
        <is>
          <t>à relire</t>
        </is>
      </c>
    </row>
    <row r="431">
      <c r="A431" s="25" t="inlineStr">
        <is>
          <t>F426</t>
        </is>
      </c>
      <c r="B431" s="26" t="inlineStr">
        <is>
          <t>Marge d'EBITDA (groupe)</t>
        </is>
      </c>
      <c r="C431" s="27" t="n">
        <v>15.9</v>
      </c>
      <c r="D431" s="26" t="inlineStr">
        <is>
          <t>%</t>
        </is>
      </c>
      <c r="E431" s="26" t="inlineStr">
        <is>
          <t>FY2025</t>
        </is>
      </c>
      <c r="F431" s="28" t="inlineStr">
        <is>
          <t>15.9</t>
        </is>
      </c>
      <c r="G431" s="26" t="inlineStr">
        <is>
          <t>01_Financial/finance_veolia_2025_full_year_results_presentation_0.pdf</t>
        </is>
      </c>
      <c r="H431" s="29" t="n">
        <v>21</v>
      </c>
      <c r="I431" s="26" t="inlineStr">
        <is>
          <t>4 Écart</t>
        </is>
      </c>
      <c r="J431" s="28" t="inlineStr">
        <is>
          <t>https://www.veolia.com/sites/g/files/dvc4206/files/document/2026/03/Finance_Veolia_2025_full_year_results_presentation_0.pdf</t>
        </is>
      </c>
      <c r="K431" s="28" t="inlineStr">
        <is>
          <t>2026-09-22</t>
        </is>
      </c>
      <c r="L431" s="30" t="inlineStr">
        <is>
          <t>à relire</t>
        </is>
      </c>
    </row>
    <row r="432">
      <c r="A432" s="20" t="inlineStr">
        <is>
          <t>F427</t>
        </is>
      </c>
      <c r="B432" s="5" t="inlineStr">
        <is>
          <t>Croissance organique du chiffre d'affaires hors prix de l'énergie (groupe)</t>
        </is>
      </c>
      <c r="C432" s="32" t="n">
        <v>2.8</v>
      </c>
      <c r="D432" s="5" t="inlineStr">
        <is>
          <t>%</t>
        </is>
      </c>
      <c r="E432" s="5" t="inlineStr">
        <is>
          <t>FY2025</t>
        </is>
      </c>
      <c r="F432" s="22" t="inlineStr">
        <is>
          <t>+2.8</t>
        </is>
      </c>
      <c r="G432" s="5" t="inlineStr">
        <is>
          <t>01_Financial/finance_veolia_2025_full_year_results_presentation_0.pdf</t>
        </is>
      </c>
      <c r="H432" s="23" t="n">
        <v>21</v>
      </c>
      <c r="I432" s="5" t="inlineStr">
        <is>
          <t>4 Écart</t>
        </is>
      </c>
      <c r="J432" s="22" t="inlineStr">
        <is>
          <t>https://www.veolia.com/sites/g/files/dvc4206/files/document/2026/03/Finance_Veolia_2025_full_year_results_presentation_0.pdf</t>
        </is>
      </c>
      <c r="K432" s="22" t="inlineStr">
        <is>
          <t>2026-09-22</t>
        </is>
      </c>
      <c r="L432" s="24" t="inlineStr">
        <is>
          <t>à relire</t>
        </is>
      </c>
    </row>
    <row r="433">
      <c r="A433" s="25" t="inlineStr">
        <is>
          <t>F428</t>
        </is>
      </c>
      <c r="B433" s="26" t="inlineStr">
        <is>
          <t>Boosters : croissance du chiffre d'affaires tuck-ins compris</t>
        </is>
      </c>
      <c r="C433" s="31" t="n">
        <v>8</v>
      </c>
      <c r="D433" s="26" t="inlineStr">
        <is>
          <t>%</t>
        </is>
      </c>
      <c r="E433" s="26" t="inlineStr">
        <is>
          <t>FY2025</t>
        </is>
      </c>
      <c r="F433" s="28" t="inlineStr">
        <is>
          <t>+8</t>
        </is>
      </c>
      <c r="G433" s="26" t="inlineStr">
        <is>
          <t>01_Financial/finance_veolia_2025_full_year_results_presentation_0.pdf</t>
        </is>
      </c>
      <c r="H433" s="29" t="n">
        <v>21</v>
      </c>
      <c r="I433" s="26" t="inlineStr">
        <is>
          <t>4 Écart</t>
        </is>
      </c>
      <c r="J433" s="28" t="inlineStr">
        <is>
          <t>https://www.veolia.com/sites/g/files/dvc4206/files/document/2026/03/Finance_Veolia_2025_full_year_results_presentation_0.pdf</t>
        </is>
      </c>
      <c r="K433" s="28" t="inlineStr">
        <is>
          <t>2026-09-22</t>
        </is>
      </c>
      <c r="L433" s="30" t="inlineStr">
        <is>
          <t>à relire</t>
        </is>
      </c>
    </row>
    <row r="434">
      <c r="A434" s="20" t="inlineStr">
        <is>
          <t>F429</t>
        </is>
      </c>
      <c r="B434" s="5" t="inlineStr">
        <is>
          <t>Strongholds : chiffre d'affaires</t>
        </is>
      </c>
      <c r="C434" s="21" t="n">
        <v>31205</v>
      </c>
      <c r="D434" s="5" t="inlineStr">
        <is>
          <t>M EUR</t>
        </is>
      </c>
      <c r="E434" s="5" t="inlineStr">
        <is>
          <t>FY2025</t>
        </is>
      </c>
      <c r="F434" s="22" t="inlineStr">
        <is>
          <t>31,205</t>
        </is>
      </c>
      <c r="G434" s="5" t="inlineStr">
        <is>
          <t>01_Financial/finance_veolia_2025_full_year_results_presentation_0.pdf</t>
        </is>
      </c>
      <c r="H434" s="23" t="n">
        <v>24</v>
      </c>
      <c r="I434" s="5" t="inlineStr">
        <is>
          <t>4 Écart</t>
        </is>
      </c>
      <c r="J434" s="22" t="inlineStr">
        <is>
          <t>https://www.veolia.com/sites/g/files/dvc4206/files/document/2026/03/Finance_Veolia_2025_full_year_results_presentation_0.pdf</t>
        </is>
      </c>
      <c r="K434" s="22" t="inlineStr">
        <is>
          <t>2026-09-22</t>
        </is>
      </c>
      <c r="L434" s="24" t="inlineStr">
        <is>
          <t>à relire</t>
        </is>
      </c>
    </row>
    <row r="435">
      <c r="A435" s="25" t="inlineStr">
        <is>
          <t>F430</t>
        </is>
      </c>
      <c r="B435" s="26" t="inlineStr">
        <is>
          <t>Strongholds : croissance organique du chiffre d'affaires hors prix de l'énergie</t>
        </is>
      </c>
      <c r="C435" s="27" t="n">
        <v>2.2</v>
      </c>
      <c r="D435" s="26" t="inlineStr">
        <is>
          <t>%</t>
        </is>
      </c>
      <c r="E435" s="26" t="inlineStr">
        <is>
          <t>FY2025</t>
        </is>
      </c>
      <c r="F435" s="28" t="inlineStr">
        <is>
          <t>+2.2</t>
        </is>
      </c>
      <c r="G435" s="26" t="inlineStr">
        <is>
          <t>01_Financial/finance_veolia_2025_full_year_results_presentation_0.pdf</t>
        </is>
      </c>
      <c r="H435" s="29" t="n">
        <v>24</v>
      </c>
      <c r="I435" s="26" t="inlineStr">
        <is>
          <t>4 Écart</t>
        </is>
      </c>
      <c r="J435" s="28" t="inlineStr">
        <is>
          <t>https://www.veolia.com/sites/g/files/dvc4206/files/document/2026/03/Finance_Veolia_2025_full_year_results_presentation_0.pdf</t>
        </is>
      </c>
      <c r="K435" s="28" t="inlineStr">
        <is>
          <t>2026-09-22</t>
        </is>
      </c>
      <c r="L435" s="30" t="inlineStr">
        <is>
          <t>à relire</t>
        </is>
      </c>
    </row>
    <row r="436">
      <c r="A436" s="20" t="inlineStr">
        <is>
          <t>F431</t>
        </is>
      </c>
      <c r="B436" s="5" t="inlineStr">
        <is>
          <t>Strongholds : EBITDA</t>
        </is>
      </c>
      <c r="C436" s="21" t="n">
        <v>5383</v>
      </c>
      <c r="D436" s="5" t="inlineStr">
        <is>
          <t>M EUR</t>
        </is>
      </c>
      <c r="E436" s="5" t="inlineStr">
        <is>
          <t>FY2025</t>
        </is>
      </c>
      <c r="F436" s="22" t="inlineStr">
        <is>
          <t>5,383</t>
        </is>
      </c>
      <c r="G436" s="5" t="inlineStr">
        <is>
          <t>01_Financial/finance_veolia_2025_full_year_results_presentation_0.pdf</t>
        </is>
      </c>
      <c r="H436" s="23" t="n">
        <v>24</v>
      </c>
      <c r="I436" s="5" t="inlineStr">
        <is>
          <t>4 Écart</t>
        </is>
      </c>
      <c r="J436" s="22" t="inlineStr">
        <is>
          <t>https://www.veolia.com/sites/g/files/dvc4206/files/document/2026/03/Finance_Veolia_2025_full_year_results_presentation_0.pdf</t>
        </is>
      </c>
      <c r="K436" s="22" t="inlineStr">
        <is>
          <t>2026-09-22</t>
        </is>
      </c>
      <c r="L436" s="24" t="inlineStr">
        <is>
          <t>à relire</t>
        </is>
      </c>
    </row>
    <row r="437">
      <c r="A437" s="25" t="inlineStr">
        <is>
          <t>F432</t>
        </is>
      </c>
      <c r="B437" s="26" t="inlineStr">
        <is>
          <t>Strongholds : croissance organique de l'EBITDA</t>
        </is>
      </c>
      <c r="C437" s="27" t="n">
        <v>4.8</v>
      </c>
      <c r="D437" s="26" t="inlineStr">
        <is>
          <t>%</t>
        </is>
      </c>
      <c r="E437" s="26" t="inlineStr">
        <is>
          <t>FY2025</t>
        </is>
      </c>
      <c r="F437" s="28" t="inlineStr">
        <is>
          <t>+4.8</t>
        </is>
      </c>
      <c r="G437" s="26" t="inlineStr">
        <is>
          <t>01_Financial/finance_veolia_2025_full_year_results_presentation_0.pdf</t>
        </is>
      </c>
      <c r="H437" s="29" t="n">
        <v>24</v>
      </c>
      <c r="I437" s="26" t="inlineStr">
        <is>
          <t>4 Écart</t>
        </is>
      </c>
      <c r="J437" s="28" t="inlineStr">
        <is>
          <t>https://www.veolia.com/sites/g/files/dvc4206/files/document/2026/03/Finance_Veolia_2025_full_year_results_presentation_0.pdf</t>
        </is>
      </c>
      <c r="K437" s="28" t="inlineStr">
        <is>
          <t>2026-09-22</t>
        </is>
      </c>
      <c r="L437" s="30" t="inlineStr">
        <is>
          <t>à relire</t>
        </is>
      </c>
    </row>
    <row r="438">
      <c r="A438" s="20" t="inlineStr">
        <is>
          <t>F433</t>
        </is>
      </c>
      <c r="B438" s="5" t="inlineStr">
        <is>
          <t>Strongholds : marge d'EBITDA</t>
        </is>
      </c>
      <c r="C438" s="32" t="n">
        <v>17.2</v>
      </c>
      <c r="D438" s="5" t="inlineStr">
        <is>
          <t>%</t>
        </is>
      </c>
      <c r="E438" s="5" t="inlineStr">
        <is>
          <t>FY2025</t>
        </is>
      </c>
      <c r="F438" s="22" t="inlineStr">
        <is>
          <t>17.2</t>
        </is>
      </c>
      <c r="G438" s="5" t="inlineStr">
        <is>
          <t>01_Financial/finance_veolia_2025_full_year_results_presentation_0.pdf</t>
        </is>
      </c>
      <c r="H438" s="23" t="n">
        <v>24</v>
      </c>
      <c r="I438" s="5" t="inlineStr">
        <is>
          <t>4 Écart</t>
        </is>
      </c>
      <c r="J438" s="22" t="inlineStr">
        <is>
          <t>https://www.veolia.com/sites/g/files/dvc4206/files/document/2026/03/Finance_Veolia_2025_full_year_results_presentation_0.pdf</t>
        </is>
      </c>
      <c r="K438" s="22" t="inlineStr">
        <is>
          <t>2026-09-22</t>
        </is>
      </c>
      <c r="L438" s="24" t="inlineStr">
        <is>
          <t>à relire</t>
        </is>
      </c>
    </row>
    <row r="439">
      <c r="A439" s="25" t="inlineStr">
        <is>
          <t>F434</t>
        </is>
      </c>
      <c r="B439" s="26" t="inlineStr">
        <is>
          <t>Eau municipale : chiffre d'affaires</t>
        </is>
      </c>
      <c r="C439" s="31" t="n">
        <v>12739</v>
      </c>
      <c r="D439" s="26" t="inlineStr">
        <is>
          <t>M EUR</t>
        </is>
      </c>
      <c r="E439" s="26" t="inlineStr">
        <is>
          <t>FY2025</t>
        </is>
      </c>
      <c r="F439" s="28" t="inlineStr">
        <is>
          <t>12,739</t>
        </is>
      </c>
      <c r="G439" s="26" t="inlineStr">
        <is>
          <t>01_Financial/finance_veolia_2025_full_year_results_presentation_0.pdf</t>
        </is>
      </c>
      <c r="H439" s="29" t="n">
        <v>24</v>
      </c>
      <c r="I439" s="26" t="inlineStr">
        <is>
          <t>4 Écart</t>
        </is>
      </c>
      <c r="J439" s="28" t="inlineStr">
        <is>
          <t>https://www.veolia.com/sites/g/files/dvc4206/files/document/2026/03/Finance_Veolia_2025_full_year_results_presentation_0.pdf</t>
        </is>
      </c>
      <c r="K439" s="28" t="inlineStr">
        <is>
          <t>2026-09-22</t>
        </is>
      </c>
      <c r="L439" s="30" t="inlineStr">
        <is>
          <t>à relire</t>
        </is>
      </c>
    </row>
    <row r="440">
      <c r="A440" s="20" t="inlineStr">
        <is>
          <t>F435</t>
        </is>
      </c>
      <c r="B440" s="5" t="inlineStr">
        <is>
          <t>Eau municipale : EBITDA</t>
        </is>
      </c>
      <c r="C440" s="21" t="n">
        <v>2729</v>
      </c>
      <c r="D440" s="5" t="inlineStr">
        <is>
          <t>M EUR</t>
        </is>
      </c>
      <c r="E440" s="5" t="inlineStr">
        <is>
          <t>FY2025</t>
        </is>
      </c>
      <c r="F440" s="22" t="inlineStr">
        <is>
          <t>2,729</t>
        </is>
      </c>
      <c r="G440" s="5" t="inlineStr">
        <is>
          <t>01_Financial/finance_veolia_2025_full_year_results_presentation_0.pdf</t>
        </is>
      </c>
      <c r="H440" s="23" t="n">
        <v>24</v>
      </c>
      <c r="I440" s="5" t="inlineStr">
        <is>
          <t>4 Écart</t>
        </is>
      </c>
      <c r="J440" s="22" t="inlineStr">
        <is>
          <t>https://www.veolia.com/sites/g/files/dvc4206/files/document/2026/03/Finance_Veolia_2025_full_year_results_presentation_0.pdf</t>
        </is>
      </c>
      <c r="K440" s="22" t="inlineStr">
        <is>
          <t>2026-09-22</t>
        </is>
      </c>
      <c r="L440" s="24" t="inlineStr">
        <is>
          <t>à relire</t>
        </is>
      </c>
    </row>
    <row r="441">
      <c r="A441" s="25" t="inlineStr">
        <is>
          <t>F436</t>
        </is>
      </c>
      <c r="B441" s="26" t="inlineStr">
        <is>
          <t>Eau municipale : croissance organique de l'EBITDA</t>
        </is>
      </c>
      <c r="C441" s="27" t="n">
        <v>6.1</v>
      </c>
      <c r="D441" s="26" t="inlineStr">
        <is>
          <t>%</t>
        </is>
      </c>
      <c r="E441" s="26" t="inlineStr">
        <is>
          <t>FY2025</t>
        </is>
      </c>
      <c r="F441" s="28" t="inlineStr">
        <is>
          <t>+6.1</t>
        </is>
      </c>
      <c r="G441" s="26" t="inlineStr">
        <is>
          <t>01_Financial/finance_veolia_2025_full_year_results_presentation_0.pdf</t>
        </is>
      </c>
      <c r="H441" s="29" t="n">
        <v>24</v>
      </c>
      <c r="I441" s="26" t="inlineStr">
        <is>
          <t>4 Écart</t>
        </is>
      </c>
      <c r="J441" s="28" t="inlineStr">
        <is>
          <t>https://www.veolia.com/sites/g/files/dvc4206/files/document/2026/03/Finance_Veolia_2025_full_year_results_presentation_0.pdf</t>
        </is>
      </c>
      <c r="K441" s="28" t="inlineStr">
        <is>
          <t>2026-09-22</t>
        </is>
      </c>
      <c r="L441" s="30" t="inlineStr">
        <is>
          <t>à relire</t>
        </is>
      </c>
    </row>
    <row r="442">
      <c r="A442" s="20" t="inlineStr">
        <is>
          <t>F437</t>
        </is>
      </c>
      <c r="B442" s="5" t="inlineStr">
        <is>
          <t>Réseaux de chaleur et de froid : chiffre d'affaires</t>
        </is>
      </c>
      <c r="C442" s="21" t="n">
        <v>7240</v>
      </c>
      <c r="D442" s="5" t="inlineStr">
        <is>
          <t>M EUR</t>
        </is>
      </c>
      <c r="E442" s="5" t="inlineStr">
        <is>
          <t>FY2025</t>
        </is>
      </c>
      <c r="F442" s="22" t="inlineStr">
        <is>
          <t>7,240</t>
        </is>
      </c>
      <c r="G442" s="5" t="inlineStr">
        <is>
          <t>01_Financial/finance_veolia_2025_full_year_results_presentation_0.pdf</t>
        </is>
      </c>
      <c r="H442" s="23" t="n">
        <v>24</v>
      </c>
      <c r="I442" s="5" t="inlineStr">
        <is>
          <t>4 Écart</t>
        </is>
      </c>
      <c r="J442" s="22" t="inlineStr">
        <is>
          <t>https://www.veolia.com/sites/g/files/dvc4206/files/document/2026/03/Finance_Veolia_2025_full_year_results_presentation_0.pdf</t>
        </is>
      </c>
      <c r="K442" s="22" t="inlineStr">
        <is>
          <t>2026-09-22</t>
        </is>
      </c>
      <c r="L442" s="24" t="inlineStr">
        <is>
          <t>à relire</t>
        </is>
      </c>
    </row>
    <row r="443">
      <c r="A443" s="25" t="inlineStr">
        <is>
          <t>F438</t>
        </is>
      </c>
      <c r="B443" s="26" t="inlineStr">
        <is>
          <t>Réseaux de chaleur et de froid : EBITDA</t>
        </is>
      </c>
      <c r="C443" s="31" t="n">
        <v>1087</v>
      </c>
      <c r="D443" s="26" t="inlineStr">
        <is>
          <t>M EUR</t>
        </is>
      </c>
      <c r="E443" s="26" t="inlineStr">
        <is>
          <t>FY2025</t>
        </is>
      </c>
      <c r="F443" s="28" t="inlineStr">
        <is>
          <t>1,087</t>
        </is>
      </c>
      <c r="G443" s="26" t="inlineStr">
        <is>
          <t>01_Financial/finance_veolia_2025_full_year_results_presentation_0.pdf</t>
        </is>
      </c>
      <c r="H443" s="29" t="n">
        <v>24</v>
      </c>
      <c r="I443" s="26" t="inlineStr">
        <is>
          <t>4 Écart</t>
        </is>
      </c>
      <c r="J443" s="28" t="inlineStr">
        <is>
          <t>https://www.veolia.com/sites/g/files/dvc4206/files/document/2026/03/Finance_Veolia_2025_full_year_results_presentation_0.pdf</t>
        </is>
      </c>
      <c r="K443" s="28" t="inlineStr">
        <is>
          <t>2026-09-22</t>
        </is>
      </c>
      <c r="L443" s="30" t="inlineStr">
        <is>
          <t>à relire</t>
        </is>
      </c>
    </row>
    <row r="444">
      <c r="A444" s="20" t="inlineStr">
        <is>
          <t>F439</t>
        </is>
      </c>
      <c r="B444" s="5" t="inlineStr">
        <is>
          <t>Réseaux de chaleur et de froid : croissance organique de l'EBITDA</t>
        </is>
      </c>
      <c r="C444" s="32" t="n">
        <v>-1.5</v>
      </c>
      <c r="D444" s="5" t="inlineStr">
        <is>
          <t>%</t>
        </is>
      </c>
      <c r="E444" s="5" t="inlineStr">
        <is>
          <t>FY2025</t>
        </is>
      </c>
      <c r="F444" s="22" t="inlineStr">
        <is>
          <t>-1.5</t>
        </is>
      </c>
      <c r="G444" s="5" t="inlineStr">
        <is>
          <t>01_Financial/finance_veolia_2025_full_year_results_presentation_0.pdf</t>
        </is>
      </c>
      <c r="H444" s="23" t="n">
        <v>24</v>
      </c>
      <c r="I444" s="5" t="inlineStr">
        <is>
          <t>4 Écart</t>
        </is>
      </c>
      <c r="J444" s="22" t="inlineStr">
        <is>
          <t>https://www.veolia.com/sites/g/files/dvc4206/files/document/2026/03/Finance_Veolia_2025_full_year_results_presentation_0.pdf</t>
        </is>
      </c>
      <c r="K444" s="22" t="inlineStr">
        <is>
          <t>2026-09-22</t>
        </is>
      </c>
      <c r="L444" s="24" t="inlineStr">
        <is>
          <t>à relire</t>
        </is>
      </c>
    </row>
    <row r="445">
      <c r="A445" s="25" t="inlineStr">
        <is>
          <t>F440</t>
        </is>
      </c>
      <c r="B445" s="26" t="inlineStr">
        <is>
          <t>Déchets solides : chiffre d'affaires</t>
        </is>
      </c>
      <c r="C445" s="31" t="n">
        <v>11226</v>
      </c>
      <c r="D445" s="26" t="inlineStr">
        <is>
          <t>M EUR</t>
        </is>
      </c>
      <c r="E445" s="26" t="inlineStr">
        <is>
          <t>FY2025</t>
        </is>
      </c>
      <c r="F445" s="28" t="inlineStr">
        <is>
          <t>11,226</t>
        </is>
      </c>
      <c r="G445" s="26" t="inlineStr">
        <is>
          <t>01_Financial/finance_veolia_2025_full_year_results_presentation_0.pdf</t>
        </is>
      </c>
      <c r="H445" s="29" t="n">
        <v>24</v>
      </c>
      <c r="I445" s="26" t="inlineStr">
        <is>
          <t>4 Écart</t>
        </is>
      </c>
      <c r="J445" s="28" t="inlineStr">
        <is>
          <t>https://www.veolia.com/sites/g/files/dvc4206/files/document/2026/03/Finance_Veolia_2025_full_year_results_presentation_0.pdf</t>
        </is>
      </c>
      <c r="K445" s="28" t="inlineStr">
        <is>
          <t>2026-09-22</t>
        </is>
      </c>
      <c r="L445" s="30" t="inlineStr">
        <is>
          <t>à relire</t>
        </is>
      </c>
    </row>
    <row r="446">
      <c r="A446" s="20" t="inlineStr">
        <is>
          <t>F441</t>
        </is>
      </c>
      <c r="B446" s="5" t="inlineStr">
        <is>
          <t>Déchets solides : EBITDA</t>
        </is>
      </c>
      <c r="C446" s="21" t="n">
        <v>1566</v>
      </c>
      <c r="D446" s="5" t="inlineStr">
        <is>
          <t>M EUR</t>
        </is>
      </c>
      <c r="E446" s="5" t="inlineStr">
        <is>
          <t>FY2025</t>
        </is>
      </c>
      <c r="F446" s="22" t="inlineStr">
        <is>
          <t>1,566</t>
        </is>
      </c>
      <c r="G446" s="5" t="inlineStr">
        <is>
          <t>01_Financial/finance_veolia_2025_full_year_results_presentation_0.pdf</t>
        </is>
      </c>
      <c r="H446" s="23" t="n">
        <v>24</v>
      </c>
      <c r="I446" s="5" t="inlineStr">
        <is>
          <t>4 Écart</t>
        </is>
      </c>
      <c r="J446" s="22" t="inlineStr">
        <is>
          <t>https://www.veolia.com/sites/g/files/dvc4206/files/document/2026/03/Finance_Veolia_2025_full_year_results_presentation_0.pdf</t>
        </is>
      </c>
      <c r="K446" s="22" t="inlineStr">
        <is>
          <t>2026-09-22</t>
        </is>
      </c>
      <c r="L446" s="24" t="inlineStr">
        <is>
          <t>à relire</t>
        </is>
      </c>
    </row>
    <row r="447">
      <c r="A447" s="25" t="inlineStr">
        <is>
          <t>F442</t>
        </is>
      </c>
      <c r="B447" s="26" t="inlineStr">
        <is>
          <t>Déchets solides : croissance organique de l'EBITDA</t>
        </is>
      </c>
      <c r="C447" s="27" t="n">
        <v>6.8</v>
      </c>
      <c r="D447" s="26" t="inlineStr">
        <is>
          <t>%</t>
        </is>
      </c>
      <c r="E447" s="26" t="inlineStr">
        <is>
          <t>FY2025</t>
        </is>
      </c>
      <c r="F447" s="28" t="inlineStr">
        <is>
          <t>+6.8</t>
        </is>
      </c>
      <c r="G447" s="26" t="inlineStr">
        <is>
          <t>01_Financial/finance_veolia_2025_full_year_results_presentation_0.pdf</t>
        </is>
      </c>
      <c r="H447" s="29" t="n">
        <v>24</v>
      </c>
      <c r="I447" s="26" t="inlineStr">
        <is>
          <t>4 Écart</t>
        </is>
      </c>
      <c r="J447" s="28" t="inlineStr">
        <is>
          <t>https://www.veolia.com/sites/g/files/dvc4206/files/document/2026/03/Finance_Veolia_2025_full_year_results_presentation_0.pdf</t>
        </is>
      </c>
      <c r="K447" s="28" t="inlineStr">
        <is>
          <t>2026-09-22</t>
        </is>
      </c>
      <c r="L447" s="30" t="inlineStr">
        <is>
          <t>à relire</t>
        </is>
      </c>
    </row>
    <row r="448">
      <c r="A448" s="20" t="inlineStr">
        <is>
          <t>F443</t>
        </is>
      </c>
      <c r="B448" s="5" t="inlineStr">
        <is>
          <t>Espagne : nombre de tuck-ins intégrés en deux ans</t>
        </is>
      </c>
      <c r="C448" s="21" t="n">
        <v>13</v>
      </c>
      <c r="D448" s="5" t="inlineStr">
        <is>
          <t>tuck-ins</t>
        </is>
      </c>
      <c r="E448" s="5" t="inlineStr">
        <is>
          <t>2024-2025</t>
        </is>
      </c>
      <c r="F448" s="22" t="inlineStr">
        <is>
          <t>13</t>
        </is>
      </c>
      <c r="G448" s="5" t="inlineStr">
        <is>
          <t>01_Financial/finance_veolia_2025_full_year_results_presentation_0.pdf</t>
        </is>
      </c>
      <c r="H448" s="23" t="n">
        <v>19</v>
      </c>
      <c r="I448" s="5" t="inlineStr">
        <is>
          <t>6 Cibles</t>
        </is>
      </c>
      <c r="J448" s="22" t="inlineStr">
        <is>
          <t>https://www.veolia.com/sites/g/files/dvc4206/files/document/2026/03/Finance_Veolia_2025_full_year_results_presentation_0.pdf</t>
        </is>
      </c>
      <c r="K448" s="22" t="inlineStr">
        <is>
          <t>2026-09-22</t>
        </is>
      </c>
      <c r="L448" s="24" t="inlineStr">
        <is>
          <t>à relire</t>
        </is>
      </c>
    </row>
    <row r="449">
      <c r="A449" s="25" t="inlineStr">
        <is>
          <t>F444</t>
        </is>
      </c>
      <c r="B449" s="26" t="inlineStr">
        <is>
          <t>Espagne : valeur d'entreprise totale des tuck-ins</t>
        </is>
      </c>
      <c r="C449" s="31" t="n">
        <v>87</v>
      </c>
      <c r="D449" s="26" t="inlineStr">
        <is>
          <t>M EUR</t>
        </is>
      </c>
      <c r="E449" s="26" t="inlineStr">
        <is>
          <t>2024-2025</t>
        </is>
      </c>
      <c r="F449" s="28" t="inlineStr">
        <is>
          <t>87</t>
        </is>
      </c>
      <c r="G449" s="26" t="inlineStr">
        <is>
          <t>01_Financial/finance_veolia_2025_full_year_results_presentation_0.pdf</t>
        </is>
      </c>
      <c r="H449" s="29" t="n">
        <v>19</v>
      </c>
      <c r="I449" s="26" t="inlineStr">
        <is>
          <t>6 Cibles</t>
        </is>
      </c>
      <c r="J449" s="28" t="inlineStr">
        <is>
          <t>https://www.veolia.com/sites/g/files/dvc4206/files/document/2026/03/Finance_Veolia_2025_full_year_results_presentation_0.pdf</t>
        </is>
      </c>
      <c r="K449" s="28" t="inlineStr">
        <is>
          <t>2026-09-22</t>
        </is>
      </c>
      <c r="L449" s="30" t="inlineStr">
        <is>
          <t>à relire</t>
        </is>
      </c>
    </row>
    <row r="450">
      <c r="A450" s="20" t="inlineStr">
        <is>
          <t>F445</t>
        </is>
      </c>
      <c r="B450" s="5" t="inlineStr">
        <is>
          <t>Espagne : multiple moyen des tuck-ins, environ</t>
        </is>
      </c>
      <c r="C450" s="32" t="n">
        <v>7.4</v>
      </c>
      <c r="D450" s="5" t="inlineStr">
        <is>
          <t>x</t>
        </is>
      </c>
      <c r="E450" s="5" t="inlineStr">
        <is>
          <t>2024-2025</t>
        </is>
      </c>
      <c r="F450" s="22" t="inlineStr">
        <is>
          <t>7.4</t>
        </is>
      </c>
      <c r="G450" s="5" t="inlineStr">
        <is>
          <t>01_Financial/finance_veolia_2025_full_year_results_presentation_0.pdf</t>
        </is>
      </c>
      <c r="H450" s="23" t="n">
        <v>19</v>
      </c>
      <c r="I450" s="5" t="inlineStr">
        <is>
          <t>6 Cibles</t>
        </is>
      </c>
      <c r="J450" s="22" t="inlineStr">
        <is>
          <t>https://www.veolia.com/sites/g/files/dvc4206/files/document/2026/03/Finance_Veolia_2025_full_year_results_presentation_0.pdf</t>
        </is>
      </c>
      <c r="K450" s="22" t="inlineStr">
        <is>
          <t>2026-09-22</t>
        </is>
      </c>
      <c r="L450" s="24" t="inlineStr">
        <is>
          <t>à relire</t>
        </is>
      </c>
    </row>
    <row r="451">
      <c r="A451" s="25" t="inlineStr">
        <is>
          <t>F446</t>
        </is>
      </c>
      <c r="B451" s="26" t="inlineStr">
        <is>
          <t>Espagne : gains d'efficacité et synergies en deux ans</t>
        </is>
      </c>
      <c r="C451" s="31" t="n">
        <v>109</v>
      </c>
      <c r="D451" s="26" t="inlineStr">
        <is>
          <t>M EUR</t>
        </is>
      </c>
      <c r="E451" s="26" t="inlineStr">
        <is>
          <t>2024-2025</t>
        </is>
      </c>
      <c r="F451" s="28" t="inlineStr">
        <is>
          <t>109</t>
        </is>
      </c>
      <c r="G451" s="26" t="inlineStr">
        <is>
          <t>01_Financial/finance_veolia_2025_full_year_results_presentation_0.pdf</t>
        </is>
      </c>
      <c r="H451" s="29" t="n">
        <v>19</v>
      </c>
      <c r="I451" s="26" t="inlineStr">
        <is>
          <t>4 Écart</t>
        </is>
      </c>
      <c r="J451" s="28" t="inlineStr">
        <is>
          <t>https://www.veolia.com/sites/g/files/dvc4206/files/document/2026/03/Finance_Veolia_2025_full_year_results_presentation_0.pdf</t>
        </is>
      </c>
      <c r="K451" s="28" t="inlineStr">
        <is>
          <t>2026-09-22</t>
        </is>
      </c>
      <c r="L451" s="30" t="inlineStr">
        <is>
          <t>à relire</t>
        </is>
      </c>
    </row>
    <row r="452">
      <c r="A452" s="20" t="inlineStr">
        <is>
          <t>F447</t>
        </is>
      </c>
      <c r="B452" s="5" t="inlineStr">
        <is>
          <t>Guidance 2026 : croissance du résultat net courant Clean Earth inclus, au moins</t>
        </is>
      </c>
      <c r="C452" s="21" t="n">
        <v>8</v>
      </c>
      <c r="D452" s="5" t="inlineStr">
        <is>
          <t>%</t>
        </is>
      </c>
      <c r="E452" s="5" t="inlineStr">
        <is>
          <t>2026</t>
        </is>
      </c>
      <c r="F452" s="22" t="inlineStr">
        <is>
          <t>8</t>
        </is>
      </c>
      <c r="G452" s="5" t="inlineStr">
        <is>
          <t>01_Financial/veolia_finance_presentation_h1_2026_results.pdf</t>
        </is>
      </c>
      <c r="H452" s="23" t="n">
        <v>30</v>
      </c>
      <c r="I452" s="5" t="inlineStr">
        <is>
          <t>3 Capacité</t>
        </is>
      </c>
      <c r="J452" s="22" t="inlineStr">
        <is>
          <t>https://www.veolia.com/sites/g/files/dvc4206/files/document/2026/07/Veolia_Finance_presentation_H1_2026_results.pdf</t>
        </is>
      </c>
      <c r="K452" s="22" t="inlineStr">
        <is>
          <t>2026-09-22</t>
        </is>
      </c>
      <c r="L452" s="24" t="inlineStr">
        <is>
          <t>à relire</t>
        </is>
      </c>
    </row>
    <row r="453">
      <c r="A453" s="25" t="inlineStr">
        <is>
          <t>F448</t>
        </is>
      </c>
      <c r="B453" s="26" t="inlineStr">
        <is>
          <t>Chiffre d'affaires du groupe (IFRS 8.33)</t>
        </is>
      </c>
      <c r="C453" s="31" t="n">
        <v>44396</v>
      </c>
      <c r="D453" s="26" t="inlineStr">
        <is>
          <t>M EUR</t>
        </is>
      </c>
      <c r="E453" s="26" t="inlineStr">
        <is>
          <t>FY2025</t>
        </is>
      </c>
      <c r="F453" s="28" t="inlineStr">
        <is>
          <t>44,396</t>
        </is>
      </c>
      <c r="G453" s="26" t="inlineStr">
        <is>
          <t>01_Financial/finance_veolia_urd_2025_en.pdf</t>
        </is>
      </c>
      <c r="H453" s="29" t="n">
        <v>375</v>
      </c>
      <c r="I453" s="26" t="inlineStr">
        <is>
          <t>3 Capacité</t>
        </is>
      </c>
      <c r="J453" s="28" t="inlineStr">
        <is>
          <t>https://www.veolia.com/sites/g/files/dvc4206/files/document/2026/03/Finance_Veolia_URD_2025_en.pdf</t>
        </is>
      </c>
      <c r="K453" s="28" t="inlineStr">
        <is>
          <t>2026-09-22</t>
        </is>
      </c>
      <c r="L453" s="30" t="inlineStr">
        <is>
          <t>à relire</t>
        </is>
      </c>
    </row>
    <row r="454">
      <c r="A454" s="20" t="inlineStr">
        <is>
          <t>F449</t>
        </is>
      </c>
      <c r="B454" s="5" t="inlineStr">
        <is>
          <t>Chiffre d'affaires du groupe (IFRS 8.33)</t>
        </is>
      </c>
      <c r="C454" s="21" t="n">
        <v>44692</v>
      </c>
      <c r="D454" s="5" t="inlineStr">
        <is>
          <t>M EUR</t>
        </is>
      </c>
      <c r="E454" s="5" t="inlineStr">
        <is>
          <t>FY2024</t>
        </is>
      </c>
      <c r="F454" s="22" t="inlineStr">
        <is>
          <t>44,692</t>
        </is>
      </c>
      <c r="G454" s="5" t="inlineStr">
        <is>
          <t>01_Financial/finance_veolia_urd_2025_en.pdf</t>
        </is>
      </c>
      <c r="H454" s="23" t="n">
        <v>375</v>
      </c>
      <c r="I454" s="5" t="inlineStr">
        <is>
          <t>3 Capacité</t>
        </is>
      </c>
      <c r="J454" s="22" t="inlineStr">
        <is>
          <t>https://www.veolia.com/sites/g/files/dvc4206/files/document/2026/03/Finance_Veolia_URD_2025_en.pdf</t>
        </is>
      </c>
      <c r="K454" s="22" t="inlineStr">
        <is>
          <t>2026-09-22</t>
        </is>
      </c>
      <c r="L454" s="24" t="inlineStr">
        <is>
          <t>à relire</t>
        </is>
      </c>
    </row>
    <row r="455">
      <c r="A455" s="25" t="inlineStr">
        <is>
          <t>F450</t>
        </is>
      </c>
      <c r="B455" s="26" t="inlineStr">
        <is>
          <t>Chiffre d'affaires par pays : France</t>
        </is>
      </c>
      <c r="C455" s="31" t="n">
        <v>8547</v>
      </c>
      <c r="D455" s="26" t="inlineStr">
        <is>
          <t>M EUR</t>
        </is>
      </c>
      <c r="E455" s="26" t="inlineStr">
        <is>
          <t>FY2025</t>
        </is>
      </c>
      <c r="F455" s="28" t="inlineStr">
        <is>
          <t>8,547</t>
        </is>
      </c>
      <c r="G455" s="26" t="inlineStr">
        <is>
          <t>01_Financial/finance_veolia_urd_2025_en.pdf</t>
        </is>
      </c>
      <c r="H455" s="29" t="n">
        <v>375</v>
      </c>
      <c r="I455" s="26" t="inlineStr">
        <is>
          <t>3 Capacité</t>
        </is>
      </c>
      <c r="J455" s="28" t="inlineStr">
        <is>
          <t>https://www.veolia.com/sites/g/files/dvc4206/files/document/2026/03/Finance_Veolia_URD_2025_en.pdf</t>
        </is>
      </c>
      <c r="K455" s="28" t="inlineStr">
        <is>
          <t>2026-09-22</t>
        </is>
      </c>
      <c r="L455" s="30" t="inlineStr">
        <is>
          <t>à relire</t>
        </is>
      </c>
    </row>
    <row r="456">
      <c r="A456" s="20" t="inlineStr">
        <is>
          <t>F451</t>
        </is>
      </c>
      <c r="B456" s="5" t="inlineStr">
        <is>
          <t>Chiffre d'affaires par pays : États-Unis</t>
        </is>
      </c>
      <c r="C456" s="21" t="n">
        <v>4683</v>
      </c>
      <c r="D456" s="5" t="inlineStr">
        <is>
          <t>M EUR</t>
        </is>
      </c>
      <c r="E456" s="5" t="inlineStr">
        <is>
          <t>FY2025</t>
        </is>
      </c>
      <c r="F456" s="22" t="inlineStr">
        <is>
          <t>4,683</t>
        </is>
      </c>
      <c r="G456" s="5" t="inlineStr">
        <is>
          <t>01_Financial/finance_veolia_urd_2025_en.pdf</t>
        </is>
      </c>
      <c r="H456" s="23" t="n">
        <v>375</v>
      </c>
      <c r="I456" s="5" t="inlineStr">
        <is>
          <t>3 Capacité</t>
        </is>
      </c>
      <c r="J456" s="22" t="inlineStr">
        <is>
          <t>https://www.veolia.com/sites/g/files/dvc4206/files/document/2026/03/Finance_Veolia_URD_2025_en.pdf</t>
        </is>
      </c>
      <c r="K456" s="22" t="inlineStr">
        <is>
          <t>2026-09-22</t>
        </is>
      </c>
      <c r="L456" s="24" t="inlineStr">
        <is>
          <t>à relire</t>
        </is>
      </c>
    </row>
    <row r="457">
      <c r="A457" s="25" t="inlineStr">
        <is>
          <t>F452</t>
        </is>
      </c>
      <c r="B457" s="26" t="inlineStr">
        <is>
          <t>Chiffre d'affaires par pays : Allemagne</t>
        </is>
      </c>
      <c r="C457" s="31" t="n">
        <v>3097</v>
      </c>
      <c r="D457" s="26" t="inlineStr">
        <is>
          <t>M EUR</t>
        </is>
      </c>
      <c r="E457" s="26" t="inlineStr">
        <is>
          <t>FY2025</t>
        </is>
      </c>
      <c r="F457" s="28" t="inlineStr">
        <is>
          <t>3,097</t>
        </is>
      </c>
      <c r="G457" s="26" t="inlineStr">
        <is>
          <t>01_Financial/finance_veolia_urd_2025_en.pdf</t>
        </is>
      </c>
      <c r="H457" s="29" t="n">
        <v>375</v>
      </c>
      <c r="I457" s="26" t="inlineStr">
        <is>
          <t>3 Capacité</t>
        </is>
      </c>
      <c r="J457" s="28" t="inlineStr">
        <is>
          <t>https://www.veolia.com/sites/g/files/dvc4206/files/document/2026/03/Finance_Veolia_URD_2025_en.pdf</t>
        </is>
      </c>
      <c r="K457" s="28" t="inlineStr">
        <is>
          <t>2026-09-22</t>
        </is>
      </c>
      <c r="L457" s="30" t="inlineStr">
        <is>
          <t>à relire</t>
        </is>
      </c>
    </row>
    <row r="458">
      <c r="A458" s="20" t="inlineStr">
        <is>
          <t>F453</t>
        </is>
      </c>
      <c r="B458" s="5" t="inlineStr">
        <is>
          <t>Chiffre d'affaires par pays : Espagne</t>
        </is>
      </c>
      <c r="C458" s="21" t="n">
        <v>3035</v>
      </c>
      <c r="D458" s="5" t="inlineStr">
        <is>
          <t>M EUR</t>
        </is>
      </c>
      <c r="E458" s="5" t="inlineStr">
        <is>
          <t>FY2025</t>
        </is>
      </c>
      <c r="F458" s="22" t="inlineStr">
        <is>
          <t>3,035</t>
        </is>
      </c>
      <c r="G458" s="5" t="inlineStr">
        <is>
          <t>01_Financial/finance_veolia_urd_2025_en.pdf</t>
        </is>
      </c>
      <c r="H458" s="23" t="n">
        <v>375</v>
      </c>
      <c r="I458" s="5" t="inlineStr">
        <is>
          <t>3 Capacité</t>
        </is>
      </c>
      <c r="J458" s="22" t="inlineStr">
        <is>
          <t>https://www.veolia.com/sites/g/files/dvc4206/files/document/2026/03/Finance_Veolia_URD_2025_en.pdf</t>
        </is>
      </c>
      <c r="K458" s="22" t="inlineStr">
        <is>
          <t>2026-09-22</t>
        </is>
      </c>
      <c r="L458" s="24" t="inlineStr">
        <is>
          <t>à relire</t>
        </is>
      </c>
    </row>
    <row r="459">
      <c r="A459" s="25" t="inlineStr">
        <is>
          <t>F454</t>
        </is>
      </c>
      <c r="B459" s="26" t="inlineStr">
        <is>
          <t>Chiffre d'affaires par pays : Pologne</t>
        </is>
      </c>
      <c r="C459" s="31" t="n">
        <v>3007</v>
      </c>
      <c r="D459" s="26" t="inlineStr">
        <is>
          <t>M EUR</t>
        </is>
      </c>
      <c r="E459" s="26" t="inlineStr">
        <is>
          <t>FY2025</t>
        </is>
      </c>
      <c r="F459" s="28" t="inlineStr">
        <is>
          <t>3,007</t>
        </is>
      </c>
      <c r="G459" s="26" t="inlineStr">
        <is>
          <t>01_Financial/finance_veolia_urd_2025_en.pdf</t>
        </is>
      </c>
      <c r="H459" s="29" t="n">
        <v>375</v>
      </c>
      <c r="I459" s="26" t="inlineStr">
        <is>
          <t>3 Capacité</t>
        </is>
      </c>
      <c r="J459" s="28" t="inlineStr">
        <is>
          <t>https://www.veolia.com/sites/g/files/dvc4206/files/document/2026/03/Finance_Veolia_URD_2025_en.pdf</t>
        </is>
      </c>
      <c r="K459" s="28" t="inlineStr">
        <is>
          <t>2026-09-22</t>
        </is>
      </c>
      <c r="L459" s="30" t="inlineStr">
        <is>
          <t>à relire</t>
        </is>
      </c>
    </row>
    <row r="460">
      <c r="A460" s="20" t="inlineStr">
        <is>
          <t>F455</t>
        </is>
      </c>
      <c r="B460" s="5" t="inlineStr">
        <is>
          <t>Chiffre d'affaires par pays : Royaume-Uni</t>
        </is>
      </c>
      <c r="C460" s="21" t="n">
        <v>2978</v>
      </c>
      <c r="D460" s="5" t="inlineStr">
        <is>
          <t>M EUR</t>
        </is>
      </c>
      <c r="E460" s="5" t="inlineStr">
        <is>
          <t>FY2025</t>
        </is>
      </c>
      <c r="F460" s="22" t="inlineStr">
        <is>
          <t>2,978</t>
        </is>
      </c>
      <c r="G460" s="5" t="inlineStr">
        <is>
          <t>01_Financial/finance_veolia_urd_2025_en.pdf</t>
        </is>
      </c>
      <c r="H460" s="23" t="n">
        <v>375</v>
      </c>
      <c r="I460" s="5" t="inlineStr">
        <is>
          <t>3 Capacité</t>
        </is>
      </c>
      <c r="J460" s="22" t="inlineStr">
        <is>
          <t>https://www.veolia.com/sites/g/files/dvc4206/files/document/2026/03/Finance_Veolia_URD_2025_en.pdf</t>
        </is>
      </c>
      <c r="K460" s="22" t="inlineStr">
        <is>
          <t>2026-09-22</t>
        </is>
      </c>
      <c r="L460" s="24" t="inlineStr">
        <is>
          <t>à relire</t>
        </is>
      </c>
    </row>
    <row r="461">
      <c r="A461" s="25" t="inlineStr">
        <is>
          <t>F456</t>
        </is>
      </c>
      <c r="B461" s="26" t="inlineStr">
        <is>
          <t>Chiffre d'affaires par pays : République tchèque</t>
        </is>
      </c>
      <c r="C461" s="31" t="n">
        <v>2165</v>
      </c>
      <c r="D461" s="26" t="inlineStr">
        <is>
          <t>M EUR</t>
        </is>
      </c>
      <c r="E461" s="26" t="inlineStr">
        <is>
          <t>FY2025</t>
        </is>
      </c>
      <c r="F461" s="28" t="inlineStr">
        <is>
          <t>2,165</t>
        </is>
      </c>
      <c r="G461" s="26" t="inlineStr">
        <is>
          <t>01_Financial/finance_veolia_urd_2025_en.pdf</t>
        </is>
      </c>
      <c r="H461" s="29" t="n">
        <v>375</v>
      </c>
      <c r="I461" s="26" t="inlineStr">
        <is>
          <t>3 Capacité</t>
        </is>
      </c>
      <c r="J461" s="28" t="inlineStr">
        <is>
          <t>https://www.veolia.com/sites/g/files/dvc4206/files/document/2026/03/Finance_Veolia_URD_2025_en.pdf</t>
        </is>
      </c>
      <c r="K461" s="28" t="inlineStr">
        <is>
          <t>2026-09-22</t>
        </is>
      </c>
      <c r="L461" s="30" t="inlineStr">
        <is>
          <t>à relire</t>
        </is>
      </c>
    </row>
    <row r="462">
      <c r="A462" s="20" t="inlineStr">
        <is>
          <t>F457</t>
        </is>
      </c>
      <c r="B462" s="5" t="inlineStr">
        <is>
          <t>Chiffre d'affaires par pays : Australie</t>
        </is>
      </c>
      <c r="C462" s="21" t="n">
        <v>2023</v>
      </c>
      <c r="D462" s="5" t="inlineStr">
        <is>
          <t>M EUR</t>
        </is>
      </c>
      <c r="E462" s="5" t="inlineStr">
        <is>
          <t>FY2025</t>
        </is>
      </c>
      <c r="F462" s="22" t="inlineStr">
        <is>
          <t>2,023</t>
        </is>
      </c>
      <c r="G462" s="5" t="inlineStr">
        <is>
          <t>01_Financial/finance_veolia_urd_2025_en.pdf</t>
        </is>
      </c>
      <c r="H462" s="23" t="n">
        <v>375</v>
      </c>
      <c r="I462" s="5" t="inlineStr">
        <is>
          <t>3 Capacité</t>
        </is>
      </c>
      <c r="J462" s="22" t="inlineStr">
        <is>
          <t>https://www.veolia.com/sites/g/files/dvc4206/files/document/2026/03/Finance_Veolia_URD_2025_en.pdf</t>
        </is>
      </c>
      <c r="K462" s="22" t="inlineStr">
        <is>
          <t>2026-09-22</t>
        </is>
      </c>
      <c r="L462" s="24" t="inlineStr">
        <is>
          <t>à relire</t>
        </is>
      </c>
    </row>
    <row r="463">
      <c r="A463" s="25" t="inlineStr">
        <is>
          <t>F458</t>
        </is>
      </c>
      <c r="B463" s="26" t="inlineStr">
        <is>
          <t>Chiffre d'affaires par pays : Italie</t>
        </is>
      </c>
      <c r="C463" s="31" t="n">
        <v>1160</v>
      </c>
      <c r="D463" s="26" t="inlineStr">
        <is>
          <t>M EUR</t>
        </is>
      </c>
      <c r="E463" s="26" t="inlineStr">
        <is>
          <t>FY2025</t>
        </is>
      </c>
      <c r="F463" s="28" t="inlineStr">
        <is>
          <t>1,160</t>
        </is>
      </c>
      <c r="G463" s="26" t="inlineStr">
        <is>
          <t>01_Financial/finance_veolia_urd_2025_en.pdf</t>
        </is>
      </c>
      <c r="H463" s="29" t="n">
        <v>375</v>
      </c>
      <c r="I463" s="26" t="inlineStr">
        <is>
          <t>3 Capacité</t>
        </is>
      </c>
      <c r="J463" s="28" t="inlineStr">
        <is>
          <t>https://www.veolia.com/sites/g/files/dvc4206/files/document/2026/03/Finance_Veolia_URD_2025_en.pdf</t>
        </is>
      </c>
      <c r="K463" s="28" t="inlineStr">
        <is>
          <t>2026-09-22</t>
        </is>
      </c>
      <c r="L463" s="30" t="inlineStr">
        <is>
          <t>à relire</t>
        </is>
      </c>
    </row>
    <row r="464">
      <c r="A464" s="20" t="inlineStr">
        <is>
          <t>F459</t>
        </is>
      </c>
      <c r="B464" s="5" t="inlineStr">
        <is>
          <t>Chiffre d'affaires par pays : Belgique</t>
        </is>
      </c>
      <c r="C464" s="21" t="n">
        <v>1081</v>
      </c>
      <c r="D464" s="5" t="inlineStr">
        <is>
          <t>M EUR</t>
        </is>
      </c>
      <c r="E464" s="5" t="inlineStr">
        <is>
          <t>FY2025</t>
        </is>
      </c>
      <c r="F464" s="22" t="inlineStr">
        <is>
          <t>1,081</t>
        </is>
      </c>
      <c r="G464" s="5" t="inlineStr">
        <is>
          <t>01_Financial/finance_veolia_urd_2025_en.pdf</t>
        </is>
      </c>
      <c r="H464" s="23" t="n">
        <v>375</v>
      </c>
      <c r="I464" s="5" t="inlineStr">
        <is>
          <t>3 Capacité</t>
        </is>
      </c>
      <c r="J464" s="22" t="inlineStr">
        <is>
          <t>https://www.veolia.com/sites/g/files/dvc4206/files/document/2026/03/Finance_Veolia_URD_2025_en.pdf</t>
        </is>
      </c>
      <c r="K464" s="22" t="inlineStr">
        <is>
          <t>2026-09-22</t>
        </is>
      </c>
      <c r="L464" s="24" t="inlineStr">
        <is>
          <t>à relire</t>
        </is>
      </c>
    </row>
    <row r="465">
      <c r="A465" s="25" t="inlineStr">
        <is>
          <t>F460</t>
        </is>
      </c>
      <c r="B465" s="26" t="inlineStr">
        <is>
          <t>Chiffre d'affaires par pays : Belgique</t>
        </is>
      </c>
      <c r="C465" s="31" t="n">
        <v>1084</v>
      </c>
      <c r="D465" s="26" t="inlineStr">
        <is>
          <t>M EUR</t>
        </is>
      </c>
      <c r="E465" s="26" t="inlineStr">
        <is>
          <t>FY2024</t>
        </is>
      </c>
      <c r="F465" s="28" t="inlineStr">
        <is>
          <t>1,084</t>
        </is>
      </c>
      <c r="G465" s="26" t="inlineStr">
        <is>
          <t>01_Financial/finance_veolia_urd_2025_en.pdf</t>
        </is>
      </c>
      <c r="H465" s="29" t="n">
        <v>375</v>
      </c>
      <c r="I465" s="26" t="inlineStr">
        <is>
          <t>3 Capacité</t>
        </is>
      </c>
      <c r="J465" s="28" t="inlineStr">
        <is>
          <t>https://www.veolia.com/sites/g/files/dvc4206/files/document/2026/03/Finance_Veolia_URD_2025_en.pdf</t>
        </is>
      </c>
      <c r="K465" s="28" t="inlineStr">
        <is>
          <t>2026-09-22</t>
        </is>
      </c>
      <c r="L465" s="30" t="inlineStr">
        <is>
          <t>à relire</t>
        </is>
      </c>
    </row>
    <row r="466">
      <c r="A466" s="20" t="inlineStr">
        <is>
          <t>F461</t>
        </is>
      </c>
      <c r="B466" s="5" t="inlineStr">
        <is>
          <t>Chiffre d'affaires par pays : Hongrie</t>
        </is>
      </c>
      <c r="C466" s="21" t="n">
        <v>1070</v>
      </c>
      <c r="D466" s="5" t="inlineStr">
        <is>
          <t>M EUR</t>
        </is>
      </c>
      <c r="E466" s="5" t="inlineStr">
        <is>
          <t>FY2025</t>
        </is>
      </c>
      <c r="F466" s="22" t="inlineStr">
        <is>
          <t>1,070</t>
        </is>
      </c>
      <c r="G466" s="5" t="inlineStr">
        <is>
          <t>01_Financial/finance_veolia_urd_2025_en.pdf</t>
        </is>
      </c>
      <c r="H466" s="23" t="n">
        <v>375</v>
      </c>
      <c r="I466" s="5" t="inlineStr">
        <is>
          <t>3 Capacité</t>
        </is>
      </c>
      <c r="J466" s="22" t="inlineStr">
        <is>
          <t>https://www.veolia.com/sites/g/files/dvc4206/files/document/2026/03/Finance_Veolia_URD_2025_en.pdf</t>
        </is>
      </c>
      <c r="K466" s="22" t="inlineStr">
        <is>
          <t>2026-09-22</t>
        </is>
      </c>
      <c r="L466" s="24" t="inlineStr">
        <is>
          <t>à relire</t>
        </is>
      </c>
    </row>
    <row r="467">
      <c r="A467" s="25" t="inlineStr">
        <is>
          <t>F462</t>
        </is>
      </c>
      <c r="B467" s="26" t="inlineStr">
        <is>
          <t>Chiffre d'affaires par pays : Hongrie</t>
        </is>
      </c>
      <c r="C467" s="31" t="n">
        <v>816</v>
      </c>
      <c r="D467" s="26" t="inlineStr">
        <is>
          <t>M EUR</t>
        </is>
      </c>
      <c r="E467" s="26" t="inlineStr">
        <is>
          <t>FY2024</t>
        </is>
      </c>
      <c r="F467" s="28" t="inlineStr">
        <is>
          <t>816</t>
        </is>
      </c>
      <c r="G467" s="26" t="inlineStr">
        <is>
          <t>01_Financial/finance_veolia_urd_2025_en.pdf</t>
        </is>
      </c>
      <c r="H467" s="29" t="n">
        <v>375</v>
      </c>
      <c r="I467" s="26" t="inlineStr">
        <is>
          <t>3 Capacité</t>
        </is>
      </c>
      <c r="J467" s="28" t="inlineStr">
        <is>
          <t>https://www.veolia.com/sites/g/files/dvc4206/files/document/2026/03/Finance_Veolia_URD_2025_en.pdf</t>
        </is>
      </c>
      <c r="K467" s="28" t="inlineStr">
        <is>
          <t>2026-09-22</t>
        </is>
      </c>
      <c r="L467" s="30" t="inlineStr">
        <is>
          <t>à relire</t>
        </is>
      </c>
    </row>
    <row r="468">
      <c r="A468" s="20" t="inlineStr">
        <is>
          <t>F463</t>
        </is>
      </c>
      <c r="B468" s="5" t="inlineStr">
        <is>
          <t>Chiffre d'affaires par pays : Maroc</t>
        </is>
      </c>
      <c r="C468" s="21" t="n">
        <v>932</v>
      </c>
      <c r="D468" s="5" t="inlineStr">
        <is>
          <t>M EUR</t>
        </is>
      </c>
      <c r="E468" s="5" t="inlineStr">
        <is>
          <t>FY2025</t>
        </is>
      </c>
      <c r="F468" s="22" t="inlineStr">
        <is>
          <t>932</t>
        </is>
      </c>
      <c r="G468" s="5" t="inlineStr">
        <is>
          <t>01_Financial/finance_veolia_urd_2025_en.pdf</t>
        </is>
      </c>
      <c r="H468" s="23" t="n">
        <v>375</v>
      </c>
      <c r="I468" s="5" t="inlineStr">
        <is>
          <t>3 Capacité</t>
        </is>
      </c>
      <c r="J468" s="22" t="inlineStr">
        <is>
          <t>https://www.veolia.com/sites/g/files/dvc4206/files/document/2026/03/Finance_Veolia_URD_2025_en.pdf</t>
        </is>
      </c>
      <c r="K468" s="22" t="inlineStr">
        <is>
          <t>2026-09-22</t>
        </is>
      </c>
      <c r="L468" s="24" t="inlineStr">
        <is>
          <t>à relire</t>
        </is>
      </c>
    </row>
    <row r="469">
      <c r="A469" s="25" t="inlineStr">
        <is>
          <t>F464</t>
        </is>
      </c>
      <c r="B469" s="26" t="inlineStr">
        <is>
          <t>Chiffre d'affaires par pays : Maroc</t>
        </is>
      </c>
      <c r="C469" s="31" t="n">
        <v>1266</v>
      </c>
      <c r="D469" s="26" t="inlineStr">
        <is>
          <t>M EUR</t>
        </is>
      </c>
      <c r="E469" s="26" t="inlineStr">
        <is>
          <t>FY2024</t>
        </is>
      </c>
      <c r="F469" s="28" t="inlineStr">
        <is>
          <t>1,266</t>
        </is>
      </c>
      <c r="G469" s="26" t="inlineStr">
        <is>
          <t>01_Financial/finance_veolia_urd_2025_en.pdf</t>
        </is>
      </c>
      <c r="H469" s="29" t="n">
        <v>375</v>
      </c>
      <c r="I469" s="26" t="inlineStr">
        <is>
          <t>3 Capacité</t>
        </is>
      </c>
      <c r="J469" s="28" t="inlineStr">
        <is>
          <t>https://www.veolia.com/sites/g/files/dvc4206/files/document/2026/03/Finance_Veolia_URD_2025_en.pdf</t>
        </is>
      </c>
      <c r="K469" s="28" t="inlineStr">
        <is>
          <t>2026-09-22</t>
        </is>
      </c>
      <c r="L469" s="30" t="inlineStr">
        <is>
          <t>à relire</t>
        </is>
      </c>
    </row>
    <row r="470">
      <c r="A470" s="20" t="inlineStr">
        <is>
          <t>F465</t>
        </is>
      </c>
      <c r="B470" s="5" t="inlineStr">
        <is>
          <t>Chiffre d'affaires par pays : Chine</t>
        </is>
      </c>
      <c r="C470" s="21" t="n">
        <v>908</v>
      </c>
      <c r="D470" s="5" t="inlineStr">
        <is>
          <t>M EUR</t>
        </is>
      </c>
      <c r="E470" s="5" t="inlineStr">
        <is>
          <t>FY2025</t>
        </is>
      </c>
      <c r="F470" s="22" t="inlineStr">
        <is>
          <t>908</t>
        </is>
      </c>
      <c r="G470" s="5" t="inlineStr">
        <is>
          <t>01_Financial/finance_veolia_urd_2025_en.pdf</t>
        </is>
      </c>
      <c r="H470" s="23" t="n">
        <v>375</v>
      </c>
      <c r="I470" s="5" t="inlineStr">
        <is>
          <t>3 Capacité</t>
        </is>
      </c>
      <c r="J470" s="22" t="inlineStr">
        <is>
          <t>https://www.veolia.com/sites/g/files/dvc4206/files/document/2026/03/Finance_Veolia_URD_2025_en.pdf</t>
        </is>
      </c>
      <c r="K470" s="22" t="inlineStr">
        <is>
          <t>2026-09-22</t>
        </is>
      </c>
      <c r="L470" s="24" t="inlineStr">
        <is>
          <t>à relire</t>
        </is>
      </c>
    </row>
    <row r="471">
      <c r="A471" s="25" t="inlineStr">
        <is>
          <t>F466</t>
        </is>
      </c>
      <c r="B471" s="26" t="inlineStr">
        <is>
          <t>Chiffre d'affaires par pays : Chili</t>
        </is>
      </c>
      <c r="C471" s="31" t="n">
        <v>807</v>
      </c>
      <c r="D471" s="26" t="inlineStr">
        <is>
          <t>M EUR</t>
        </is>
      </c>
      <c r="E471" s="26" t="inlineStr">
        <is>
          <t>FY2025</t>
        </is>
      </c>
      <c r="F471" s="28" t="inlineStr">
        <is>
          <t>807</t>
        </is>
      </c>
      <c r="G471" s="26" t="inlineStr">
        <is>
          <t>01_Financial/finance_veolia_urd_2025_en.pdf</t>
        </is>
      </c>
      <c r="H471" s="29" t="n">
        <v>375</v>
      </c>
      <c r="I471" s="26" t="inlineStr">
        <is>
          <t>3 Capacité</t>
        </is>
      </c>
      <c r="J471" s="28" t="inlineStr">
        <is>
          <t>https://www.veolia.com/sites/g/files/dvc4206/files/document/2026/03/Finance_Veolia_URD_2025_en.pdf</t>
        </is>
      </c>
      <c r="K471" s="28" t="inlineStr">
        <is>
          <t>2026-09-22</t>
        </is>
      </c>
      <c r="L471" s="30" t="inlineStr">
        <is>
          <t>à relire</t>
        </is>
      </c>
    </row>
    <row r="472">
      <c r="A472" s="20" t="inlineStr">
        <is>
          <t>F467</t>
        </is>
      </c>
      <c r="B472" s="5" t="inlineStr">
        <is>
          <t>Chiffre d'affaires par pays : Japon</t>
        </is>
      </c>
      <c r="C472" s="21" t="n">
        <v>609</v>
      </c>
      <c r="D472" s="5" t="inlineStr">
        <is>
          <t>M EUR</t>
        </is>
      </c>
      <c r="E472" s="5" t="inlineStr">
        <is>
          <t>FY2025</t>
        </is>
      </c>
      <c r="F472" s="22" t="inlineStr">
        <is>
          <t>609</t>
        </is>
      </c>
      <c r="G472" s="5" t="inlineStr">
        <is>
          <t>01_Financial/finance_veolia_urd_2025_en.pdf</t>
        </is>
      </c>
      <c r="H472" s="23" t="n">
        <v>375</v>
      </c>
      <c r="I472" s="5" t="inlineStr">
        <is>
          <t>3 Capacité</t>
        </is>
      </c>
      <c r="J472" s="22" t="inlineStr">
        <is>
          <t>https://www.veolia.com/sites/g/files/dvc4206/files/document/2026/03/Finance_Veolia_URD_2025_en.pdf</t>
        </is>
      </c>
      <c r="K472" s="22" t="inlineStr">
        <is>
          <t>2026-09-22</t>
        </is>
      </c>
      <c r="L472" s="24" t="inlineStr">
        <is>
          <t>à relire</t>
        </is>
      </c>
    </row>
    <row r="473">
      <c r="A473" s="25" t="inlineStr">
        <is>
          <t>F468</t>
        </is>
      </c>
      <c r="B473" s="26" t="inlineStr">
        <is>
          <t>Chiffre d'affaires par pays : Hong Kong</t>
        </is>
      </c>
      <c r="C473" s="31" t="n">
        <v>581</v>
      </c>
      <c r="D473" s="26" t="inlineStr">
        <is>
          <t>M EUR</t>
        </is>
      </c>
      <c r="E473" s="26" t="inlineStr">
        <is>
          <t>FY2025</t>
        </is>
      </c>
      <c r="F473" s="28" t="inlineStr">
        <is>
          <t>581</t>
        </is>
      </c>
      <c r="G473" s="26" t="inlineStr">
        <is>
          <t>01_Financial/finance_veolia_urd_2025_en.pdf</t>
        </is>
      </c>
      <c r="H473" s="29" t="n">
        <v>375</v>
      </c>
      <c r="I473" s="26" t="inlineStr">
        <is>
          <t>3 Capacité</t>
        </is>
      </c>
      <c r="J473" s="28" t="inlineStr">
        <is>
          <t>https://www.veolia.com/sites/g/files/dvc4206/files/document/2026/03/Finance_Veolia_URD_2025_en.pdf</t>
        </is>
      </c>
      <c r="K473" s="28" t="inlineStr">
        <is>
          <t>2026-09-22</t>
        </is>
      </c>
      <c r="L473" s="30" t="inlineStr">
        <is>
          <t>à relire</t>
        </is>
      </c>
    </row>
    <row r="474">
      <c r="A474" s="20" t="inlineStr">
        <is>
          <t>F469</t>
        </is>
      </c>
      <c r="B474" s="5" t="inlineStr">
        <is>
          <t>Chiffre d'affaires par pays : Slovaquie</t>
        </is>
      </c>
      <c r="C474" s="21" t="n">
        <v>504</v>
      </c>
      <c r="D474" s="5" t="inlineStr">
        <is>
          <t>M EUR</t>
        </is>
      </c>
      <c r="E474" s="5" t="inlineStr">
        <is>
          <t>FY2025</t>
        </is>
      </c>
      <c r="F474" s="22" t="inlineStr">
        <is>
          <t>504</t>
        </is>
      </c>
      <c r="G474" s="5" t="inlineStr">
        <is>
          <t>01_Financial/finance_veolia_urd_2025_en.pdf</t>
        </is>
      </c>
      <c r="H474" s="23" t="n">
        <v>375</v>
      </c>
      <c r="I474" s="5" t="inlineStr">
        <is>
          <t>3 Capacité</t>
        </is>
      </c>
      <c r="J474" s="22" t="inlineStr">
        <is>
          <t>https://www.veolia.com/sites/g/files/dvc4206/files/document/2026/03/Finance_Veolia_URD_2025_en.pdf</t>
        </is>
      </c>
      <c r="K474" s="22" t="inlineStr">
        <is>
          <t>2026-09-22</t>
        </is>
      </c>
      <c r="L474" s="24" t="inlineStr">
        <is>
          <t>à relire</t>
        </is>
      </c>
    </row>
    <row r="475">
      <c r="A475" s="25" t="inlineStr">
        <is>
          <t>F470</t>
        </is>
      </c>
      <c r="B475" s="26" t="inlineStr">
        <is>
          <t>Chiffre d'affaires par pays : autres pays (moins de 500 M EUR chacun)</t>
        </is>
      </c>
      <c r="C475" s="31" t="n">
        <v>7207</v>
      </c>
      <c r="D475" s="26" t="inlineStr">
        <is>
          <t>M EUR</t>
        </is>
      </c>
      <c r="E475" s="26" t="inlineStr">
        <is>
          <t>FY2025</t>
        </is>
      </c>
      <c r="F475" s="28" t="inlineStr">
        <is>
          <t>7,207</t>
        </is>
      </c>
      <c r="G475" s="26" t="inlineStr">
        <is>
          <t>01_Financial/finance_veolia_urd_2025_en.pdf</t>
        </is>
      </c>
      <c r="H475" s="29" t="n">
        <v>375</v>
      </c>
      <c r="I475" s="26" t="inlineStr">
        <is>
          <t>3 Capacité</t>
        </is>
      </c>
      <c r="J475" s="28" t="inlineStr">
        <is>
          <t>https://www.veolia.com/sites/g/files/dvc4206/files/document/2026/03/Finance_Veolia_URD_2025_en.pdf</t>
        </is>
      </c>
      <c r="K475" s="28" t="inlineStr">
        <is>
          <t>2026-09-22</t>
        </is>
      </c>
      <c r="L475" s="30" t="inlineStr">
        <is>
          <t>à relire</t>
        </is>
      </c>
    </row>
    <row r="476">
      <c r="A476" s="20" t="inlineStr">
        <is>
          <t>F471</t>
        </is>
      </c>
      <c r="B476" s="5" t="inlineStr">
        <is>
          <t>Tuck-ins 2025 (États-Unis, Brésil, Japon) : montant</t>
        </is>
      </c>
      <c r="C476" s="21" t="n">
        <v>370</v>
      </c>
      <c r="D476" s="5" t="inlineStr">
        <is>
          <t>M EUR</t>
        </is>
      </c>
      <c r="E476" s="5" t="inlineStr">
        <is>
          <t>FY2025</t>
        </is>
      </c>
      <c r="F476" s="22" t="inlineStr">
        <is>
          <t>370</t>
        </is>
      </c>
      <c r="G476" s="5" t="inlineStr">
        <is>
          <t>01_Financial/finance_veolia_2025_full_year_results_presentation_0.pdf</t>
        </is>
      </c>
      <c r="H476" s="23" t="n">
        <v>11</v>
      </c>
      <c r="I476" s="5" t="inlineStr">
        <is>
          <t>6 Cibles</t>
        </is>
      </c>
      <c r="J476" s="22" t="inlineStr">
        <is>
          <t>https://www.veolia.com/sites/g/files/dvc4206/files/document/2026/03/Finance_Veolia_2025_full_year_results_presentation_0.pdf</t>
        </is>
      </c>
      <c r="K476" s="22" t="inlineStr">
        <is>
          <t>2026-09-22</t>
        </is>
      </c>
      <c r="L476" s="24" t="inlineStr">
        <is>
          <t>à relire</t>
        </is>
      </c>
    </row>
    <row r="477">
      <c r="A477" s="25" t="inlineStr">
        <is>
          <t>F472</t>
        </is>
      </c>
      <c r="B477" s="26" t="inlineStr">
        <is>
          <t>Tuck-ins 2025 (États-Unis, Brésil, Japon) : multiple moyen VE / EBITDA, environ</t>
        </is>
      </c>
      <c r="C477" s="31" t="n">
        <v>9</v>
      </c>
      <c r="D477" s="26" t="inlineStr">
        <is>
          <t>x</t>
        </is>
      </c>
      <c r="E477" s="26" t="inlineStr">
        <is>
          <t>FY2025</t>
        </is>
      </c>
      <c r="F477" s="28" t="inlineStr">
        <is>
          <t>9</t>
        </is>
      </c>
      <c r="G477" s="26" t="inlineStr">
        <is>
          <t>01_Financial/finance_veolia_2025_full_year_results_presentation_0.pdf</t>
        </is>
      </c>
      <c r="H477" s="29" t="n">
        <v>11</v>
      </c>
      <c r="I477" s="26" t="inlineStr">
        <is>
          <t>6 Cibles</t>
        </is>
      </c>
      <c r="J477" s="28" t="inlineStr">
        <is>
          <t>https://www.veolia.com/sites/g/files/dvc4206/files/document/2026/03/Finance_Veolia_2025_full_year_results_presentation_0.pdf</t>
        </is>
      </c>
      <c r="K477" s="28" t="inlineStr">
        <is>
          <t>2026-09-22</t>
        </is>
      </c>
      <c r="L477" s="30" t="inlineStr">
        <is>
          <t>à relire</t>
        </is>
      </c>
    </row>
    <row r="478">
      <c r="A478" s="20" t="inlineStr">
        <is>
          <t>F473</t>
        </is>
      </c>
      <c r="B478" s="5" t="inlineStr">
        <is>
          <t>WTS, rachat des 30 % : multiple VE / EBITDA 2025e après synergies, environ</t>
        </is>
      </c>
      <c r="C478" s="21" t="n">
        <v>11</v>
      </c>
      <c r="D478" s="5" t="inlineStr">
        <is>
          <t>x</t>
        </is>
      </c>
      <c r="E478" s="5" t="inlineStr">
        <is>
          <t>2025e</t>
        </is>
      </c>
      <c r="F478" s="22" t="inlineStr">
        <is>
          <t>11</t>
        </is>
      </c>
      <c r="G478" s="5" t="inlineStr">
        <is>
          <t>01_Financial/finance_veolia_q1_presentation_2025.pdf</t>
        </is>
      </c>
      <c r="H478" s="23" t="n">
        <v>11</v>
      </c>
      <c r="I478" s="5" t="inlineStr">
        <is>
          <t>6 Cibles</t>
        </is>
      </c>
      <c r="J478" s="22" t="inlineStr">
        <is>
          <t>https://www.veolia.com/sites/g/files/dvc4206/files/document/2025/05/Finance_Veolia_Q1_presentation_2025.pdf</t>
        </is>
      </c>
      <c r="K478" s="22" t="inlineStr">
        <is>
          <t>2026-09-22</t>
        </is>
      </c>
      <c r="L478" s="24" t="inlineStr">
        <is>
          <t>à relire</t>
        </is>
      </c>
    </row>
    <row r="479">
      <c r="A479" s="25" t="inlineStr">
        <is>
          <t>F474</t>
        </is>
      </c>
      <c r="B479" s="26" t="inlineStr">
        <is>
          <t>Stericycle (WM) : valeur d'entreprise, environ</t>
        </is>
      </c>
      <c r="C479" s="27" t="n">
        <v>7.2</v>
      </c>
      <c r="D479" s="26" t="inlineStr">
        <is>
          <t>Md USD</t>
        </is>
      </c>
      <c r="E479" s="26" t="inlineStr">
        <is>
          <t>annonce 06/2024</t>
        </is>
      </c>
      <c r="F479" s="28" t="inlineStr">
        <is>
          <t>7.2</t>
        </is>
      </c>
      <c r="G479" s="26" t="inlineStr">
        <is>
          <t>05_Commercial_Strategy/wm-stericycle-2024-06-03.html</t>
        </is>
      </c>
      <c r="H479" s="29" t="n">
        <v>1</v>
      </c>
      <c r="I479" s="26" t="inlineStr">
        <is>
          <t>6 Cibles</t>
        </is>
      </c>
      <c r="J479" s="28" t="inlineStr">
        <is>
          <t>https://mediaroom.wm.com/2024-06-03-WM-to-Acquire-Stericycle,-a-Leader-in-Medical-Waste-Services,-for-7-2-Billion</t>
        </is>
      </c>
      <c r="K479" s="28" t="inlineStr">
        <is>
          <t>2026-10-06</t>
        </is>
      </c>
      <c r="L479" s="30" t="inlineStr">
        <is>
          <t>à relire</t>
        </is>
      </c>
    </row>
    <row r="480">
      <c r="A480" s="20" t="inlineStr">
        <is>
          <t>F475</t>
        </is>
      </c>
      <c r="B480" s="5" t="inlineStr">
        <is>
          <t>Stericycle (WM) : dette nette comprise dans la valeur d'entreprise, environ</t>
        </is>
      </c>
      <c r="C480" s="32" t="n">
        <v>1.4</v>
      </c>
      <c r="D480" s="5" t="inlineStr">
        <is>
          <t>Md USD</t>
        </is>
      </c>
      <c r="E480" s="5" t="inlineStr">
        <is>
          <t>annonce 06/2024</t>
        </is>
      </c>
      <c r="F480" s="22" t="inlineStr">
        <is>
          <t>1.4</t>
        </is>
      </c>
      <c r="G480" s="5" t="inlineStr">
        <is>
          <t>05_Commercial_Strategy/wm-stericycle-2024-06-03.html</t>
        </is>
      </c>
      <c r="H480" s="23" t="n">
        <v>1</v>
      </c>
      <c r="I480" s="5" t="inlineStr">
        <is>
          <t>6 Cibles</t>
        </is>
      </c>
      <c r="J480" s="22" t="inlineStr">
        <is>
          <t>https://mediaroom.wm.com/2024-06-03-WM-to-Acquire-Stericycle,-a-Leader-in-Medical-Waste-Services,-for-7-2-Billion</t>
        </is>
      </c>
      <c r="K480" s="22" t="inlineStr">
        <is>
          <t>2026-10-06</t>
        </is>
      </c>
      <c r="L480" s="24" t="inlineStr">
        <is>
          <t>à relire</t>
        </is>
      </c>
    </row>
    <row r="481">
      <c r="A481" s="25" t="inlineStr">
        <is>
          <t>F476</t>
        </is>
      </c>
      <c r="B481" s="26" t="inlineStr">
        <is>
          <t>Stericycle (WM) : prix par action</t>
        </is>
      </c>
      <c r="C481" s="31" t="n">
        <v>62</v>
      </c>
      <c r="D481" s="26" t="inlineStr">
        <is>
          <t>USD</t>
        </is>
      </c>
      <c r="E481" s="26" t="inlineStr">
        <is>
          <t>annonce 06/2024</t>
        </is>
      </c>
      <c r="F481" s="28" t="inlineStr">
        <is>
          <t>62.00</t>
        </is>
      </c>
      <c r="G481" s="26" t="inlineStr">
        <is>
          <t>05_Commercial_Strategy/wm-stericycle-2024-06-03.html</t>
        </is>
      </c>
      <c r="H481" s="29" t="n">
        <v>1</v>
      </c>
      <c r="I481" s="26" t="inlineStr">
        <is>
          <t>6 Cibles</t>
        </is>
      </c>
      <c r="J481" s="28" t="inlineStr">
        <is>
          <t>https://mediaroom.wm.com/2024-06-03-WM-to-Acquire-Stericycle,-a-Leader-in-Medical-Waste-Services,-for-7-2-Billion</t>
        </is>
      </c>
      <c r="K481" s="28" t="inlineStr">
        <is>
          <t>2026-10-06</t>
        </is>
      </c>
      <c r="L481" s="30" t="inlineStr">
        <is>
          <t>à relire</t>
        </is>
      </c>
    </row>
    <row r="482">
      <c r="A482" s="20" t="inlineStr">
        <is>
          <t>F477</t>
        </is>
      </c>
      <c r="B482" s="5" t="inlineStr">
        <is>
          <t>Stericycle (WM) : synergies annuelles attendues, plus de</t>
        </is>
      </c>
      <c r="C482" s="21" t="n">
        <v>125</v>
      </c>
      <c r="D482" s="5" t="inlineStr">
        <is>
          <t>M USD</t>
        </is>
      </c>
      <c r="E482" s="5" t="inlineStr">
        <is>
          <t>régime de croisière</t>
        </is>
      </c>
      <c r="F482" s="22" t="inlineStr">
        <is>
          <t>125</t>
        </is>
      </c>
      <c r="G482" s="5" t="inlineStr">
        <is>
          <t>05_Commercial_Strategy/wm-stericycle-2024-06-03.html</t>
        </is>
      </c>
      <c r="H482" s="23" t="n">
        <v>1</v>
      </c>
      <c r="I482" s="5" t="inlineStr">
        <is>
          <t>6 Cibles</t>
        </is>
      </c>
      <c r="J482" s="22" t="inlineStr">
        <is>
          <t>https://mediaroom.wm.com/2024-06-03-WM-to-Acquire-Stericycle,-a-Leader-in-Medical-Waste-Services,-for-7-2-Billion</t>
        </is>
      </c>
      <c r="K482" s="22" t="inlineStr">
        <is>
          <t>2026-10-06</t>
        </is>
      </c>
      <c r="L482" s="24" t="inlineStr">
        <is>
          <t>à relire</t>
        </is>
      </c>
    </row>
    <row r="483">
      <c r="A483" s="25" t="inlineStr">
        <is>
          <t>F478</t>
        </is>
      </c>
      <c r="B483" s="26" t="inlineStr">
        <is>
          <t>HEPACO (Clean Harbors) : prix d'acquisition</t>
        </is>
      </c>
      <c r="C483" s="31" t="n">
        <v>400</v>
      </c>
      <c r="D483" s="26" t="inlineStr">
        <is>
          <t>M USD</t>
        </is>
      </c>
      <c r="E483" s="26" t="inlineStr">
        <is>
          <t>03/2024</t>
        </is>
      </c>
      <c r="F483" s="28" t="inlineStr">
        <is>
          <t>400</t>
        </is>
      </c>
      <c r="G483" s="26" t="inlineStr">
        <is>
          <t>05_Commercial_Strategy/clean-harbors-hepaco-2024-03-25.html</t>
        </is>
      </c>
      <c r="H483" s="29" t="n">
        <v>1</v>
      </c>
      <c r="I483" s="26" t="inlineStr">
        <is>
          <t>6 Cibles</t>
        </is>
      </c>
      <c r="J483" s="28" t="inlineStr">
        <is>
          <t>https://www.cleanharbors.com/2024/clean-harbors-completes-acquisition-of-hepaco</t>
        </is>
      </c>
      <c r="K483" s="28" t="inlineStr">
        <is>
          <t>2026-10-06</t>
        </is>
      </c>
      <c r="L483" s="30" t="inlineStr">
        <is>
          <t>à relire</t>
        </is>
      </c>
    </row>
    <row r="484">
      <c r="A484" s="20" t="inlineStr">
        <is>
          <t>F479</t>
        </is>
      </c>
      <c r="B484" s="5" t="inlineStr">
        <is>
          <t>HEPACO (Clean Harbors) : EBITDA ajusté 2023, environ</t>
        </is>
      </c>
      <c r="C484" s="21" t="n">
        <v>36</v>
      </c>
      <c r="D484" s="5" t="inlineStr">
        <is>
          <t>M USD</t>
        </is>
      </c>
      <c r="E484" s="5" t="inlineStr">
        <is>
          <t>FY2023</t>
        </is>
      </c>
      <c r="F484" s="22" t="inlineStr">
        <is>
          <t>36</t>
        </is>
      </c>
      <c r="G484" s="5" t="inlineStr">
        <is>
          <t>05_Commercial_Strategy/clean-harbors-hepaco-2024-03-25.html</t>
        </is>
      </c>
      <c r="H484" s="23" t="n">
        <v>1</v>
      </c>
      <c r="I484" s="5" t="inlineStr">
        <is>
          <t>6 Cibles</t>
        </is>
      </c>
      <c r="J484" s="22" t="inlineStr">
        <is>
          <t>https://www.cleanharbors.com/2024/clean-harbors-completes-acquisition-of-hepaco</t>
        </is>
      </c>
      <c r="K484" s="22" t="inlineStr">
        <is>
          <t>2026-10-06</t>
        </is>
      </c>
      <c r="L484" s="24" t="inlineStr">
        <is>
          <t>à relire</t>
        </is>
      </c>
    </row>
    <row r="485">
      <c r="A485" s="25" t="inlineStr">
        <is>
          <t>F480</t>
        </is>
      </c>
      <c r="B485" s="26" t="inlineStr">
        <is>
          <t>HEPACO (Clean Harbors) : chiffre d'affaires 2023</t>
        </is>
      </c>
      <c r="C485" s="31" t="n">
        <v>270</v>
      </c>
      <c r="D485" s="26" t="inlineStr">
        <is>
          <t>M USD</t>
        </is>
      </c>
      <c r="E485" s="26" t="inlineStr">
        <is>
          <t>FY2023</t>
        </is>
      </c>
      <c r="F485" s="28" t="inlineStr">
        <is>
          <t>270</t>
        </is>
      </c>
      <c r="G485" s="26" t="inlineStr">
        <is>
          <t>05_Commercial_Strategy/clean-harbors-hepaco-2024-03-25.html</t>
        </is>
      </c>
      <c r="H485" s="29" t="n">
        <v>1</v>
      </c>
      <c r="I485" s="26" t="inlineStr">
        <is>
          <t>6 Cibles</t>
        </is>
      </c>
      <c r="J485" s="28" t="inlineStr">
        <is>
          <t>https://www.cleanharbors.com/2024/clean-harbors-completes-acquisition-of-hepaco</t>
        </is>
      </c>
      <c r="K485" s="28" t="inlineStr">
        <is>
          <t>2026-10-06</t>
        </is>
      </c>
      <c r="L485" s="30" t="inlineStr">
        <is>
          <t>à relire</t>
        </is>
      </c>
    </row>
    <row r="486">
      <c r="A486" s="20" t="inlineStr">
        <is>
          <t>F481</t>
        </is>
      </c>
      <c r="B486" s="5" t="inlineStr">
        <is>
          <t>HEPACO (Clean Harbors) : EBITDA ajusté attendu en 2024, environ</t>
        </is>
      </c>
      <c r="C486" s="21" t="n">
        <v>30</v>
      </c>
      <c r="D486" s="5" t="inlineStr">
        <is>
          <t>M USD</t>
        </is>
      </c>
      <c r="E486" s="5" t="inlineStr">
        <is>
          <t>2024</t>
        </is>
      </c>
      <c r="F486" s="22" t="inlineStr">
        <is>
          <t>30</t>
        </is>
      </c>
      <c r="G486" s="5" t="inlineStr">
        <is>
          <t>05_Commercial_Strategy/clean-harbors-hepaco-2024-03-25.html</t>
        </is>
      </c>
      <c r="H486" s="23" t="n">
        <v>1</v>
      </c>
      <c r="I486" s="5" t="inlineStr">
        <is>
          <t>6 Cibles</t>
        </is>
      </c>
      <c r="J486" s="22" t="inlineStr">
        <is>
          <t>https://www.cleanharbors.com/2024/clean-harbors-completes-acquisition-of-hepaco</t>
        </is>
      </c>
      <c r="K486" s="22" t="inlineStr">
        <is>
          <t>2026-10-06</t>
        </is>
      </c>
      <c r="L486" s="24" t="inlineStr">
        <is>
          <t>à relire</t>
        </is>
      </c>
    </row>
    <row r="487">
      <c r="A487" s="25" t="inlineStr">
        <is>
          <t>F482</t>
        </is>
      </c>
      <c r="B487" s="26" t="inlineStr">
        <is>
          <t>HEPACO (Clean Harbors) : synergies de coûts attendues, environ</t>
        </is>
      </c>
      <c r="C487" s="31" t="n">
        <v>20</v>
      </c>
      <c r="D487" s="26" t="inlineStr">
        <is>
          <t>M USD</t>
        </is>
      </c>
      <c r="E487" s="26" t="inlineStr">
        <is>
          <t>année 1</t>
        </is>
      </c>
      <c r="F487" s="28" t="inlineStr">
        <is>
          <t>20</t>
        </is>
      </c>
      <c r="G487" s="26" t="inlineStr">
        <is>
          <t>05_Commercial_Strategy/clean-harbors-hepaco-2024-03-25.html</t>
        </is>
      </c>
      <c r="H487" s="29" t="n">
        <v>1</v>
      </c>
      <c r="I487" s="26" t="inlineStr">
        <is>
          <t>6 Cibles</t>
        </is>
      </c>
      <c r="J487" s="28" t="inlineStr">
        <is>
          <t>https://www.cleanharbors.com/2024/clean-harbors-completes-acquisition-of-hepaco</t>
        </is>
      </c>
      <c r="K487" s="28" t="inlineStr">
        <is>
          <t>2026-10-06</t>
        </is>
      </c>
      <c r="L487" s="30" t="inlineStr">
        <is>
          <t>à relire</t>
        </is>
      </c>
    </row>
    <row r="488">
      <c r="A488" s="20" t="inlineStr">
        <is>
          <t>F483</t>
        </is>
      </c>
      <c r="B488" s="5" t="inlineStr">
        <is>
          <t>HEPACO (Clean Harbors) : multiple après synergies</t>
        </is>
      </c>
      <c r="C488" s="32" t="n">
        <v>7.1</v>
      </c>
      <c r="D488" s="5" t="inlineStr">
        <is>
          <t>x</t>
        </is>
      </c>
      <c r="E488" s="5" t="inlineStr">
        <is>
          <t>2024</t>
        </is>
      </c>
      <c r="F488" s="22" t="inlineStr">
        <is>
          <t>7.1</t>
        </is>
      </c>
      <c r="G488" s="5" t="inlineStr">
        <is>
          <t>05_Commercial_Strategy/clean-harbors-hepaco-2024-03-25.html</t>
        </is>
      </c>
      <c r="H488" s="23" t="n">
        <v>1</v>
      </c>
      <c r="I488" s="5" t="inlineStr">
        <is>
          <t>6 Cibles</t>
        </is>
      </c>
      <c r="J488" s="22" t="inlineStr">
        <is>
          <t>https://www.cleanharbors.com/2024/clean-harbors-completes-acquisition-of-hepaco</t>
        </is>
      </c>
      <c r="K488" s="22" t="inlineStr">
        <is>
          <t>2026-10-06</t>
        </is>
      </c>
      <c r="L488" s="24" t="inlineStr">
        <is>
          <t>à relire</t>
        </is>
      </c>
    </row>
    <row r="489">
      <c r="A489" s="25" t="inlineStr">
        <is>
          <t>F484</t>
        </is>
      </c>
      <c r="B489" s="26" t="inlineStr">
        <is>
          <t>Covanta (EQT) : valeur de la transaction, dette comprise</t>
        </is>
      </c>
      <c r="C489" s="27" t="n">
        <v>5.3</v>
      </c>
      <c r="D489" s="26" t="inlineStr">
        <is>
          <t>Md USD</t>
        </is>
      </c>
      <c r="E489" s="26" t="inlineStr">
        <is>
          <t>annonce 07/2021</t>
        </is>
      </c>
      <c r="F489" s="28" t="inlineStr">
        <is>
          <t>5.3</t>
        </is>
      </c>
      <c r="G489" s="26" t="inlineStr">
        <is>
          <t>05_Commercial_Strategy/eqt-covanta-2021-07-14.html</t>
        </is>
      </c>
      <c r="H489" s="29" t="n">
        <v>1</v>
      </c>
      <c r="I489" s="26" t="inlineStr">
        <is>
          <t>6 Cibles</t>
        </is>
      </c>
      <c r="J489" s="28" t="inlineStr">
        <is>
          <t>https://www.prnewswire.com/news-releases/eqt-infrastructure-to-acquire-covanta-holding-corporation-a-global-leader-in-waste-to-energy-solutions-for-usd-5-3-billion-301333761.html</t>
        </is>
      </c>
      <c r="K489" s="28" t="inlineStr">
        <is>
          <t>2026-10-06</t>
        </is>
      </c>
      <c r="L489" s="30" t="inlineStr">
        <is>
          <t>à relire</t>
        </is>
      </c>
    </row>
    <row r="490">
      <c r="A490" s="20" t="inlineStr">
        <is>
          <t>F485</t>
        </is>
      </c>
      <c r="B490" s="5" t="inlineStr">
        <is>
          <t>Covanta (EQT) : prix par action</t>
        </is>
      </c>
      <c r="C490" s="32" t="n">
        <v>20.25</v>
      </c>
      <c r="D490" s="5" t="inlineStr">
        <is>
          <t>USD</t>
        </is>
      </c>
      <c r="E490" s="5" t="inlineStr">
        <is>
          <t>annonce 07/2021</t>
        </is>
      </c>
      <c r="F490" s="22" t="inlineStr">
        <is>
          <t>20.25</t>
        </is>
      </c>
      <c r="G490" s="5" t="inlineStr">
        <is>
          <t>05_Commercial_Strategy/eqt-covanta-2021-07-14.html</t>
        </is>
      </c>
      <c r="H490" s="23" t="n">
        <v>1</v>
      </c>
      <c r="I490" s="5" t="inlineStr">
        <is>
          <t>6 Cibles</t>
        </is>
      </c>
      <c r="J490" s="22" t="inlineStr">
        <is>
          <t>https://www.prnewswire.com/news-releases/eqt-infrastructure-to-acquire-covanta-holding-corporation-a-global-leader-in-waste-to-energy-solutions-for-usd-5-3-billion-301333761.html</t>
        </is>
      </c>
      <c r="K490" s="22" t="inlineStr">
        <is>
          <t>2026-10-06</t>
        </is>
      </c>
      <c r="L490" s="24" t="inlineStr">
        <is>
          <t>à relire</t>
        </is>
      </c>
    </row>
    <row r="491">
      <c r="A491" s="25" t="inlineStr">
        <is>
          <t>F486</t>
        </is>
      </c>
      <c r="B491" s="26" t="inlineStr">
        <is>
          <t>Covanta (EQT) : EBITDA ajusté 2021 attendu, bas</t>
        </is>
      </c>
      <c r="C491" s="31" t="n">
        <v>460</v>
      </c>
      <c r="D491" s="26" t="inlineStr">
        <is>
          <t>M USD</t>
        </is>
      </c>
      <c r="E491" s="26" t="inlineStr">
        <is>
          <t>2021e</t>
        </is>
      </c>
      <c r="F491" s="28" t="inlineStr">
        <is>
          <t>460</t>
        </is>
      </c>
      <c r="G491" s="26" t="inlineStr">
        <is>
          <t>05_Commercial_Strategy/eqt-covanta-2021-07-14.html</t>
        </is>
      </c>
      <c r="H491" s="29" t="n">
        <v>1</v>
      </c>
      <c r="I491" s="26" t="inlineStr">
        <is>
          <t>6 Cibles</t>
        </is>
      </c>
      <c r="J491" s="28" t="inlineStr">
        <is>
          <t>https://www.prnewswire.com/news-releases/eqt-infrastructure-to-acquire-covanta-holding-corporation-a-global-leader-in-waste-to-energy-solutions-for-usd-5-3-billion-301333761.html</t>
        </is>
      </c>
      <c r="K491" s="28" t="inlineStr">
        <is>
          <t>2026-10-06</t>
        </is>
      </c>
      <c r="L491" s="30" t="inlineStr">
        <is>
          <t>à relire</t>
        </is>
      </c>
    </row>
    <row r="492">
      <c r="A492" s="20" t="inlineStr">
        <is>
          <t>F487</t>
        </is>
      </c>
      <c r="B492" s="5" t="inlineStr">
        <is>
          <t>Covanta (EQT) : EBITDA ajusté 2021 attendu, haut</t>
        </is>
      </c>
      <c r="C492" s="21" t="n">
        <v>480</v>
      </c>
      <c r="D492" s="5" t="inlineStr">
        <is>
          <t>M USD</t>
        </is>
      </c>
      <c r="E492" s="5" t="inlineStr">
        <is>
          <t>2021e</t>
        </is>
      </c>
      <c r="F492" s="22" t="inlineStr">
        <is>
          <t>480</t>
        </is>
      </c>
      <c r="G492" s="5" t="inlineStr">
        <is>
          <t>05_Commercial_Strategy/eqt-covanta-2021-07-14.html</t>
        </is>
      </c>
      <c r="H492" s="23" t="n">
        <v>1</v>
      </c>
      <c r="I492" s="5" t="inlineStr">
        <is>
          <t>6 Cibles</t>
        </is>
      </c>
      <c r="J492" s="22" t="inlineStr">
        <is>
          <t>https://www.prnewswire.com/news-releases/eqt-infrastructure-to-acquire-covanta-holding-corporation-a-global-leader-in-waste-to-energy-solutions-for-usd-5-3-billion-301333761.html</t>
        </is>
      </c>
      <c r="K492" s="22" t="inlineStr">
        <is>
          <t>2026-10-06</t>
        </is>
      </c>
      <c r="L492" s="24" t="inlineStr">
        <is>
          <t>à relire</t>
        </is>
      </c>
    </row>
    <row r="493">
      <c r="A493" s="25" t="inlineStr">
        <is>
          <t>F488</t>
        </is>
      </c>
      <c r="B493" s="26" t="inlineStr">
        <is>
          <t>Taxonomie 2025 : chiffre d'affaires total</t>
        </is>
      </c>
      <c r="C493" s="27" t="n">
        <v>44.4</v>
      </c>
      <c r="D493" s="26" t="inlineStr">
        <is>
          <t>Md EUR</t>
        </is>
      </c>
      <c r="E493" s="26" t="inlineStr">
        <is>
          <t>FY2025</t>
        </is>
      </c>
      <c r="F493" s="28" t="inlineStr">
        <is>
          <t>44.4</t>
        </is>
      </c>
      <c r="G493" s="26" t="inlineStr">
        <is>
          <t>01_Financial/finance_veolia_urd_2025_en.pdf</t>
        </is>
      </c>
      <c r="H493" s="29" t="n">
        <v>250</v>
      </c>
      <c r="I493" s="26" t="inlineStr">
        <is>
          <t>5 ESG</t>
        </is>
      </c>
      <c r="J493" s="28" t="inlineStr">
        <is>
          <t>https://www.veolia.com/sites/g/files/dvc4206/files/document/2026/03/Finance_Veolia_URD_2025_en.pdf</t>
        </is>
      </c>
      <c r="K493" s="28" t="inlineStr">
        <is>
          <t>2026-09-22</t>
        </is>
      </c>
      <c r="L493" s="30" t="inlineStr">
        <is>
          <t>à relire</t>
        </is>
      </c>
    </row>
    <row r="494">
      <c r="A494" s="20" t="inlineStr">
        <is>
          <t>F489</t>
        </is>
      </c>
      <c r="B494" s="5" t="inlineStr">
        <is>
          <t>Taxonomie 2025 : chiffre d'affaires éligible</t>
        </is>
      </c>
      <c r="C494" s="32" t="n">
        <v>27.8</v>
      </c>
      <c r="D494" s="5" t="inlineStr">
        <is>
          <t>Md EUR</t>
        </is>
      </c>
      <c r="E494" s="5" t="inlineStr">
        <is>
          <t>FY2025</t>
        </is>
      </c>
      <c r="F494" s="22" t="inlineStr">
        <is>
          <t>27.8</t>
        </is>
      </c>
      <c r="G494" s="5" t="inlineStr">
        <is>
          <t>01_Financial/finance_veolia_urd_2025_en.pdf</t>
        </is>
      </c>
      <c r="H494" s="23" t="n">
        <v>250</v>
      </c>
      <c r="I494" s="5" t="inlineStr">
        <is>
          <t>5 ESG</t>
        </is>
      </c>
      <c r="J494" s="22" t="inlineStr">
        <is>
          <t>https://www.veolia.com/sites/g/files/dvc4206/files/document/2026/03/Finance_Veolia_URD_2025_en.pdf</t>
        </is>
      </c>
      <c r="K494" s="22" t="inlineStr">
        <is>
          <t>2026-09-22</t>
        </is>
      </c>
      <c r="L494" s="24" t="inlineStr">
        <is>
          <t>à relire</t>
        </is>
      </c>
    </row>
    <row r="495">
      <c r="A495" s="25" t="inlineStr">
        <is>
          <t>F490</t>
        </is>
      </c>
      <c r="B495" s="26" t="inlineStr">
        <is>
          <t>Taxonomie 2025 : chiffre d'affaires éligible et aligné</t>
        </is>
      </c>
      <c r="C495" s="27" t="n">
        <v>20.3</v>
      </c>
      <c r="D495" s="26" t="inlineStr">
        <is>
          <t>Md EUR</t>
        </is>
      </c>
      <c r="E495" s="26" t="inlineStr">
        <is>
          <t>FY2025</t>
        </is>
      </c>
      <c r="F495" s="28" t="inlineStr">
        <is>
          <t>20.3</t>
        </is>
      </c>
      <c r="G495" s="26" t="inlineStr">
        <is>
          <t>01_Financial/finance_veolia_urd_2025_en.pdf</t>
        </is>
      </c>
      <c r="H495" s="29" t="n">
        <v>250</v>
      </c>
      <c r="I495" s="26" t="inlineStr">
        <is>
          <t>5 ESG</t>
        </is>
      </c>
      <c r="J495" s="28" t="inlineStr">
        <is>
          <t>https://www.veolia.com/sites/g/files/dvc4206/files/document/2026/03/Finance_Veolia_URD_2025_en.pdf</t>
        </is>
      </c>
      <c r="K495" s="28" t="inlineStr">
        <is>
          <t>2026-09-22</t>
        </is>
      </c>
      <c r="L495" s="30" t="inlineStr">
        <is>
          <t>à relire</t>
        </is>
      </c>
    </row>
    <row r="496">
      <c r="A496" s="20" t="inlineStr">
        <is>
          <t>F491</t>
        </is>
      </c>
      <c r="B496" s="5" t="inlineStr">
        <is>
          <t>Taxonomie 2025 : capex total</t>
        </is>
      </c>
      <c r="C496" s="32" t="n">
        <v>4.5</v>
      </c>
      <c r="D496" s="5" t="inlineStr">
        <is>
          <t>Md EUR</t>
        </is>
      </c>
      <c r="E496" s="5" t="inlineStr">
        <is>
          <t>FY2025</t>
        </is>
      </c>
      <c r="F496" s="22" t="inlineStr">
        <is>
          <t>4.5</t>
        </is>
      </c>
      <c r="G496" s="5" t="inlineStr">
        <is>
          <t>01_Financial/finance_veolia_urd_2025_en.pdf</t>
        </is>
      </c>
      <c r="H496" s="23" t="n">
        <v>250</v>
      </c>
      <c r="I496" s="5" t="inlineStr">
        <is>
          <t>5 ESG</t>
        </is>
      </c>
      <c r="J496" s="22" t="inlineStr">
        <is>
          <t>https://www.veolia.com/sites/g/files/dvc4206/files/document/2026/03/Finance_Veolia_URD_2025_en.pdf</t>
        </is>
      </c>
      <c r="K496" s="22" t="inlineStr">
        <is>
          <t>2026-09-22</t>
        </is>
      </c>
      <c r="L496" s="24" t="inlineStr">
        <is>
          <t>à relire</t>
        </is>
      </c>
    </row>
    <row r="497">
      <c r="A497" s="25" t="inlineStr">
        <is>
          <t>F492</t>
        </is>
      </c>
      <c r="B497" s="26" t="inlineStr">
        <is>
          <t>Taxonomie 2025 : capex éligible</t>
        </is>
      </c>
      <c r="C497" s="31" t="n">
        <v>3</v>
      </c>
      <c r="D497" s="26" t="inlineStr">
        <is>
          <t>Md EUR</t>
        </is>
      </c>
      <c r="E497" s="26" t="inlineStr">
        <is>
          <t>FY2025</t>
        </is>
      </c>
      <c r="F497" s="28" t="inlineStr">
        <is>
          <t>3.0</t>
        </is>
      </c>
      <c r="G497" s="26" t="inlineStr">
        <is>
          <t>01_Financial/finance_veolia_urd_2025_en.pdf</t>
        </is>
      </c>
      <c r="H497" s="29" t="n">
        <v>250</v>
      </c>
      <c r="I497" s="26" t="inlineStr">
        <is>
          <t>5 ESG</t>
        </is>
      </c>
      <c r="J497" s="28" t="inlineStr">
        <is>
          <t>https://www.veolia.com/sites/g/files/dvc4206/files/document/2026/03/Finance_Veolia_URD_2025_en.pdf</t>
        </is>
      </c>
      <c r="K497" s="28" t="inlineStr">
        <is>
          <t>2026-09-22</t>
        </is>
      </c>
      <c r="L497" s="30" t="inlineStr">
        <is>
          <t>à relire</t>
        </is>
      </c>
    </row>
    <row r="498">
      <c r="A498" s="20" t="inlineStr">
        <is>
          <t>F493</t>
        </is>
      </c>
      <c r="B498" s="5" t="inlineStr">
        <is>
          <t>Taxonomie 2025 : capex éligible et aligné</t>
        </is>
      </c>
      <c r="C498" s="32" t="n">
        <v>2.1</v>
      </c>
      <c r="D498" s="5" t="inlineStr">
        <is>
          <t>Md EUR</t>
        </is>
      </c>
      <c r="E498" s="5" t="inlineStr">
        <is>
          <t>FY2025</t>
        </is>
      </c>
      <c r="F498" s="22" t="inlineStr">
        <is>
          <t>2.1</t>
        </is>
      </c>
      <c r="G498" s="5" t="inlineStr">
        <is>
          <t>01_Financial/finance_veolia_urd_2025_en.pdf</t>
        </is>
      </c>
      <c r="H498" s="23" t="n">
        <v>250</v>
      </c>
      <c r="I498" s="5" t="inlineStr">
        <is>
          <t>5 ESG</t>
        </is>
      </c>
      <c r="J498" s="22" t="inlineStr">
        <is>
          <t>https://www.veolia.com/sites/g/files/dvc4206/files/document/2026/03/Finance_Veolia_URD_2025_en.pdf</t>
        </is>
      </c>
      <c r="K498" s="22" t="inlineStr">
        <is>
          <t>2026-09-22</t>
        </is>
      </c>
      <c r="L498" s="24" t="inlineStr">
        <is>
          <t>à relire</t>
        </is>
      </c>
    </row>
    <row r="499">
      <c r="A499" s="25" t="inlineStr">
        <is>
          <t>F494</t>
        </is>
      </c>
      <c r="B499" s="26" t="inlineStr">
        <is>
          <t>Taxonomie 2024 : capex total</t>
        </is>
      </c>
      <c r="C499" s="27" t="n">
        <v>4.1</v>
      </c>
      <c r="D499" s="26" t="inlineStr">
        <is>
          <t>Md EUR</t>
        </is>
      </c>
      <c r="E499" s="26" t="inlineStr">
        <is>
          <t>FY2024</t>
        </is>
      </c>
      <c r="F499" s="28" t="inlineStr">
        <is>
          <t>4.1</t>
        </is>
      </c>
      <c r="G499" s="26" t="inlineStr">
        <is>
          <t>01_Financial/finance_veolia_urd_2025_en.pdf</t>
        </is>
      </c>
      <c r="H499" s="29" t="n">
        <v>250</v>
      </c>
      <c r="I499" s="26" t="inlineStr">
        <is>
          <t>5 ESG</t>
        </is>
      </c>
      <c r="J499" s="28" t="inlineStr">
        <is>
          <t>https://www.veolia.com/sites/g/files/dvc4206/files/document/2026/03/Finance_Veolia_URD_2025_en.pdf</t>
        </is>
      </c>
      <c r="K499" s="28" t="inlineStr">
        <is>
          <t>2026-09-22</t>
        </is>
      </c>
      <c r="L499" s="30" t="inlineStr">
        <is>
          <t>à relire</t>
        </is>
      </c>
    </row>
    <row r="500">
      <c r="A500" s="20" t="inlineStr">
        <is>
          <t>F495</t>
        </is>
      </c>
      <c r="B500" s="5" t="inlineStr">
        <is>
          <t>Taxonomie 2024 : capex éligible</t>
        </is>
      </c>
      <c r="C500" s="32" t="n">
        <v>2.6</v>
      </c>
      <c r="D500" s="5" t="inlineStr">
        <is>
          <t>Md EUR</t>
        </is>
      </c>
      <c r="E500" s="5" t="inlineStr">
        <is>
          <t>FY2024</t>
        </is>
      </c>
      <c r="F500" s="22" t="inlineStr">
        <is>
          <t>2.6</t>
        </is>
      </c>
      <c r="G500" s="5" t="inlineStr">
        <is>
          <t>01_Financial/finance_veolia_urd_2025_en.pdf</t>
        </is>
      </c>
      <c r="H500" s="23" t="n">
        <v>250</v>
      </c>
      <c r="I500" s="5" t="inlineStr">
        <is>
          <t>5 ESG</t>
        </is>
      </c>
      <c r="J500" s="22" t="inlineStr">
        <is>
          <t>https://www.veolia.com/sites/g/files/dvc4206/files/document/2026/03/Finance_Veolia_URD_2025_en.pdf</t>
        </is>
      </c>
      <c r="K500" s="22" t="inlineStr">
        <is>
          <t>2026-09-22</t>
        </is>
      </c>
      <c r="L500" s="24" t="inlineStr">
        <is>
          <t>à relire</t>
        </is>
      </c>
    </row>
    <row r="501">
      <c r="A501" s="25" t="inlineStr">
        <is>
          <t>F496</t>
        </is>
      </c>
      <c r="B501" s="26" t="inlineStr">
        <is>
          <t>Taxonomie 2024 : capex éligible et aligné</t>
        </is>
      </c>
      <c r="C501" s="27" t="n">
        <v>1.8</v>
      </c>
      <c r="D501" s="26" t="inlineStr">
        <is>
          <t>Md EUR</t>
        </is>
      </c>
      <c r="E501" s="26" t="inlineStr">
        <is>
          <t>FY2024</t>
        </is>
      </c>
      <c r="F501" s="28" t="inlineStr">
        <is>
          <t>1.8</t>
        </is>
      </c>
      <c r="G501" s="26" t="inlineStr">
        <is>
          <t>01_Financial/finance_veolia_urd_2025_en.pdf</t>
        </is>
      </c>
      <c r="H501" s="29" t="n">
        <v>250</v>
      </c>
      <c r="I501" s="26" t="inlineStr">
        <is>
          <t>5 ESG</t>
        </is>
      </c>
      <c r="J501" s="28" t="inlineStr">
        <is>
          <t>https://www.veolia.com/sites/g/files/dvc4206/files/document/2026/03/Finance_Veolia_URD_2025_en.pdf</t>
        </is>
      </c>
      <c r="K501" s="28" t="inlineStr">
        <is>
          <t>2026-09-22</t>
        </is>
      </c>
      <c r="L501" s="30" t="inlineStr">
        <is>
          <t>à relire</t>
        </is>
      </c>
    </row>
    <row r="502">
      <c r="A502" s="20" t="inlineStr">
        <is>
          <t>F497</t>
        </is>
      </c>
      <c r="B502" s="5" t="inlineStr">
        <is>
          <t>Taxonomie 2024 : chiffre d'affaires éligible et aligné</t>
        </is>
      </c>
      <c r="C502" s="32" t="n">
        <v>19.7</v>
      </c>
      <c r="D502" s="5" t="inlineStr">
        <is>
          <t>Md EUR</t>
        </is>
      </c>
      <c r="E502" s="5" t="inlineStr">
        <is>
          <t>FY2024</t>
        </is>
      </c>
      <c r="F502" s="22" t="inlineStr">
        <is>
          <t>19.7</t>
        </is>
      </c>
      <c r="G502" s="5" t="inlineStr">
        <is>
          <t>01_Financial/finance_veolia_urd_2025_en.pdf</t>
        </is>
      </c>
      <c r="H502" s="23" t="n">
        <v>250</v>
      </c>
      <c r="I502" s="5" t="inlineStr">
        <is>
          <t>5 ESG</t>
        </is>
      </c>
      <c r="J502" s="22" t="inlineStr">
        <is>
          <t>https://www.veolia.com/sites/g/files/dvc4206/files/document/2026/03/Finance_Veolia_URD_2025_en.pdf</t>
        </is>
      </c>
      <c r="K502" s="22" t="inlineStr">
        <is>
          <t>2026-09-22</t>
        </is>
      </c>
      <c r="L502" s="24" t="inlineStr">
        <is>
          <t>à relire</t>
        </is>
      </c>
    </row>
    <row r="503">
      <c r="A503" s="25" t="inlineStr">
        <is>
          <t>F498</t>
        </is>
      </c>
      <c r="B503" s="26" t="inlineStr">
        <is>
          <t>Taxonomie 2025 : part du capex éligible</t>
        </is>
      </c>
      <c r="C503" s="27" t="n">
        <v>65.7</v>
      </c>
      <c r="D503" s="26" t="inlineStr">
        <is>
          <t>%</t>
        </is>
      </c>
      <c r="E503" s="26" t="inlineStr">
        <is>
          <t>FY2025</t>
        </is>
      </c>
      <c r="F503" s="28" t="inlineStr">
        <is>
          <t>65.7</t>
        </is>
      </c>
      <c r="G503" s="26" t="inlineStr">
        <is>
          <t>01_Financial/finance_veolia_urd_2025_en.pdf</t>
        </is>
      </c>
      <c r="H503" s="29" t="n">
        <v>250</v>
      </c>
      <c r="I503" s="26" t="inlineStr">
        <is>
          <t>5 ESG</t>
        </is>
      </c>
      <c r="J503" s="28" t="inlineStr">
        <is>
          <t>https://www.veolia.com/sites/g/files/dvc4206/files/document/2026/03/Finance_Veolia_URD_2025_en.pdf</t>
        </is>
      </c>
      <c r="K503" s="28" t="inlineStr">
        <is>
          <t>2026-09-22</t>
        </is>
      </c>
      <c r="L503" s="30" t="inlineStr">
        <is>
          <t>à relire</t>
        </is>
      </c>
    </row>
    <row r="504">
      <c r="A504" s="20" t="inlineStr">
        <is>
          <t>F499</t>
        </is>
      </c>
      <c r="B504" s="5" t="inlineStr">
        <is>
          <t>Taxonomie 2025 : part du capex éligible et aligné</t>
        </is>
      </c>
      <c r="C504" s="32" t="n">
        <v>47.2</v>
      </c>
      <c r="D504" s="5" t="inlineStr">
        <is>
          <t>%</t>
        </is>
      </c>
      <c r="E504" s="5" t="inlineStr">
        <is>
          <t>FY2025</t>
        </is>
      </c>
      <c r="F504" s="22" t="inlineStr">
        <is>
          <t>47.2</t>
        </is>
      </c>
      <c r="G504" s="5" t="inlineStr">
        <is>
          <t>01_Financial/finance_veolia_urd_2025_en.pdf</t>
        </is>
      </c>
      <c r="H504" s="23" t="n">
        <v>250</v>
      </c>
      <c r="I504" s="5" t="inlineStr">
        <is>
          <t>5 ESG</t>
        </is>
      </c>
      <c r="J504" s="22" t="inlineStr">
        <is>
          <t>https://www.veolia.com/sites/g/files/dvc4206/files/document/2026/03/Finance_Veolia_URD_2025_en.pdf</t>
        </is>
      </c>
      <c r="K504" s="22" t="inlineStr">
        <is>
          <t>2026-09-22</t>
        </is>
      </c>
      <c r="L504" s="24" t="inlineStr">
        <is>
          <t>à relire</t>
        </is>
      </c>
    </row>
    <row r="505">
      <c r="A505" s="25" t="inlineStr">
        <is>
          <t>F500</t>
        </is>
      </c>
      <c r="B505" s="26" t="inlineStr">
        <is>
          <t>Taxonomie 2025 : part du chiffre d'affaires éligible et aligné</t>
        </is>
      </c>
      <c r="C505" s="27" t="n">
        <v>45.7</v>
      </c>
      <c r="D505" s="26" t="inlineStr">
        <is>
          <t>%</t>
        </is>
      </c>
      <c r="E505" s="26" t="inlineStr">
        <is>
          <t>FY2025</t>
        </is>
      </c>
      <c r="F505" s="28" t="inlineStr">
        <is>
          <t>45.7</t>
        </is>
      </c>
      <c r="G505" s="26" t="inlineStr">
        <is>
          <t>01_Financial/finance_veolia_urd_2025_en.pdf</t>
        </is>
      </c>
      <c r="H505" s="29" t="n">
        <v>250</v>
      </c>
      <c r="I505" s="26" t="inlineStr">
        <is>
          <t>5 ESG</t>
        </is>
      </c>
      <c r="J505" s="28" t="inlineStr">
        <is>
          <t>https://www.veolia.com/sites/g/files/dvc4206/files/document/2026/03/Finance_Veolia_URD_2025_en.pdf</t>
        </is>
      </c>
      <c r="K505" s="28" t="inlineStr">
        <is>
          <t>2026-09-22</t>
        </is>
      </c>
      <c r="L505" s="30" t="inlineStr">
        <is>
          <t>à relire</t>
        </is>
      </c>
    </row>
    <row r="506">
      <c r="A506" s="20" t="inlineStr">
        <is>
          <t>F501</t>
        </is>
      </c>
      <c r="B506" s="5" t="inlineStr">
        <is>
          <t>Taxonomie 2025, eau et assainissement : chiffre d'affaires éligible</t>
        </is>
      </c>
      <c r="C506" s="32" t="n">
        <v>11.4</v>
      </c>
      <c r="D506" s="5" t="inlineStr">
        <is>
          <t>Md EUR</t>
        </is>
      </c>
      <c r="E506" s="5" t="inlineStr">
        <is>
          <t>FY2025</t>
        </is>
      </c>
      <c r="F506" s="22" t="inlineStr">
        <is>
          <t>11.4</t>
        </is>
      </c>
      <c r="G506" s="5" t="inlineStr">
        <is>
          <t>01_Financial/finance_veolia_urd_2025_en.pdf</t>
        </is>
      </c>
      <c r="H506" s="23" t="n">
        <v>250</v>
      </c>
      <c r="I506" s="5" t="inlineStr">
        <is>
          <t>5 ESG</t>
        </is>
      </c>
      <c r="J506" s="22" t="inlineStr">
        <is>
          <t>https://www.veolia.com/sites/g/files/dvc4206/files/document/2026/03/Finance_Veolia_URD_2025_en.pdf</t>
        </is>
      </c>
      <c r="K506" s="22" t="inlineStr">
        <is>
          <t>2026-09-22</t>
        </is>
      </c>
      <c r="L506" s="24" t="inlineStr">
        <is>
          <t>à relire</t>
        </is>
      </c>
    </row>
    <row r="507">
      <c r="A507" s="25" t="inlineStr">
        <is>
          <t>F502</t>
        </is>
      </c>
      <c r="B507" s="26" t="inlineStr">
        <is>
          <t>Taxonomie 2025, eau et assainissement : chiffre d'affaires éligible et aligné</t>
        </is>
      </c>
      <c r="C507" s="27" t="n">
        <v>6.9</v>
      </c>
      <c r="D507" s="26" t="inlineStr">
        <is>
          <t>Md EUR</t>
        </is>
      </c>
      <c r="E507" s="26" t="inlineStr">
        <is>
          <t>FY2025</t>
        </is>
      </c>
      <c r="F507" s="28" t="inlineStr">
        <is>
          <t>6.9</t>
        </is>
      </c>
      <c r="G507" s="26" t="inlineStr">
        <is>
          <t>01_Financial/finance_veolia_urd_2025_en.pdf</t>
        </is>
      </c>
      <c r="H507" s="29" t="n">
        <v>250</v>
      </c>
      <c r="I507" s="26" t="inlineStr">
        <is>
          <t>5 ESG</t>
        </is>
      </c>
      <c r="J507" s="28" t="inlineStr">
        <is>
          <t>https://www.veolia.com/sites/g/files/dvc4206/files/document/2026/03/Finance_Veolia_URD_2025_en.pdf</t>
        </is>
      </c>
      <c r="K507" s="28" t="inlineStr">
        <is>
          <t>2026-09-22</t>
        </is>
      </c>
      <c r="L507" s="30" t="inlineStr">
        <is>
          <t>à relire</t>
        </is>
      </c>
    </row>
    <row r="508">
      <c r="A508" s="20" t="inlineStr">
        <is>
          <t>F503</t>
        </is>
      </c>
      <c r="B508" s="5" t="inlineStr">
        <is>
          <t>Taxonomie 2025, eau et assainissement : capex éligible</t>
        </is>
      </c>
      <c r="C508" s="32" t="n">
        <v>1.4</v>
      </c>
      <c r="D508" s="5" t="inlineStr">
        <is>
          <t>Md EUR</t>
        </is>
      </c>
      <c r="E508" s="5" t="inlineStr">
        <is>
          <t>FY2025</t>
        </is>
      </c>
      <c r="F508" s="22" t="inlineStr">
        <is>
          <t>1.4</t>
        </is>
      </c>
      <c r="G508" s="5" t="inlineStr">
        <is>
          <t>01_Financial/finance_veolia_urd_2025_en.pdf</t>
        </is>
      </c>
      <c r="H508" s="23" t="n">
        <v>250</v>
      </c>
      <c r="I508" s="5" t="inlineStr">
        <is>
          <t>5 ESG</t>
        </is>
      </c>
      <c r="J508" s="22" t="inlineStr">
        <is>
          <t>https://www.veolia.com/sites/g/files/dvc4206/files/document/2026/03/Finance_Veolia_URD_2025_en.pdf</t>
        </is>
      </c>
      <c r="K508" s="22" t="inlineStr">
        <is>
          <t>2026-09-22</t>
        </is>
      </c>
      <c r="L508" s="24" t="inlineStr">
        <is>
          <t>à relire</t>
        </is>
      </c>
    </row>
    <row r="509">
      <c r="A509" s="25" t="inlineStr">
        <is>
          <t>F504</t>
        </is>
      </c>
      <c r="B509" s="26" t="inlineStr">
        <is>
          <t>Taxonomie 2025, eau et assainissement : capex éligible et aligné</t>
        </is>
      </c>
      <c r="C509" s="27" t="n">
        <v>0.8</v>
      </c>
      <c r="D509" s="26" t="inlineStr">
        <is>
          <t>Md EUR</t>
        </is>
      </c>
      <c r="E509" s="26" t="inlineStr">
        <is>
          <t>FY2025</t>
        </is>
      </c>
      <c r="F509" s="28" t="inlineStr">
        <is>
          <t>0.8</t>
        </is>
      </c>
      <c r="G509" s="26" t="inlineStr">
        <is>
          <t>01_Financial/finance_veolia_urd_2025_en.pdf</t>
        </is>
      </c>
      <c r="H509" s="29" t="n">
        <v>250</v>
      </c>
      <c r="I509" s="26" t="inlineStr">
        <is>
          <t>5 ESG</t>
        </is>
      </c>
      <c r="J509" s="28" t="inlineStr">
        <is>
          <t>https://www.veolia.com/sites/g/files/dvc4206/files/document/2026/03/Finance_Veolia_URD_2025_en.pdf</t>
        </is>
      </c>
      <c r="K509" s="28" t="inlineStr">
        <is>
          <t>2026-09-22</t>
        </is>
      </c>
      <c r="L509" s="30" t="inlineStr">
        <is>
          <t>à relire</t>
        </is>
      </c>
    </row>
    <row r="510">
      <c r="A510" s="20" t="inlineStr">
        <is>
          <t>F505</t>
        </is>
      </c>
      <c r="B510" s="5" t="inlineStr">
        <is>
          <t>Taxonomie 2025, collecte et traitement des déchets pour l'économie circulaire (déchets dangereux compris) : chiffre d'affaires éligible</t>
        </is>
      </c>
      <c r="C510" s="32" t="n">
        <v>4.2</v>
      </c>
      <c r="D510" s="5" t="inlineStr">
        <is>
          <t>Md EUR</t>
        </is>
      </c>
      <c r="E510" s="5" t="inlineStr">
        <is>
          <t>FY2025</t>
        </is>
      </c>
      <c r="F510" s="22" t="inlineStr">
        <is>
          <t>4.2</t>
        </is>
      </c>
      <c r="G510" s="5" t="inlineStr">
        <is>
          <t>01_Financial/finance_veolia_urd_2025_en.pdf</t>
        </is>
      </c>
      <c r="H510" s="23" t="n">
        <v>250</v>
      </c>
      <c r="I510" s="5" t="inlineStr">
        <is>
          <t>5 ESG</t>
        </is>
      </c>
      <c r="J510" s="22" t="inlineStr">
        <is>
          <t>https://www.veolia.com/sites/g/files/dvc4206/files/document/2026/03/Finance_Veolia_URD_2025_en.pdf</t>
        </is>
      </c>
      <c r="K510" s="22" t="inlineStr">
        <is>
          <t>2026-09-22</t>
        </is>
      </c>
      <c r="L510" s="24" t="inlineStr">
        <is>
          <t>à relire</t>
        </is>
      </c>
    </row>
    <row r="511">
      <c r="A511" s="25" t="inlineStr">
        <is>
          <t>F506</t>
        </is>
      </c>
      <c r="B511" s="26" t="inlineStr">
        <is>
          <t>Taxonomie 2025, collecte et traitement des déchets pour l'économie circulaire (déchets dangereux compris) : chiffre d'affaires éligible et aligné</t>
        </is>
      </c>
      <c r="C511" s="27" t="n">
        <v>3.6</v>
      </c>
      <c r="D511" s="26" t="inlineStr">
        <is>
          <t>Md EUR</t>
        </is>
      </c>
      <c r="E511" s="26" t="inlineStr">
        <is>
          <t>FY2025</t>
        </is>
      </c>
      <c r="F511" s="28" t="inlineStr">
        <is>
          <t>3.6</t>
        </is>
      </c>
      <c r="G511" s="26" t="inlineStr">
        <is>
          <t>01_Financial/finance_veolia_urd_2025_en.pdf</t>
        </is>
      </c>
      <c r="H511" s="29" t="n">
        <v>250</v>
      </c>
      <c r="I511" s="26" t="inlineStr">
        <is>
          <t>5 ESG</t>
        </is>
      </c>
      <c r="J511" s="28" t="inlineStr">
        <is>
          <t>https://www.veolia.com/sites/g/files/dvc4206/files/document/2026/03/Finance_Veolia_URD_2025_en.pdf</t>
        </is>
      </c>
      <c r="K511" s="28" t="inlineStr">
        <is>
          <t>2026-09-22</t>
        </is>
      </c>
      <c r="L511" s="30" t="inlineStr">
        <is>
          <t>à relire</t>
        </is>
      </c>
    </row>
    <row r="512">
      <c r="A512" s="20" t="inlineStr">
        <is>
          <t>F507</t>
        </is>
      </c>
      <c r="B512" s="5" t="inlineStr">
        <is>
          <t>Taxonomie 2025, collecte et traitement des déchets pour l'économie circulaire (déchets dangereux compris) : capex éligible</t>
        </is>
      </c>
      <c r="C512" s="32" t="n">
        <v>0.4</v>
      </c>
      <c r="D512" s="5" t="inlineStr">
        <is>
          <t>Md EUR</t>
        </is>
      </c>
      <c r="E512" s="5" t="inlineStr">
        <is>
          <t>FY2025</t>
        </is>
      </c>
      <c r="F512" s="22" t="inlineStr">
        <is>
          <t>0.4</t>
        </is>
      </c>
      <c r="G512" s="5" t="inlineStr">
        <is>
          <t>01_Financial/finance_veolia_urd_2025_en.pdf</t>
        </is>
      </c>
      <c r="H512" s="23" t="n">
        <v>250</v>
      </c>
      <c r="I512" s="5" t="inlineStr">
        <is>
          <t>5 ESG</t>
        </is>
      </c>
      <c r="J512" s="22" t="inlineStr">
        <is>
          <t>https://www.veolia.com/sites/g/files/dvc4206/files/document/2026/03/Finance_Veolia_URD_2025_en.pdf</t>
        </is>
      </c>
      <c r="K512" s="22" t="inlineStr">
        <is>
          <t>2026-09-22</t>
        </is>
      </c>
      <c r="L512" s="24" t="inlineStr">
        <is>
          <t>à relire</t>
        </is>
      </c>
    </row>
    <row r="513">
      <c r="A513" s="25" t="inlineStr">
        <is>
          <t>F508</t>
        </is>
      </c>
      <c r="B513" s="26" t="inlineStr">
        <is>
          <t>Taxonomie 2025, collecte et traitement des déchets pour l'économie circulaire (déchets dangereux compris) : capex éligible et aligné</t>
        </is>
      </c>
      <c r="C513" s="27" t="n">
        <v>0.4</v>
      </c>
      <c r="D513" s="26" t="inlineStr">
        <is>
          <t>Md EUR</t>
        </is>
      </c>
      <c r="E513" s="26" t="inlineStr">
        <is>
          <t>FY2025</t>
        </is>
      </c>
      <c r="F513" s="28" t="inlineStr">
        <is>
          <t>0.4</t>
        </is>
      </c>
      <c r="G513" s="26" t="inlineStr">
        <is>
          <t>01_Financial/finance_veolia_urd_2025_en.pdf</t>
        </is>
      </c>
      <c r="H513" s="29" t="n">
        <v>250</v>
      </c>
      <c r="I513" s="26" t="inlineStr">
        <is>
          <t>5 ESG</t>
        </is>
      </c>
      <c r="J513" s="28" t="inlineStr">
        <is>
          <t>https://www.veolia.com/sites/g/files/dvc4206/files/document/2026/03/Finance_Veolia_URD_2025_en.pdf</t>
        </is>
      </c>
      <c r="K513" s="28" t="inlineStr">
        <is>
          <t>2026-09-22</t>
        </is>
      </c>
      <c r="L513" s="30" t="inlineStr">
        <is>
          <t>à relire</t>
        </is>
      </c>
    </row>
    <row r="514">
      <c r="A514" s="20" t="inlineStr">
        <is>
          <t>F509</t>
        </is>
      </c>
      <c r="B514" s="5" t="inlineStr">
        <is>
          <t>Taxonomie 2025, collecte et traitement des déchets dangereux, prévention de la pollution (PPC 2.1, 2.2) : chiffre d'affaires éligible</t>
        </is>
      </c>
      <c r="C514" s="32" t="n">
        <v>2.3</v>
      </c>
      <c r="D514" s="5" t="inlineStr">
        <is>
          <t>Md EUR</t>
        </is>
      </c>
      <c r="E514" s="5" t="inlineStr">
        <is>
          <t>FY2025</t>
        </is>
      </c>
      <c r="F514" s="22" t="inlineStr">
        <is>
          <t>2.3</t>
        </is>
      </c>
      <c r="G514" s="5" t="inlineStr">
        <is>
          <t>01_Financial/finance_veolia_urd_2025_en.pdf</t>
        </is>
      </c>
      <c r="H514" s="23" t="n">
        <v>250</v>
      </c>
      <c r="I514" s="5" t="inlineStr">
        <is>
          <t>5 ESG</t>
        </is>
      </c>
      <c r="J514" s="22" t="inlineStr">
        <is>
          <t>https://www.veolia.com/sites/g/files/dvc4206/files/document/2026/03/Finance_Veolia_URD_2025_en.pdf</t>
        </is>
      </c>
      <c r="K514" s="22" t="inlineStr">
        <is>
          <t>2026-09-22</t>
        </is>
      </c>
      <c r="L514" s="24" t="inlineStr">
        <is>
          <t>à relire</t>
        </is>
      </c>
    </row>
    <row r="515">
      <c r="A515" s="25" t="inlineStr">
        <is>
          <t>F510</t>
        </is>
      </c>
      <c r="B515" s="26" t="inlineStr">
        <is>
          <t>Taxonomie 2025, collecte et traitement des déchets dangereux, prévention de la pollution (PPC 2.1, 2.2) : chiffre d'affaires éligible et aligné</t>
        </is>
      </c>
      <c r="C515" s="27" t="n">
        <v>1.5</v>
      </c>
      <c r="D515" s="26" t="inlineStr">
        <is>
          <t>Md EUR</t>
        </is>
      </c>
      <c r="E515" s="26" t="inlineStr">
        <is>
          <t>FY2025</t>
        </is>
      </c>
      <c r="F515" s="28" t="inlineStr">
        <is>
          <t>1.5</t>
        </is>
      </c>
      <c r="G515" s="26" t="inlineStr">
        <is>
          <t>01_Financial/finance_veolia_urd_2025_en.pdf</t>
        </is>
      </c>
      <c r="H515" s="29" t="n">
        <v>250</v>
      </c>
      <c r="I515" s="26" t="inlineStr">
        <is>
          <t>5 ESG</t>
        </is>
      </c>
      <c r="J515" s="28" t="inlineStr">
        <is>
          <t>https://www.veolia.com/sites/g/files/dvc4206/files/document/2026/03/Finance_Veolia_URD_2025_en.pdf</t>
        </is>
      </c>
      <c r="K515" s="28" t="inlineStr">
        <is>
          <t>2026-09-22</t>
        </is>
      </c>
      <c r="L515" s="30" t="inlineStr">
        <is>
          <t>à relire</t>
        </is>
      </c>
    </row>
    <row r="516">
      <c r="A516" s="20" t="inlineStr">
        <is>
          <t>F511</t>
        </is>
      </c>
      <c r="B516" s="5" t="inlineStr">
        <is>
          <t>Taxonomie 2025, collecte et traitement des déchets dangereux, prévention de la pollution (PPC 2.1, 2.2) : capex éligible</t>
        </is>
      </c>
      <c r="C516" s="32" t="n">
        <v>0.4</v>
      </c>
      <c r="D516" s="5" t="inlineStr">
        <is>
          <t>Md EUR</t>
        </is>
      </c>
      <c r="E516" s="5" t="inlineStr">
        <is>
          <t>FY2025</t>
        </is>
      </c>
      <c r="F516" s="22" t="inlineStr">
        <is>
          <t>0.4</t>
        </is>
      </c>
      <c r="G516" s="5" t="inlineStr">
        <is>
          <t>01_Financial/finance_veolia_urd_2025_en.pdf</t>
        </is>
      </c>
      <c r="H516" s="23" t="n">
        <v>250</v>
      </c>
      <c r="I516" s="5" t="inlineStr">
        <is>
          <t>5 ESG</t>
        </is>
      </c>
      <c r="J516" s="22" t="inlineStr">
        <is>
          <t>https://www.veolia.com/sites/g/files/dvc4206/files/document/2026/03/Finance_Veolia_URD_2025_en.pdf</t>
        </is>
      </c>
      <c r="K516" s="22" t="inlineStr">
        <is>
          <t>2026-09-22</t>
        </is>
      </c>
      <c r="L516" s="24" t="inlineStr">
        <is>
          <t>à relire</t>
        </is>
      </c>
    </row>
    <row r="517">
      <c r="A517" s="25" t="inlineStr">
        <is>
          <t>F512</t>
        </is>
      </c>
      <c r="B517" s="26" t="inlineStr">
        <is>
          <t>Taxonomie 2025, collecte et traitement des déchets dangereux, prévention de la pollution (PPC 2.1, 2.2) : capex éligible et aligné</t>
        </is>
      </c>
      <c r="C517" s="27" t="n">
        <v>0.3</v>
      </c>
      <c r="D517" s="26" t="inlineStr">
        <is>
          <t>Md EUR</t>
        </is>
      </c>
      <c r="E517" s="26" t="inlineStr">
        <is>
          <t>FY2025</t>
        </is>
      </c>
      <c r="F517" s="28" t="inlineStr">
        <is>
          <t>0.3</t>
        </is>
      </c>
      <c r="G517" s="26" t="inlineStr">
        <is>
          <t>01_Financial/finance_veolia_urd_2025_en.pdf</t>
        </is>
      </c>
      <c r="H517" s="29" t="n">
        <v>250</v>
      </c>
      <c r="I517" s="26" t="inlineStr">
        <is>
          <t>5 ESG</t>
        </is>
      </c>
      <c r="J517" s="28" t="inlineStr">
        <is>
          <t>https://www.veolia.com/sites/g/files/dvc4206/files/document/2026/03/Finance_Veolia_URD_2025_en.pdf</t>
        </is>
      </c>
      <c r="K517" s="28" t="inlineStr">
        <is>
          <t>2026-09-22</t>
        </is>
      </c>
      <c r="L517" s="30" t="inlineStr">
        <is>
          <t>à relire</t>
        </is>
      </c>
    </row>
    <row r="518">
      <c r="A518" s="20" t="inlineStr">
        <is>
          <t>F513</t>
        </is>
      </c>
      <c r="B518" s="5" t="inlineStr">
        <is>
          <t>Taxonomie 2025, énergie produite et distribuée : chiffre d'affaires éligible</t>
        </is>
      </c>
      <c r="C518" s="32" t="n">
        <v>6.1</v>
      </c>
      <c r="D518" s="5" t="inlineStr">
        <is>
          <t>Md EUR</t>
        </is>
      </c>
      <c r="E518" s="5" t="inlineStr">
        <is>
          <t>FY2025</t>
        </is>
      </c>
      <c r="F518" s="22" t="inlineStr">
        <is>
          <t>6.1</t>
        </is>
      </c>
      <c r="G518" s="5" t="inlineStr">
        <is>
          <t>01_Financial/finance_veolia_urd_2025_en.pdf</t>
        </is>
      </c>
      <c r="H518" s="23" t="n">
        <v>250</v>
      </c>
      <c r="I518" s="5" t="inlineStr">
        <is>
          <t>5 ESG</t>
        </is>
      </c>
      <c r="J518" s="22" t="inlineStr">
        <is>
          <t>https://www.veolia.com/sites/g/files/dvc4206/files/document/2026/03/Finance_Veolia_URD_2025_en.pdf</t>
        </is>
      </c>
      <c r="K518" s="22" t="inlineStr">
        <is>
          <t>2026-09-22</t>
        </is>
      </c>
      <c r="L518" s="24" t="inlineStr">
        <is>
          <t>à relire</t>
        </is>
      </c>
    </row>
    <row r="519">
      <c r="A519" s="25" t="inlineStr">
        <is>
          <t>F514</t>
        </is>
      </c>
      <c r="B519" s="26" t="inlineStr">
        <is>
          <t>Taxonomie 2025, énergie produite et distribuée : chiffre d'affaires éligible et aligné</t>
        </is>
      </c>
      <c r="C519" s="27" t="n">
        <v>5.1</v>
      </c>
      <c r="D519" s="26" t="inlineStr">
        <is>
          <t>Md EUR</t>
        </is>
      </c>
      <c r="E519" s="26" t="inlineStr">
        <is>
          <t>FY2025</t>
        </is>
      </c>
      <c r="F519" s="28" t="inlineStr">
        <is>
          <t>5.1</t>
        </is>
      </c>
      <c r="G519" s="26" t="inlineStr">
        <is>
          <t>01_Financial/finance_veolia_urd_2025_en.pdf</t>
        </is>
      </c>
      <c r="H519" s="29" t="n">
        <v>250</v>
      </c>
      <c r="I519" s="26" t="inlineStr">
        <is>
          <t>5 ESG</t>
        </is>
      </c>
      <c r="J519" s="28" t="inlineStr">
        <is>
          <t>https://www.veolia.com/sites/g/files/dvc4206/files/document/2026/03/Finance_Veolia_URD_2025_en.pdf</t>
        </is>
      </c>
      <c r="K519" s="28" t="inlineStr">
        <is>
          <t>2026-09-22</t>
        </is>
      </c>
      <c r="L519" s="30" t="inlineStr">
        <is>
          <t>à relire</t>
        </is>
      </c>
    </row>
    <row r="520">
      <c r="A520" s="20" t="inlineStr">
        <is>
          <t>F515</t>
        </is>
      </c>
      <c r="B520" s="5" t="inlineStr">
        <is>
          <t>Taxonomie 2025, énergie produite et distribuée : capex éligible</t>
        </is>
      </c>
      <c r="C520" s="32" t="n">
        <v>0.6</v>
      </c>
      <c r="D520" s="5" t="inlineStr">
        <is>
          <t>Md EUR</t>
        </is>
      </c>
      <c r="E520" s="5" t="inlineStr">
        <is>
          <t>FY2025</t>
        </is>
      </c>
      <c r="F520" s="22" t="inlineStr">
        <is>
          <t>0.6</t>
        </is>
      </c>
      <c r="G520" s="5" t="inlineStr">
        <is>
          <t>01_Financial/finance_veolia_urd_2025_en.pdf</t>
        </is>
      </c>
      <c r="H520" s="23" t="n">
        <v>250</v>
      </c>
      <c r="I520" s="5" t="inlineStr">
        <is>
          <t>5 ESG</t>
        </is>
      </c>
      <c r="J520" s="22" t="inlineStr">
        <is>
          <t>https://www.veolia.com/sites/g/files/dvc4206/files/document/2026/03/Finance_Veolia_URD_2025_en.pdf</t>
        </is>
      </c>
      <c r="K520" s="22" t="inlineStr">
        <is>
          <t>2026-09-22</t>
        </is>
      </c>
      <c r="L520" s="24" t="inlineStr">
        <is>
          <t>à relire</t>
        </is>
      </c>
    </row>
    <row r="521">
      <c r="A521" s="25" t="inlineStr">
        <is>
          <t>F516</t>
        </is>
      </c>
      <c r="B521" s="26" t="inlineStr">
        <is>
          <t>Taxonomie 2025, énergie produite et distribuée : capex éligible et aligné</t>
        </is>
      </c>
      <c r="C521" s="27" t="n">
        <v>0.5</v>
      </c>
      <c r="D521" s="26" t="inlineStr">
        <is>
          <t>Md EUR</t>
        </is>
      </c>
      <c r="E521" s="26" t="inlineStr">
        <is>
          <t>FY2025</t>
        </is>
      </c>
      <c r="F521" s="28" t="inlineStr">
        <is>
          <t>0.5</t>
        </is>
      </c>
      <c r="G521" s="26" t="inlineStr">
        <is>
          <t>01_Financial/finance_veolia_urd_2025_en.pdf</t>
        </is>
      </c>
      <c r="H521" s="29" t="n">
        <v>250</v>
      </c>
      <c r="I521" s="26" t="inlineStr">
        <is>
          <t>5 ESG</t>
        </is>
      </c>
      <c r="J521" s="28" t="inlineStr">
        <is>
          <t>https://www.veolia.com/sites/g/files/dvc4206/files/document/2026/03/Finance_Veolia_URD_2025_en.pdf</t>
        </is>
      </c>
      <c r="K521" s="28" t="inlineStr">
        <is>
          <t>2026-09-22</t>
        </is>
      </c>
      <c r="L521" s="30" t="inlineStr">
        <is>
          <t>à relire</t>
        </is>
      </c>
    </row>
    <row r="522">
      <c r="A522" s="20" t="inlineStr">
        <is>
          <t>F517</t>
        </is>
      </c>
      <c r="B522" s="5" t="inlineStr">
        <is>
          <t>Taxonomie 2025, services énergétiques aux infrastructures : chiffre d'affaires éligible</t>
        </is>
      </c>
      <c r="C522" s="32" t="n">
        <v>3.5</v>
      </c>
      <c r="D522" s="5" t="inlineStr">
        <is>
          <t>Md EUR</t>
        </is>
      </c>
      <c r="E522" s="5" t="inlineStr">
        <is>
          <t>FY2025</t>
        </is>
      </c>
      <c r="F522" s="22" t="inlineStr">
        <is>
          <t>3.5</t>
        </is>
      </c>
      <c r="G522" s="5" t="inlineStr">
        <is>
          <t>01_Financial/finance_veolia_urd_2025_en.pdf</t>
        </is>
      </c>
      <c r="H522" s="23" t="n">
        <v>250</v>
      </c>
      <c r="I522" s="5" t="inlineStr">
        <is>
          <t>5 ESG</t>
        </is>
      </c>
      <c r="J522" s="22" t="inlineStr">
        <is>
          <t>https://www.veolia.com/sites/g/files/dvc4206/files/document/2026/03/Finance_Veolia_URD_2025_en.pdf</t>
        </is>
      </c>
      <c r="K522" s="22" t="inlineStr">
        <is>
          <t>2026-09-22</t>
        </is>
      </c>
      <c r="L522" s="24" t="inlineStr">
        <is>
          <t>à relire</t>
        </is>
      </c>
    </row>
    <row r="523">
      <c r="A523" s="25" t="inlineStr">
        <is>
          <t>F518</t>
        </is>
      </c>
      <c r="B523" s="26" t="inlineStr">
        <is>
          <t>Taxonomie 2025, services énergétiques aux infrastructures : chiffre d'affaires éligible et aligné</t>
        </is>
      </c>
      <c r="C523" s="27" t="n">
        <v>2.8</v>
      </c>
      <c r="D523" s="26" t="inlineStr">
        <is>
          <t>Md EUR</t>
        </is>
      </c>
      <c r="E523" s="26" t="inlineStr">
        <is>
          <t>FY2025</t>
        </is>
      </c>
      <c r="F523" s="28" t="inlineStr">
        <is>
          <t>2.8</t>
        </is>
      </c>
      <c r="G523" s="26" t="inlineStr">
        <is>
          <t>01_Financial/finance_veolia_urd_2025_en.pdf</t>
        </is>
      </c>
      <c r="H523" s="29" t="n">
        <v>250</v>
      </c>
      <c r="I523" s="26" t="inlineStr">
        <is>
          <t>5 ESG</t>
        </is>
      </c>
      <c r="J523" s="28" t="inlineStr">
        <is>
          <t>https://www.veolia.com/sites/g/files/dvc4206/files/document/2026/03/Finance_Veolia_URD_2025_en.pdf</t>
        </is>
      </c>
      <c r="K523" s="28" t="inlineStr">
        <is>
          <t>2026-09-22</t>
        </is>
      </c>
      <c r="L523" s="30" t="inlineStr">
        <is>
          <t>à relire</t>
        </is>
      </c>
    </row>
    <row r="524">
      <c r="A524" s="20" t="inlineStr">
        <is>
          <t>F519</t>
        </is>
      </c>
      <c r="B524" s="5" t="inlineStr">
        <is>
          <t>Taxonomie 2025, services énergétiques aux infrastructures : capex éligible</t>
        </is>
      </c>
      <c r="C524" s="32" t="n">
        <v>0.2</v>
      </c>
      <c r="D524" s="5" t="inlineStr">
        <is>
          <t>Md EUR</t>
        </is>
      </c>
      <c r="E524" s="5" t="inlineStr">
        <is>
          <t>FY2025</t>
        </is>
      </c>
      <c r="F524" s="22" t="inlineStr">
        <is>
          <t>0.2</t>
        </is>
      </c>
      <c r="G524" s="5" t="inlineStr">
        <is>
          <t>01_Financial/finance_veolia_urd_2025_en.pdf</t>
        </is>
      </c>
      <c r="H524" s="23" t="n">
        <v>250</v>
      </c>
      <c r="I524" s="5" t="inlineStr">
        <is>
          <t>5 ESG</t>
        </is>
      </c>
      <c r="J524" s="22" t="inlineStr">
        <is>
          <t>https://www.veolia.com/sites/g/files/dvc4206/files/document/2026/03/Finance_Veolia_URD_2025_en.pdf</t>
        </is>
      </c>
      <c r="K524" s="22" t="inlineStr">
        <is>
          <t>2026-09-22</t>
        </is>
      </c>
      <c r="L524" s="24" t="inlineStr">
        <is>
          <t>à relire</t>
        </is>
      </c>
    </row>
    <row r="525">
      <c r="A525" s="25" t="inlineStr">
        <is>
          <t>F520</t>
        </is>
      </c>
      <c r="B525" s="26" t="inlineStr">
        <is>
          <t>Taxonomie 2025, services énergétiques aux infrastructures : capex éligible et aligné</t>
        </is>
      </c>
      <c r="C525" s="27" t="n">
        <v>0.1</v>
      </c>
      <c r="D525" s="26" t="inlineStr">
        <is>
          <t>Md EUR</t>
        </is>
      </c>
      <c r="E525" s="26" t="inlineStr">
        <is>
          <t>FY2025</t>
        </is>
      </c>
      <c r="F525" s="28" t="inlineStr">
        <is>
          <t>0.1</t>
        </is>
      </c>
      <c r="G525" s="26" t="inlineStr">
        <is>
          <t>01_Financial/finance_veolia_urd_2025_en.pdf</t>
        </is>
      </c>
      <c r="H525" s="29" t="n">
        <v>250</v>
      </c>
      <c r="I525" s="26" t="inlineStr">
        <is>
          <t>5 ESG</t>
        </is>
      </c>
      <c r="J525" s="28" t="inlineStr">
        <is>
          <t>https://www.veolia.com/sites/g/files/dvc4206/files/document/2026/03/Finance_Veolia_URD_2025_en.pdf</t>
        </is>
      </c>
      <c r="K525" s="28" t="inlineStr">
        <is>
          <t>2026-09-22</t>
        </is>
      </c>
      <c r="L525" s="30" t="inlineStr">
        <is>
          <t>à relire</t>
        </is>
      </c>
    </row>
    <row r="526">
      <c r="A526" s="20" t="inlineStr">
        <is>
          <t>F521</t>
        </is>
      </c>
      <c r="B526" s="5" t="inlineStr">
        <is>
          <t>Taxonomie 2025, autres activités éligibles : chiffre d'affaires éligible</t>
        </is>
      </c>
      <c r="C526" s="32" t="n">
        <v>0.4</v>
      </c>
      <c r="D526" s="5" t="inlineStr">
        <is>
          <t>Md EUR</t>
        </is>
      </c>
      <c r="E526" s="5" t="inlineStr">
        <is>
          <t>FY2025</t>
        </is>
      </c>
      <c r="F526" s="22" t="inlineStr">
        <is>
          <t>0.4</t>
        </is>
      </c>
      <c r="G526" s="5" t="inlineStr">
        <is>
          <t>01_Financial/finance_veolia_urd_2025_en.pdf</t>
        </is>
      </c>
      <c r="H526" s="23" t="n">
        <v>250</v>
      </c>
      <c r="I526" s="5" t="inlineStr">
        <is>
          <t>5 ESG</t>
        </is>
      </c>
      <c r="J526" s="22" t="inlineStr">
        <is>
          <t>https://www.veolia.com/sites/g/files/dvc4206/files/document/2026/03/Finance_Veolia_URD_2025_en.pdf</t>
        </is>
      </c>
      <c r="K526" s="22" t="inlineStr">
        <is>
          <t>2026-09-22</t>
        </is>
      </c>
      <c r="L526" s="24" t="inlineStr">
        <is>
          <t>à relire</t>
        </is>
      </c>
    </row>
    <row r="527">
      <c r="A527" s="25" t="inlineStr">
        <is>
          <t>F522</t>
        </is>
      </c>
      <c r="B527" s="26" t="inlineStr">
        <is>
          <t>Taxonomie 2025, autres activités éligibles : chiffre d'affaires éligible et aligné</t>
        </is>
      </c>
      <c r="C527" s="27" t="n">
        <v>0.3</v>
      </c>
      <c r="D527" s="26" t="inlineStr">
        <is>
          <t>Md EUR</t>
        </is>
      </c>
      <c r="E527" s="26" t="inlineStr">
        <is>
          <t>FY2025</t>
        </is>
      </c>
      <c r="F527" s="28" t="inlineStr">
        <is>
          <t>0.3</t>
        </is>
      </c>
      <c r="G527" s="26" t="inlineStr">
        <is>
          <t>01_Financial/finance_veolia_urd_2025_en.pdf</t>
        </is>
      </c>
      <c r="H527" s="29" t="n">
        <v>250</v>
      </c>
      <c r="I527" s="26" t="inlineStr">
        <is>
          <t>5 ESG</t>
        </is>
      </c>
      <c r="J527" s="28" t="inlineStr">
        <is>
          <t>https://www.veolia.com/sites/g/files/dvc4206/files/document/2026/03/Finance_Veolia_URD_2025_en.pdf</t>
        </is>
      </c>
      <c r="K527" s="28" t="inlineStr">
        <is>
          <t>2026-09-22</t>
        </is>
      </c>
      <c r="L527" s="30" t="inlineStr">
        <is>
          <t>à relire</t>
        </is>
      </c>
    </row>
    <row r="528">
      <c r="A528" s="20" t="inlineStr">
        <is>
          <t>F523</t>
        </is>
      </c>
      <c r="B528" s="5" t="inlineStr">
        <is>
          <t>Taxonomie 2025, autres activités éligibles : capex éligible</t>
        </is>
      </c>
      <c r="C528" s="32" t="n">
        <v>0.1</v>
      </c>
      <c r="D528" s="5" t="inlineStr">
        <is>
          <t>Md EUR</t>
        </is>
      </c>
      <c r="E528" s="5" t="inlineStr">
        <is>
          <t>FY2025</t>
        </is>
      </c>
      <c r="F528" s="22" t="inlineStr">
        <is>
          <t>0.1</t>
        </is>
      </c>
      <c r="G528" s="5" t="inlineStr">
        <is>
          <t>01_Financial/finance_veolia_urd_2025_en.pdf</t>
        </is>
      </c>
      <c r="H528" s="23" t="n">
        <v>250</v>
      </c>
      <c r="I528" s="5" t="inlineStr">
        <is>
          <t>5 ESG</t>
        </is>
      </c>
      <c r="J528" s="22" t="inlineStr">
        <is>
          <t>https://www.veolia.com/sites/g/files/dvc4206/files/document/2026/03/Finance_Veolia_URD_2025_en.pdf</t>
        </is>
      </c>
      <c r="K528" s="22" t="inlineStr">
        <is>
          <t>2026-09-22</t>
        </is>
      </c>
      <c r="L528" s="24" t="inlineStr">
        <is>
          <t>à relire</t>
        </is>
      </c>
    </row>
    <row r="529">
      <c r="A529" s="25" t="inlineStr">
        <is>
          <t>F524</t>
        </is>
      </c>
      <c r="B529" s="26" t="inlineStr">
        <is>
          <t>Taxonomie 2025, autres activités éligibles : capex éligible et aligné</t>
        </is>
      </c>
      <c r="C529" s="31" t="n">
        <v>0</v>
      </c>
      <c r="D529" s="26" t="inlineStr">
        <is>
          <t>Md EUR</t>
        </is>
      </c>
      <c r="E529" s="26" t="inlineStr">
        <is>
          <t>FY2025</t>
        </is>
      </c>
      <c r="F529" s="28" t="inlineStr">
        <is>
          <t>0.0</t>
        </is>
      </c>
      <c r="G529" s="26" t="inlineStr">
        <is>
          <t>01_Financial/finance_veolia_urd_2025_en.pdf</t>
        </is>
      </c>
      <c r="H529" s="29" t="n">
        <v>250</v>
      </c>
      <c r="I529" s="26" t="inlineStr">
        <is>
          <t>5 ESG</t>
        </is>
      </c>
      <c r="J529" s="28" t="inlineStr">
        <is>
          <t>https://www.veolia.com/sites/g/files/dvc4206/files/document/2026/03/Finance_Veolia_URD_2025_en.pdf</t>
        </is>
      </c>
      <c r="K529" s="28" t="inlineStr">
        <is>
          <t>2026-09-22</t>
        </is>
      </c>
      <c r="L529" s="30" t="inlineStr">
        <is>
          <t>à relire</t>
        </is>
      </c>
    </row>
    <row r="530">
      <c r="A530" s="20" t="inlineStr">
        <is>
          <t>F525</t>
        </is>
      </c>
      <c r="B530" s="5" t="inlineStr">
        <is>
          <t>US Ecology (Republic Services) : valeur totale, dette nette comprise, environ</t>
        </is>
      </c>
      <c r="C530" s="32" t="n">
        <v>2.2</v>
      </c>
      <c r="D530" s="5" t="inlineStr">
        <is>
          <t>Md USD</t>
        </is>
      </c>
      <c r="E530" s="5" t="inlineStr">
        <is>
          <t>annonce 02/2022</t>
        </is>
      </c>
      <c r="F530" s="22" t="inlineStr">
        <is>
          <t>2.2</t>
        </is>
      </c>
      <c r="G530" s="5" t="inlineStr">
        <is>
          <t>05_Commercial_Strategy/bic-us-ecology-republic-2022.html</t>
        </is>
      </c>
      <c r="H530" s="23" t="n">
        <v>1</v>
      </c>
      <c r="I530" s="5" t="inlineStr">
        <is>
          <t>6 Cibles</t>
        </is>
      </c>
      <c r="J530" s="22" t="inlineStr">
        <is>
          <t>https://www.bicmagazine.com/industry/investment-banking/us-ecology-joins-republic-services/</t>
        </is>
      </c>
      <c r="K530" s="22" t="inlineStr">
        <is>
          <t>2026-10-06</t>
        </is>
      </c>
      <c r="L530" s="24" t="inlineStr">
        <is>
          <t>à relire</t>
        </is>
      </c>
    </row>
    <row r="531">
      <c r="A531" s="25" t="inlineStr">
        <is>
          <t>F526</t>
        </is>
      </c>
      <c r="B531" s="26" t="inlineStr">
        <is>
          <t>US Ecology (Republic Services) : prix par action</t>
        </is>
      </c>
      <c r="C531" s="31" t="n">
        <v>48</v>
      </c>
      <c r="D531" s="26" t="inlineStr">
        <is>
          <t>USD</t>
        </is>
      </c>
      <c r="E531" s="26" t="inlineStr">
        <is>
          <t>annonce 02/2022</t>
        </is>
      </c>
      <c r="F531" s="28" t="inlineStr">
        <is>
          <t>48</t>
        </is>
      </c>
      <c r="G531" s="26" t="inlineStr">
        <is>
          <t>05_Commercial_Strategy/bic-us-ecology-republic-2022.html</t>
        </is>
      </c>
      <c r="H531" s="29" t="n">
        <v>1</v>
      </c>
      <c r="I531" s="26" t="inlineStr">
        <is>
          <t>6 Cibles</t>
        </is>
      </c>
      <c r="J531" s="28" t="inlineStr">
        <is>
          <t>https://www.bicmagazine.com/industry/investment-banking/us-ecology-joins-republic-services/</t>
        </is>
      </c>
      <c r="K531" s="28" t="inlineStr">
        <is>
          <t>2026-10-06</t>
        </is>
      </c>
      <c r="L531" s="30" t="inlineStr">
        <is>
          <t>à relire</t>
        </is>
      </c>
    </row>
    <row r="532">
      <c r="A532" s="20" t="inlineStr">
        <is>
          <t>F527</t>
        </is>
      </c>
      <c r="B532" s="5" t="inlineStr">
        <is>
          <t>US Ecology (Republic Services) : EBITDA ajusté 12 mois</t>
        </is>
      </c>
      <c r="C532" s="21" t="n">
        <v>156</v>
      </c>
      <c r="D532" s="5" t="inlineStr">
        <is>
          <t>M USD</t>
        </is>
      </c>
      <c r="E532" s="5" t="inlineStr">
        <is>
          <t>au 30/09/2021</t>
        </is>
      </c>
      <c r="F532" s="22" t="inlineStr">
        <is>
          <t>156</t>
        </is>
      </c>
      <c r="G532" s="5" t="inlineStr">
        <is>
          <t>05_Commercial_Strategy/bic-us-ecology-republic-2022.html</t>
        </is>
      </c>
      <c r="H532" s="23" t="n">
        <v>1</v>
      </c>
      <c r="I532" s="5" t="inlineStr">
        <is>
          <t>6 Cibles</t>
        </is>
      </c>
      <c r="J532" s="22" t="inlineStr">
        <is>
          <t>https://www.bicmagazine.com/industry/investment-banking/us-ecology-joins-republic-services/</t>
        </is>
      </c>
      <c r="K532" s="22" t="inlineStr">
        <is>
          <t>2026-10-06</t>
        </is>
      </c>
      <c r="L532" s="24" t="inlineStr">
        <is>
          <t>à relire</t>
        </is>
      </c>
    </row>
    <row r="533">
      <c r="A533" s="25" t="inlineStr">
        <is>
          <t>F528</t>
        </is>
      </c>
      <c r="B533" s="26" t="inlineStr">
        <is>
          <t>US Ecology (Republic Services) : chiffre d'affaires 12 mois</t>
        </is>
      </c>
      <c r="C533" s="31" t="n">
        <v>968</v>
      </c>
      <c r="D533" s="26" t="inlineStr">
        <is>
          <t>M USD</t>
        </is>
      </c>
      <c r="E533" s="26" t="inlineStr">
        <is>
          <t>au 30/09/2021</t>
        </is>
      </c>
      <c r="F533" s="28" t="inlineStr">
        <is>
          <t>968</t>
        </is>
      </c>
      <c r="G533" s="26" t="inlineStr">
        <is>
          <t>05_Commercial_Strategy/bic-us-ecology-republic-2022.html</t>
        </is>
      </c>
      <c r="H533" s="29" t="n">
        <v>1</v>
      </c>
      <c r="I533" s="26" t="inlineStr">
        <is>
          <t>6 Cibles</t>
        </is>
      </c>
      <c r="J533" s="28" t="inlineStr">
        <is>
          <t>https://www.bicmagazine.com/industry/investment-banking/us-ecology-joins-republic-services/</t>
        </is>
      </c>
      <c r="K533" s="28" t="inlineStr">
        <is>
          <t>2026-10-06</t>
        </is>
      </c>
      <c r="L533" s="30" t="inlineStr">
        <is>
          <t>à relire</t>
        </is>
      </c>
    </row>
    <row r="534">
      <c r="A534" s="20" t="inlineStr">
        <is>
          <t>F529</t>
        </is>
      </c>
      <c r="B534" s="5" t="inlineStr">
        <is>
          <t>US Ecology (Republic Services) : synergies attendues</t>
        </is>
      </c>
      <c r="C534" s="21" t="n">
        <v>40</v>
      </c>
      <c r="D534" s="5" t="inlineStr">
        <is>
          <t>M USD</t>
        </is>
      </c>
      <c r="E534" s="5" t="inlineStr">
        <is>
          <t>à 3 ans</t>
        </is>
      </c>
      <c r="F534" s="22" t="inlineStr">
        <is>
          <t>40</t>
        </is>
      </c>
      <c r="G534" s="5" t="inlineStr">
        <is>
          <t>05_Commercial_Strategy/bic-us-ecology-republic-2022.html</t>
        </is>
      </c>
      <c r="H534" s="23" t="n">
        <v>1</v>
      </c>
      <c r="I534" s="5" t="inlineStr">
        <is>
          <t>6 Cibles</t>
        </is>
      </c>
      <c r="J534" s="22" t="inlineStr">
        <is>
          <t>https://www.bicmagazine.com/industry/investment-banking/us-ecology-joins-republic-services/</t>
        </is>
      </c>
      <c r="K534" s="22" t="inlineStr">
        <is>
          <t>2026-10-06</t>
        </is>
      </c>
      <c r="L534" s="24" t="inlineStr">
        <is>
          <t>à relire</t>
        </is>
      </c>
    </row>
    <row r="535">
      <c r="A535" s="25" t="inlineStr">
        <is>
          <t>F530</t>
        </is>
      </c>
      <c r="B535" s="26" t="inlineStr">
        <is>
          <t>Moody's, pairs : ACEA, notation et perspective</t>
        </is>
      </c>
      <c r="C535" s="34" t="inlineStr">
        <is>
          <t>Baa1 Stable</t>
        </is>
      </c>
      <c r="D535" s="26" t="inlineStr"/>
      <c r="E535" s="26" t="inlineStr">
        <is>
          <t>05/2026</t>
        </is>
      </c>
      <c r="F535" s="28" t="inlineStr">
        <is>
          <t>Baa1 Stable</t>
        </is>
      </c>
      <c r="G535" s="26" t="inlineStr">
        <is>
          <t>01_Financial/credit_opinion-veolia-environnement-sa-04may2026.pdf</t>
        </is>
      </c>
      <c r="H535" s="29" t="n">
        <v>11</v>
      </c>
      <c r="I535" s="26" t="inlineStr">
        <is>
          <t>2 Contrainte</t>
        </is>
      </c>
      <c r="J535" s="28" t="inlineStr">
        <is>
          <t>https://www.veolia.com/sites/g/files/dvc4206/files/document/2026/05/Credit_Opinion-Veolia-Environnement-SA-04May2026.pdf</t>
        </is>
      </c>
      <c r="K535" s="28" t="inlineStr">
        <is>
          <t>2026-10-02</t>
        </is>
      </c>
      <c r="L535" s="30" t="inlineStr">
        <is>
          <t>à relire</t>
        </is>
      </c>
    </row>
    <row r="536">
      <c r="A536" s="20" t="inlineStr">
        <is>
          <t>F531</t>
        </is>
      </c>
      <c r="B536" s="5" t="inlineStr">
        <is>
          <t>Moody's, pairs : ACEA, EBITDA ajusté</t>
        </is>
      </c>
      <c r="C536" s="21" t="n">
        <v>1415</v>
      </c>
      <c r="D536" s="5" t="inlineStr">
        <is>
          <t>M EUR</t>
        </is>
      </c>
      <c r="E536" s="5" t="inlineStr">
        <is>
          <t>LTM 06/2025</t>
        </is>
      </c>
      <c r="F536" s="22" t="inlineStr">
        <is>
          <t>1,415</t>
        </is>
      </c>
      <c r="G536" s="5" t="inlineStr">
        <is>
          <t>01_Financial/credit_opinion-veolia-environnement-sa-04may2026.pdf</t>
        </is>
      </c>
      <c r="H536" s="23" t="n">
        <v>11</v>
      </c>
      <c r="I536" s="5" t="inlineStr">
        <is>
          <t>2 Contrainte</t>
        </is>
      </c>
      <c r="J536" s="22" t="inlineStr">
        <is>
          <t>https://www.veolia.com/sites/g/files/dvc4206/files/document/2026/05/Credit_Opinion-Veolia-Environnement-SA-04May2026.pdf</t>
        </is>
      </c>
      <c r="K536" s="22" t="inlineStr">
        <is>
          <t>2026-10-02</t>
        </is>
      </c>
      <c r="L536" s="24" t="inlineStr">
        <is>
          <t>à relire</t>
        </is>
      </c>
    </row>
    <row r="537">
      <c r="A537" s="25" t="inlineStr">
        <is>
          <t>F532</t>
        </is>
      </c>
      <c r="B537" s="26" t="inlineStr">
        <is>
          <t>Moody's, pairs : ACEA, FFO / dette nette</t>
        </is>
      </c>
      <c r="C537" s="27" t="n">
        <v>20.3</v>
      </c>
      <c r="D537" s="26" t="inlineStr">
        <is>
          <t>%</t>
        </is>
      </c>
      <c r="E537" s="26" t="inlineStr">
        <is>
          <t>LTM 06/2025</t>
        </is>
      </c>
      <c r="F537" s="28" t="inlineStr">
        <is>
          <t>20.3</t>
        </is>
      </c>
      <c r="G537" s="26" t="inlineStr">
        <is>
          <t>01_Financial/credit_opinion-veolia-environnement-sa-04may2026.pdf</t>
        </is>
      </c>
      <c r="H537" s="29" t="n">
        <v>11</v>
      </c>
      <c r="I537" s="26" t="inlineStr">
        <is>
          <t>2 Contrainte</t>
        </is>
      </c>
      <c r="J537" s="28" t="inlineStr">
        <is>
          <t>https://www.veolia.com/sites/g/files/dvc4206/files/document/2026/05/Credit_Opinion-Veolia-Environnement-SA-04May2026.pdf</t>
        </is>
      </c>
      <c r="K537" s="28" t="inlineStr">
        <is>
          <t>2026-10-02</t>
        </is>
      </c>
      <c r="L537" s="30" t="inlineStr">
        <is>
          <t>à relire</t>
        </is>
      </c>
    </row>
    <row r="538">
      <c r="A538" s="20" t="inlineStr">
        <is>
          <t>F533</t>
        </is>
      </c>
      <c r="B538" s="5" t="inlineStr">
        <is>
          <t>Moody's, pairs : ACEA, RCF / dette nette</t>
        </is>
      </c>
      <c r="C538" s="32" t="n">
        <v>17.5</v>
      </c>
      <c r="D538" s="5" t="inlineStr">
        <is>
          <t>%</t>
        </is>
      </c>
      <c r="E538" s="5" t="inlineStr">
        <is>
          <t>LTM 06/2025</t>
        </is>
      </c>
      <c r="F538" s="22" t="inlineStr">
        <is>
          <t>17.5</t>
        </is>
      </c>
      <c r="G538" s="5" t="inlineStr">
        <is>
          <t>01_Financial/credit_opinion-veolia-environnement-sa-04may2026.pdf</t>
        </is>
      </c>
      <c r="H538" s="23" t="n">
        <v>11</v>
      </c>
      <c r="I538" s="5" t="inlineStr">
        <is>
          <t>2 Contrainte</t>
        </is>
      </c>
      <c r="J538" s="22" t="inlineStr">
        <is>
          <t>https://www.veolia.com/sites/g/files/dvc4206/files/document/2026/05/Credit_Opinion-Veolia-Environnement-SA-04May2026.pdf</t>
        </is>
      </c>
      <c r="K538" s="22" t="inlineStr">
        <is>
          <t>2026-10-02</t>
        </is>
      </c>
      <c r="L538" s="24" t="inlineStr">
        <is>
          <t>à relire</t>
        </is>
      </c>
    </row>
    <row r="539">
      <c r="A539" s="25" t="inlineStr">
        <is>
          <t>F534</t>
        </is>
      </c>
      <c r="B539" s="26" t="inlineStr">
        <is>
          <t>Moody's, pairs : ACEA, dette / EBITDA</t>
        </is>
      </c>
      <c r="C539" s="27" t="n">
        <v>4.2</v>
      </c>
      <c r="D539" s="26" t="inlineStr">
        <is>
          <t>x</t>
        </is>
      </c>
      <c r="E539" s="26" t="inlineStr">
        <is>
          <t>LTM 06/2025</t>
        </is>
      </c>
      <c r="F539" s="28" t="inlineStr">
        <is>
          <t>4.2</t>
        </is>
      </c>
      <c r="G539" s="26" t="inlineStr">
        <is>
          <t>01_Financial/credit_opinion-veolia-environnement-sa-04may2026.pdf</t>
        </is>
      </c>
      <c r="H539" s="29" t="n">
        <v>11</v>
      </c>
      <c r="I539" s="26" t="inlineStr">
        <is>
          <t>2 Contrainte</t>
        </is>
      </c>
      <c r="J539" s="28" t="inlineStr">
        <is>
          <t>https://www.veolia.com/sites/g/files/dvc4206/files/document/2026/05/Credit_Opinion-Veolia-Environnement-SA-04May2026.pdf</t>
        </is>
      </c>
      <c r="K539" s="28" t="inlineStr">
        <is>
          <t>2026-10-02</t>
        </is>
      </c>
      <c r="L539" s="30" t="inlineStr">
        <is>
          <t>à relire</t>
        </is>
      </c>
    </row>
    <row r="540">
      <c r="A540" s="20" t="inlineStr">
        <is>
          <t>F535</t>
        </is>
      </c>
      <c r="B540" s="5" t="inlineStr">
        <is>
          <t>Moody's, pairs : Hera, notation et perspective</t>
        </is>
      </c>
      <c r="C540" s="33" t="inlineStr">
        <is>
          <t>Baa1 Stable</t>
        </is>
      </c>
      <c r="D540" s="5" t="inlineStr"/>
      <c r="E540" s="5" t="inlineStr">
        <is>
          <t>05/2026</t>
        </is>
      </c>
      <c r="F540" s="22" t="inlineStr">
        <is>
          <t>Baa1 Stable</t>
        </is>
      </c>
      <c r="G540" s="5" t="inlineStr">
        <is>
          <t>01_Financial/credit_opinion-veolia-environnement-sa-04may2026.pdf</t>
        </is>
      </c>
      <c r="H540" s="23" t="n">
        <v>11</v>
      </c>
      <c r="I540" s="5" t="inlineStr">
        <is>
          <t>2 Contrainte</t>
        </is>
      </c>
      <c r="J540" s="22" t="inlineStr">
        <is>
          <t>https://www.veolia.com/sites/g/files/dvc4206/files/document/2026/05/Credit_Opinion-Veolia-Environnement-SA-04May2026.pdf</t>
        </is>
      </c>
      <c r="K540" s="22" t="inlineStr">
        <is>
          <t>2026-10-02</t>
        </is>
      </c>
      <c r="L540" s="24" t="inlineStr">
        <is>
          <t>à relire</t>
        </is>
      </c>
    </row>
    <row r="541">
      <c r="A541" s="25" t="inlineStr">
        <is>
          <t>F536</t>
        </is>
      </c>
      <c r="B541" s="26" t="inlineStr">
        <is>
          <t>Moody's, pairs : Hera, EBITDA ajusté</t>
        </is>
      </c>
      <c r="C541" s="31" t="n">
        <v>1476</v>
      </c>
      <c r="D541" s="26" t="inlineStr">
        <is>
          <t>M EUR</t>
        </is>
      </c>
      <c r="E541" s="26" t="inlineStr">
        <is>
          <t>LTM 06/2025</t>
        </is>
      </c>
      <c r="F541" s="28" t="inlineStr">
        <is>
          <t>1,476</t>
        </is>
      </c>
      <c r="G541" s="26" t="inlineStr">
        <is>
          <t>01_Financial/credit_opinion-veolia-environnement-sa-04may2026.pdf</t>
        </is>
      </c>
      <c r="H541" s="29" t="n">
        <v>11</v>
      </c>
      <c r="I541" s="26" t="inlineStr">
        <is>
          <t>2 Contrainte</t>
        </is>
      </c>
      <c r="J541" s="28" t="inlineStr">
        <is>
          <t>https://www.veolia.com/sites/g/files/dvc4206/files/document/2026/05/Credit_Opinion-Veolia-Environnement-SA-04May2026.pdf</t>
        </is>
      </c>
      <c r="K541" s="28" t="inlineStr">
        <is>
          <t>2026-10-02</t>
        </is>
      </c>
      <c r="L541" s="30" t="inlineStr">
        <is>
          <t>à relire</t>
        </is>
      </c>
    </row>
    <row r="542">
      <c r="A542" s="20" t="inlineStr">
        <is>
          <t>F537</t>
        </is>
      </c>
      <c r="B542" s="5" t="inlineStr">
        <is>
          <t>Moody's, pairs : Hera, FFO / dette nette</t>
        </is>
      </c>
      <c r="C542" s="32" t="n">
        <v>23.3</v>
      </c>
      <c r="D542" s="5" t="inlineStr">
        <is>
          <t>%</t>
        </is>
      </c>
      <c r="E542" s="5" t="inlineStr">
        <is>
          <t>LTM 06/2025</t>
        </is>
      </c>
      <c r="F542" s="22" t="inlineStr">
        <is>
          <t>23.3</t>
        </is>
      </c>
      <c r="G542" s="5" t="inlineStr">
        <is>
          <t>01_Financial/credit_opinion-veolia-environnement-sa-04may2026.pdf</t>
        </is>
      </c>
      <c r="H542" s="23" t="n">
        <v>11</v>
      </c>
      <c r="I542" s="5" t="inlineStr">
        <is>
          <t>2 Contrainte</t>
        </is>
      </c>
      <c r="J542" s="22" t="inlineStr">
        <is>
          <t>https://www.veolia.com/sites/g/files/dvc4206/files/document/2026/05/Credit_Opinion-Veolia-Environnement-SA-04May2026.pdf</t>
        </is>
      </c>
      <c r="K542" s="22" t="inlineStr">
        <is>
          <t>2026-10-02</t>
        </is>
      </c>
      <c r="L542" s="24" t="inlineStr">
        <is>
          <t>à relire</t>
        </is>
      </c>
    </row>
    <row r="543">
      <c r="A543" s="25" t="inlineStr">
        <is>
          <t>F538</t>
        </is>
      </c>
      <c r="B543" s="26" t="inlineStr">
        <is>
          <t>Moody's, pairs : Hera, RCF / dette nette</t>
        </is>
      </c>
      <c r="C543" s="27" t="n">
        <v>16.9</v>
      </c>
      <c r="D543" s="26" t="inlineStr">
        <is>
          <t>%</t>
        </is>
      </c>
      <c r="E543" s="26" t="inlineStr">
        <is>
          <t>LTM 06/2025</t>
        </is>
      </c>
      <c r="F543" s="28" t="inlineStr">
        <is>
          <t>16.9</t>
        </is>
      </c>
      <c r="G543" s="26" t="inlineStr">
        <is>
          <t>01_Financial/credit_opinion-veolia-environnement-sa-04may2026.pdf</t>
        </is>
      </c>
      <c r="H543" s="29" t="n">
        <v>11</v>
      </c>
      <c r="I543" s="26" t="inlineStr">
        <is>
          <t>2 Contrainte</t>
        </is>
      </c>
      <c r="J543" s="28" t="inlineStr">
        <is>
          <t>https://www.veolia.com/sites/g/files/dvc4206/files/document/2026/05/Credit_Opinion-Veolia-Environnement-SA-04May2026.pdf</t>
        </is>
      </c>
      <c r="K543" s="28" t="inlineStr">
        <is>
          <t>2026-10-02</t>
        </is>
      </c>
      <c r="L543" s="30" t="inlineStr">
        <is>
          <t>à relire</t>
        </is>
      </c>
    </row>
    <row r="544">
      <c r="A544" s="20" t="inlineStr">
        <is>
          <t>F539</t>
        </is>
      </c>
      <c r="B544" s="5" t="inlineStr">
        <is>
          <t>Moody's, pairs : Hera, dette / EBITDA</t>
        </is>
      </c>
      <c r="C544" s="32" t="n">
        <v>3.8</v>
      </c>
      <c r="D544" s="5" t="inlineStr">
        <is>
          <t>x</t>
        </is>
      </c>
      <c r="E544" s="5" t="inlineStr">
        <is>
          <t>LTM 06/2025</t>
        </is>
      </c>
      <c r="F544" s="22" t="inlineStr">
        <is>
          <t>3.8</t>
        </is>
      </c>
      <c r="G544" s="5" t="inlineStr">
        <is>
          <t>01_Financial/credit_opinion-veolia-environnement-sa-04may2026.pdf</t>
        </is>
      </c>
      <c r="H544" s="23" t="n">
        <v>11</v>
      </c>
      <c r="I544" s="5" t="inlineStr">
        <is>
          <t>2 Contrainte</t>
        </is>
      </c>
      <c r="J544" s="22" t="inlineStr">
        <is>
          <t>https://www.veolia.com/sites/g/files/dvc4206/files/document/2026/05/Credit_Opinion-Veolia-Environnement-SA-04May2026.pdf</t>
        </is>
      </c>
      <c r="K544" s="22" t="inlineStr">
        <is>
          <t>2026-10-02</t>
        </is>
      </c>
      <c r="L544" s="24" t="inlineStr">
        <is>
          <t>à relire</t>
        </is>
      </c>
    </row>
    <row r="545">
      <c r="A545" s="25" t="inlineStr">
        <is>
          <t>F540</t>
        </is>
      </c>
      <c r="B545" s="26" t="inlineStr">
        <is>
          <t>Moody's, pairs : Suez, notation et perspective</t>
        </is>
      </c>
      <c r="C545" s="34" t="inlineStr">
        <is>
          <t>Baa2 Negative</t>
        </is>
      </c>
      <c r="D545" s="26" t="inlineStr"/>
      <c r="E545" s="26" t="inlineStr">
        <is>
          <t>05/2026</t>
        </is>
      </c>
      <c r="F545" s="28" t="inlineStr">
        <is>
          <t>Baa2 Negative</t>
        </is>
      </c>
      <c r="G545" s="26" t="inlineStr">
        <is>
          <t>01_Financial/credit_opinion-veolia-environnement-sa-04may2026.pdf</t>
        </is>
      </c>
      <c r="H545" s="29" t="n">
        <v>11</v>
      </c>
      <c r="I545" s="26" t="inlineStr">
        <is>
          <t>2 Contrainte</t>
        </is>
      </c>
      <c r="J545" s="28" t="inlineStr">
        <is>
          <t>https://www.veolia.com/sites/g/files/dvc4206/files/document/2026/05/Credit_Opinion-Veolia-Environnement-SA-04May2026.pdf</t>
        </is>
      </c>
      <c r="K545" s="28" t="inlineStr">
        <is>
          <t>2026-10-02</t>
        </is>
      </c>
      <c r="L545" s="30" t="inlineStr">
        <is>
          <t>à relire</t>
        </is>
      </c>
    </row>
    <row r="546">
      <c r="A546" s="20" t="inlineStr">
        <is>
          <t>F541</t>
        </is>
      </c>
      <c r="B546" s="5" t="inlineStr">
        <is>
          <t>Moody's, pairs : Suez, EBITDA ajusté</t>
        </is>
      </c>
      <c r="C546" s="21" t="n">
        <v>1088</v>
      </c>
      <c r="D546" s="5" t="inlineStr">
        <is>
          <t>M EUR</t>
        </is>
      </c>
      <c r="E546" s="5" t="inlineStr">
        <is>
          <t>LTM 06/2025</t>
        </is>
      </c>
      <c r="F546" s="22" t="inlineStr">
        <is>
          <t>1,088</t>
        </is>
      </c>
      <c r="G546" s="5" t="inlineStr">
        <is>
          <t>01_Financial/credit_opinion-veolia-environnement-sa-04may2026.pdf</t>
        </is>
      </c>
      <c r="H546" s="23" t="n">
        <v>11</v>
      </c>
      <c r="I546" s="5" t="inlineStr">
        <is>
          <t>2 Contrainte</t>
        </is>
      </c>
      <c r="J546" s="22" t="inlineStr">
        <is>
          <t>https://www.veolia.com/sites/g/files/dvc4206/files/document/2026/05/Credit_Opinion-Veolia-Environnement-SA-04May2026.pdf</t>
        </is>
      </c>
      <c r="K546" s="22" t="inlineStr">
        <is>
          <t>2026-10-02</t>
        </is>
      </c>
      <c r="L546" s="24" t="inlineStr">
        <is>
          <t>à relire</t>
        </is>
      </c>
    </row>
    <row r="547">
      <c r="A547" s="25" t="inlineStr">
        <is>
          <t>F542</t>
        </is>
      </c>
      <c r="B547" s="26" t="inlineStr">
        <is>
          <t>Moody's, pairs : Suez, FFO / dette nette</t>
        </is>
      </c>
      <c r="C547" s="27" t="n">
        <v>11.4</v>
      </c>
      <c r="D547" s="26" t="inlineStr">
        <is>
          <t>%</t>
        </is>
      </c>
      <c r="E547" s="26" t="inlineStr">
        <is>
          <t>LTM 06/2025</t>
        </is>
      </c>
      <c r="F547" s="28" t="inlineStr">
        <is>
          <t>11.4</t>
        </is>
      </c>
      <c r="G547" s="26" t="inlineStr">
        <is>
          <t>01_Financial/credit_opinion-veolia-environnement-sa-04may2026.pdf</t>
        </is>
      </c>
      <c r="H547" s="29" t="n">
        <v>11</v>
      </c>
      <c r="I547" s="26" t="inlineStr">
        <is>
          <t>2 Contrainte</t>
        </is>
      </c>
      <c r="J547" s="28" t="inlineStr">
        <is>
          <t>https://www.veolia.com/sites/g/files/dvc4206/files/document/2026/05/Credit_Opinion-Veolia-Environnement-SA-04May2026.pdf</t>
        </is>
      </c>
      <c r="K547" s="28" t="inlineStr">
        <is>
          <t>2026-10-02</t>
        </is>
      </c>
      <c r="L547" s="30" t="inlineStr">
        <is>
          <t>à relire</t>
        </is>
      </c>
    </row>
    <row r="548">
      <c r="A548" s="20" t="inlineStr">
        <is>
          <t>F543</t>
        </is>
      </c>
      <c r="B548" s="5" t="inlineStr">
        <is>
          <t>Moody's, pairs : Suez, RCF / dette nette</t>
        </is>
      </c>
      <c r="C548" s="32" t="n">
        <v>10.3</v>
      </c>
      <c r="D548" s="5" t="inlineStr">
        <is>
          <t>%</t>
        </is>
      </c>
      <c r="E548" s="5" t="inlineStr">
        <is>
          <t>LTM 06/2025</t>
        </is>
      </c>
      <c r="F548" s="22" t="inlineStr">
        <is>
          <t>10.3</t>
        </is>
      </c>
      <c r="G548" s="5" t="inlineStr">
        <is>
          <t>01_Financial/credit_opinion-veolia-environnement-sa-04may2026.pdf</t>
        </is>
      </c>
      <c r="H548" s="23" t="n">
        <v>11</v>
      </c>
      <c r="I548" s="5" t="inlineStr">
        <is>
          <t>2 Contrainte</t>
        </is>
      </c>
      <c r="J548" s="22" t="inlineStr">
        <is>
          <t>https://www.veolia.com/sites/g/files/dvc4206/files/document/2026/05/Credit_Opinion-Veolia-Environnement-SA-04May2026.pdf</t>
        </is>
      </c>
      <c r="K548" s="22" t="inlineStr">
        <is>
          <t>2026-10-02</t>
        </is>
      </c>
      <c r="L548" s="24" t="inlineStr">
        <is>
          <t>à relire</t>
        </is>
      </c>
    </row>
    <row r="549">
      <c r="A549" s="25" t="inlineStr">
        <is>
          <t>F544</t>
        </is>
      </c>
      <c r="B549" s="26" t="inlineStr">
        <is>
          <t>Moody's, pairs : Suez, dette / EBITDA</t>
        </is>
      </c>
      <c r="C549" s="27" t="n">
        <v>6.8</v>
      </c>
      <c r="D549" s="26" t="inlineStr">
        <is>
          <t>x</t>
        </is>
      </c>
      <c r="E549" s="26" t="inlineStr">
        <is>
          <t>LTM 06/2025</t>
        </is>
      </c>
      <c r="F549" s="28" t="inlineStr">
        <is>
          <t>6.8</t>
        </is>
      </c>
      <c r="G549" s="26" t="inlineStr">
        <is>
          <t>01_Financial/credit_opinion-veolia-environnement-sa-04may2026.pdf</t>
        </is>
      </c>
      <c r="H549" s="29" t="n">
        <v>11</v>
      </c>
      <c r="I549" s="26" t="inlineStr">
        <is>
          <t>2 Contrainte</t>
        </is>
      </c>
      <c r="J549" s="28" t="inlineStr">
        <is>
          <t>https://www.veolia.com/sites/g/files/dvc4206/files/document/2026/05/Credit_Opinion-Veolia-Environnement-SA-04May2026.pdf</t>
        </is>
      </c>
      <c r="K549" s="28" t="inlineStr">
        <is>
          <t>2026-10-02</t>
        </is>
      </c>
      <c r="L549" s="30" t="inlineStr">
        <is>
          <t>à relire</t>
        </is>
      </c>
    </row>
    <row r="550">
      <c r="A550" s="20" t="inlineStr">
        <is>
          <t>F545</t>
        </is>
      </c>
      <c r="B550" s="5" t="inlineStr">
        <is>
          <t>Moody's, pairs : Veolia, notation et perspective</t>
        </is>
      </c>
      <c r="C550" s="33" t="inlineStr">
        <is>
          <t>Baa1 Stable</t>
        </is>
      </c>
      <c r="D550" s="5" t="inlineStr"/>
      <c r="E550" s="5" t="inlineStr">
        <is>
          <t>05/2026</t>
        </is>
      </c>
      <c r="F550" s="22" t="inlineStr">
        <is>
          <t>Baa1 Stable</t>
        </is>
      </c>
      <c r="G550" s="5" t="inlineStr">
        <is>
          <t>01_Financial/credit_opinion-veolia-environnement-sa-04may2026.pdf</t>
        </is>
      </c>
      <c r="H550" s="23" t="n">
        <v>11</v>
      </c>
      <c r="I550" s="5" t="inlineStr">
        <is>
          <t>2 Contrainte</t>
        </is>
      </c>
      <c r="J550" s="22" t="inlineStr">
        <is>
          <t>https://www.veolia.com/sites/g/files/dvc4206/files/document/2026/05/Credit_Opinion-Veolia-Environnement-SA-04May2026.pdf</t>
        </is>
      </c>
      <c r="K550" s="22" t="inlineStr">
        <is>
          <t>2026-10-02</t>
        </is>
      </c>
      <c r="L550" s="24" t="inlineStr">
        <is>
          <t>à relire</t>
        </is>
      </c>
    </row>
    <row r="551">
      <c r="A551" s="25" t="inlineStr">
        <is>
          <t>F546</t>
        </is>
      </c>
      <c r="B551" s="26" t="inlineStr">
        <is>
          <t>Sensibilité au change : chiffre d'affaires si les devises s'apprécient de 10 %</t>
        </is>
      </c>
      <c r="C551" s="31" t="n">
        <v>2824</v>
      </c>
      <c r="D551" s="26" t="inlineStr">
        <is>
          <t>M EUR</t>
        </is>
      </c>
      <c r="E551" s="26" t="inlineStr">
        <is>
          <t>FY2025</t>
        </is>
      </c>
      <c r="F551" s="28" t="inlineStr">
        <is>
          <t>2,824</t>
        </is>
      </c>
      <c r="G551" s="26" t="inlineStr">
        <is>
          <t>01_Financial/finance_veolia_urd_2025_en.pdf</t>
        </is>
      </c>
      <c r="H551" s="29" t="n">
        <v>418</v>
      </c>
      <c r="I551" s="26" t="inlineStr">
        <is>
          <t>3 Capacité</t>
        </is>
      </c>
      <c r="J551" s="28" t="inlineStr">
        <is>
          <t>https://www.veolia.com/sites/g/files/dvc4206/files/document/2026/03/Finance_Veolia_URD_2025_en.pdf</t>
        </is>
      </c>
      <c r="K551" s="28" t="inlineStr">
        <is>
          <t>2026-09-22</t>
        </is>
      </c>
      <c r="L551" s="30" t="inlineStr">
        <is>
          <t>à relire</t>
        </is>
      </c>
    </row>
    <row r="552">
      <c r="A552" s="20" t="inlineStr">
        <is>
          <t>F547</t>
        </is>
      </c>
      <c r="B552" s="5" t="inlineStr">
        <is>
          <t>Sensibilité au change : chiffre d'affaires si les devises se déprécient de 10 %</t>
        </is>
      </c>
      <c r="C552" s="21" t="n">
        <v>-2311</v>
      </c>
      <c r="D552" s="5" t="inlineStr">
        <is>
          <t>M EUR</t>
        </is>
      </c>
      <c r="E552" s="5" t="inlineStr">
        <is>
          <t>FY2025</t>
        </is>
      </c>
      <c r="F552" s="22" t="inlineStr">
        <is>
          <t>-2,311</t>
        </is>
      </c>
      <c r="G552" s="5" t="inlineStr">
        <is>
          <t>01_Financial/finance_veolia_urd_2025_en.pdf</t>
        </is>
      </c>
      <c r="H552" s="23" t="n">
        <v>418</v>
      </c>
      <c r="I552" s="5" t="inlineStr">
        <is>
          <t>3 Capacité</t>
        </is>
      </c>
      <c r="J552" s="22" t="inlineStr">
        <is>
          <t>https://www.veolia.com/sites/g/files/dvc4206/files/document/2026/03/Finance_Veolia_URD_2025_en.pdf</t>
        </is>
      </c>
      <c r="K552" s="22" t="inlineStr">
        <is>
          <t>2026-09-22</t>
        </is>
      </c>
      <c r="L552" s="24" t="inlineStr">
        <is>
          <t>à relire</t>
        </is>
      </c>
    </row>
    <row r="553">
      <c r="A553" s="25" t="inlineStr">
        <is>
          <t>F548</t>
        </is>
      </c>
      <c r="B553" s="26" t="inlineStr">
        <is>
          <t>Sensibilité au change : résultat opérationnel si les devises s'apprécient de 10 %</t>
        </is>
      </c>
      <c r="C553" s="31" t="n">
        <v>273</v>
      </c>
      <c r="D553" s="26" t="inlineStr">
        <is>
          <t>M EUR</t>
        </is>
      </c>
      <c r="E553" s="26" t="inlineStr">
        <is>
          <t>FY2025</t>
        </is>
      </c>
      <c r="F553" s="28" t="inlineStr">
        <is>
          <t>273</t>
        </is>
      </c>
      <c r="G553" s="26" t="inlineStr">
        <is>
          <t>01_Financial/finance_veolia_urd_2025_en.pdf</t>
        </is>
      </c>
      <c r="H553" s="29" t="n">
        <v>418</v>
      </c>
      <c r="I553" s="26" t="inlineStr">
        <is>
          <t>3 Capacité</t>
        </is>
      </c>
      <c r="J553" s="28" t="inlineStr">
        <is>
          <t>https://www.veolia.com/sites/g/files/dvc4206/files/document/2026/03/Finance_Veolia_URD_2025_en.pdf</t>
        </is>
      </c>
      <c r="K553" s="28" t="inlineStr">
        <is>
          <t>2026-09-22</t>
        </is>
      </c>
      <c r="L553" s="30" t="inlineStr">
        <is>
          <t>à relire</t>
        </is>
      </c>
    </row>
    <row r="554">
      <c r="A554" s="20" t="inlineStr">
        <is>
          <t>F549</t>
        </is>
      </c>
      <c r="B554" s="5" t="inlineStr">
        <is>
          <t>Sensibilité au change : résultat opérationnel si les devises se déprécient de 10 %</t>
        </is>
      </c>
      <c r="C554" s="21" t="n">
        <v>-223</v>
      </c>
      <c r="D554" s="5" t="inlineStr">
        <is>
          <t>M EUR</t>
        </is>
      </c>
      <c r="E554" s="5" t="inlineStr">
        <is>
          <t>FY2025</t>
        </is>
      </c>
      <c r="F554" s="22" t="inlineStr">
        <is>
          <t>-223</t>
        </is>
      </c>
      <c r="G554" s="5" t="inlineStr">
        <is>
          <t>01_Financial/finance_veolia_urd_2025_en.pdf</t>
        </is>
      </c>
      <c r="H554" s="23" t="n">
        <v>418</v>
      </c>
      <c r="I554" s="5" t="inlineStr">
        <is>
          <t>3 Capacité</t>
        </is>
      </c>
      <c r="J554" s="22" t="inlineStr">
        <is>
          <t>https://www.veolia.com/sites/g/files/dvc4206/files/document/2026/03/Finance_Veolia_URD_2025_en.pdf</t>
        </is>
      </c>
      <c r="K554" s="22" t="inlineStr">
        <is>
          <t>2026-09-22</t>
        </is>
      </c>
      <c r="L554" s="24" t="inlineStr">
        <is>
          <t>à relire</t>
        </is>
      </c>
    </row>
    <row r="555">
      <c r="A555" s="25" t="inlineStr">
        <is>
          <t>F550</t>
        </is>
      </c>
      <c r="B555" s="26" t="inlineStr">
        <is>
          <t>Sensibilité au change : actif net si les devises s'apprécient de 10 %</t>
        </is>
      </c>
      <c r="C555" s="31" t="n">
        <v>1643</v>
      </c>
      <c r="D555" s="26" t="inlineStr">
        <is>
          <t>M EUR</t>
        </is>
      </c>
      <c r="E555" s="26" t="inlineStr">
        <is>
          <t>31/12/2025</t>
        </is>
      </c>
      <c r="F555" s="28" t="inlineStr">
        <is>
          <t>1,643</t>
        </is>
      </c>
      <c r="G555" s="26" t="inlineStr">
        <is>
          <t>01_Financial/finance_veolia_urd_2025_en.pdf</t>
        </is>
      </c>
      <c r="H555" s="29" t="n">
        <v>418</v>
      </c>
      <c r="I555" s="26" t="inlineStr">
        <is>
          <t>3 Capacité</t>
        </is>
      </c>
      <c r="J555" s="28" t="inlineStr">
        <is>
          <t>https://www.veolia.com/sites/g/files/dvc4206/files/document/2026/03/Finance_Veolia_URD_2025_en.pdf</t>
        </is>
      </c>
      <c r="K555" s="28" t="inlineStr">
        <is>
          <t>2026-09-22</t>
        </is>
      </c>
      <c r="L555" s="30" t="inlineStr">
        <is>
          <t>à relire</t>
        </is>
      </c>
    </row>
    <row r="556">
      <c r="A556" s="20" t="inlineStr">
        <is>
          <t>F551</t>
        </is>
      </c>
      <c r="B556" s="5" t="inlineStr">
        <is>
          <t>Sensibilité au change : coût de l'endettement financier net si les devises s'apprécient de 10 %</t>
        </is>
      </c>
      <c r="C556" s="21" t="n">
        <v>27</v>
      </c>
      <c r="D556" s="5" t="inlineStr">
        <is>
          <t>M EUR</t>
        </is>
      </c>
      <c r="E556" s="5" t="inlineStr">
        <is>
          <t>FY2025</t>
        </is>
      </c>
      <c r="F556" s="22" t="inlineStr">
        <is>
          <t>27</t>
        </is>
      </c>
      <c r="G556" s="5" t="inlineStr">
        <is>
          <t>01_Financial/finance_veolia_urd_2025_en.pdf</t>
        </is>
      </c>
      <c r="H556" s="23" t="n">
        <v>418</v>
      </c>
      <c r="I556" s="5" t="inlineStr">
        <is>
          <t>3 Capacité</t>
        </is>
      </c>
      <c r="J556" s="22" t="inlineStr">
        <is>
          <t>https://www.veolia.com/sites/g/files/dvc4206/files/document/2026/03/Finance_Veolia_URD_2025_en.pdf</t>
        </is>
      </c>
      <c r="K556" s="22" t="inlineStr">
        <is>
          <t>2026-09-22</t>
        </is>
      </c>
      <c r="L556" s="24" t="inlineStr">
        <is>
          <t>à relire</t>
        </is>
      </c>
    </row>
    <row r="557">
      <c r="A557" s="25" t="inlineStr">
        <is>
          <t>F552</t>
        </is>
      </c>
      <c r="B557" s="26" t="inlineStr">
        <is>
          <t>Coût de l'endettement financier net : part libellée en euros</t>
        </is>
      </c>
      <c r="C557" s="31" t="n">
        <v>57</v>
      </c>
      <c r="D557" s="26" t="inlineStr">
        <is>
          <t>%</t>
        </is>
      </c>
      <c r="E557" s="26" t="inlineStr">
        <is>
          <t>FY2025</t>
        </is>
      </c>
      <c r="F557" s="28" t="inlineStr">
        <is>
          <t>57</t>
        </is>
      </c>
      <c r="G557" s="26" t="inlineStr">
        <is>
          <t>01_Financial/finance_veolia_urd_2025_en.pdf</t>
        </is>
      </c>
      <c r="H557" s="29" t="n">
        <v>418</v>
      </c>
      <c r="I557" s="26" t="inlineStr">
        <is>
          <t>2 Contrainte</t>
        </is>
      </c>
      <c r="J557" s="28" t="inlineStr">
        <is>
          <t>https://www.veolia.com/sites/g/files/dvc4206/files/document/2026/03/Finance_Veolia_URD_2025_en.pdf</t>
        </is>
      </c>
      <c r="K557" s="28" t="inlineStr">
        <is>
          <t>2026-09-22</t>
        </is>
      </c>
      <c r="L557" s="30" t="inlineStr">
        <is>
          <t>à relire</t>
        </is>
      </c>
    </row>
    <row r="558">
      <c r="A558" s="20" t="inlineStr">
        <is>
          <t>F553</t>
        </is>
      </c>
      <c r="B558" s="5" t="inlineStr">
        <is>
          <t>Coût de l'endettement financier net : part libellée en dollars</t>
        </is>
      </c>
      <c r="C558" s="21" t="n">
        <v>16</v>
      </c>
      <c r="D558" s="5" t="inlineStr">
        <is>
          <t>%</t>
        </is>
      </c>
      <c r="E558" s="5" t="inlineStr">
        <is>
          <t>FY2025</t>
        </is>
      </c>
      <c r="F558" s="22" t="inlineStr">
        <is>
          <t>16</t>
        </is>
      </c>
      <c r="G558" s="5" t="inlineStr">
        <is>
          <t>01_Financial/finance_veolia_urd_2025_en.pdf</t>
        </is>
      </c>
      <c r="H558" s="23" t="n">
        <v>418</v>
      </c>
      <c r="I558" s="5" t="inlineStr">
        <is>
          <t>2 Contrainte</t>
        </is>
      </c>
      <c r="J558" s="22" t="inlineStr">
        <is>
          <t>https://www.veolia.com/sites/g/files/dvc4206/files/document/2026/03/Finance_Veolia_URD_2025_en.pdf</t>
        </is>
      </c>
      <c r="K558" s="22" t="inlineStr">
        <is>
          <t>2026-09-22</t>
        </is>
      </c>
      <c r="L558" s="24" t="inlineStr">
        <is>
          <t>à relire</t>
        </is>
      </c>
    </row>
    <row r="559">
      <c r="A559" s="25" t="inlineStr">
        <is>
          <t>F554</t>
        </is>
      </c>
      <c r="B559" s="26" t="inlineStr">
        <is>
          <t>Dette brute après couverture : part à taux fixe</t>
        </is>
      </c>
      <c r="C559" s="27" t="n">
        <v>56.1</v>
      </c>
      <c r="D559" s="26" t="inlineStr">
        <is>
          <t>%</t>
        </is>
      </c>
      <c r="E559" s="26" t="inlineStr">
        <is>
          <t>31/12/2025</t>
        </is>
      </c>
      <c r="F559" s="28" t="inlineStr">
        <is>
          <t>56.1</t>
        </is>
      </c>
      <c r="G559" s="26" t="inlineStr">
        <is>
          <t>01_Financial/finance_veolia_urd_2025_en.pdf</t>
        </is>
      </c>
      <c r="H559" s="29" t="n">
        <v>416</v>
      </c>
      <c r="I559" s="26" t="inlineStr">
        <is>
          <t>2 Contrainte</t>
        </is>
      </c>
      <c r="J559" s="28" t="inlineStr">
        <is>
          <t>https://www.veolia.com/sites/g/files/dvc4206/files/document/2026/03/Finance_Veolia_URD_2025_en.pdf</t>
        </is>
      </c>
      <c r="K559" s="28" t="inlineStr">
        <is>
          <t>2026-09-22</t>
        </is>
      </c>
      <c r="L559" s="30" t="inlineStr">
        <is>
          <t>à relire</t>
        </is>
      </c>
    </row>
    <row r="560">
      <c r="A560" s="20" t="inlineStr">
        <is>
          <t>F555</t>
        </is>
      </c>
      <c r="B560" s="5" t="inlineStr">
        <is>
          <t>Dette brute après couverture : part à taux variable</t>
        </is>
      </c>
      <c r="C560" s="32" t="n">
        <v>43.9</v>
      </c>
      <c r="D560" s="5" t="inlineStr">
        <is>
          <t>%</t>
        </is>
      </c>
      <c r="E560" s="5" t="inlineStr">
        <is>
          <t>31/12/2025</t>
        </is>
      </c>
      <c r="F560" s="22" t="inlineStr">
        <is>
          <t>43.9</t>
        </is>
      </c>
      <c r="G560" s="5" t="inlineStr">
        <is>
          <t>01_Financial/finance_veolia_urd_2025_en.pdf</t>
        </is>
      </c>
      <c r="H560" s="23" t="n">
        <v>416</v>
      </c>
      <c r="I560" s="5" t="inlineStr">
        <is>
          <t>2 Contrainte</t>
        </is>
      </c>
      <c r="J560" s="22" t="inlineStr">
        <is>
          <t>https://www.veolia.com/sites/g/files/dvc4206/files/document/2026/03/Finance_Veolia_URD_2025_en.pdf</t>
        </is>
      </c>
      <c r="K560" s="22" t="inlineStr">
        <is>
          <t>2026-09-22</t>
        </is>
      </c>
      <c r="L560" s="24" t="inlineStr">
        <is>
          <t>à relire</t>
        </is>
      </c>
    </row>
    <row r="561">
      <c r="A561" s="25" t="inlineStr">
        <is>
          <t>F556</t>
        </is>
      </c>
      <c r="B561" s="26" t="inlineStr">
        <is>
          <t>Position nette à taux variable après couverture (passif)</t>
        </is>
      </c>
      <c r="C561" s="31" t="n">
        <v>-2992</v>
      </c>
      <c r="D561" s="26" t="inlineStr">
        <is>
          <t>M EUR</t>
        </is>
      </c>
      <c r="E561" s="26" t="inlineStr">
        <is>
          <t>31/12/2025</t>
        </is>
      </c>
      <c r="F561" s="28" t="inlineStr">
        <is>
          <t>-2,992</t>
        </is>
      </c>
      <c r="G561" s="26" t="inlineStr">
        <is>
          <t>01_Financial/finance_veolia_urd_2025_en.pdf</t>
        </is>
      </c>
      <c r="H561" s="29" t="n">
        <v>416</v>
      </c>
      <c r="I561" s="26" t="inlineStr">
        <is>
          <t>2 Contrainte</t>
        </is>
      </c>
      <c r="J561" s="28" t="inlineStr">
        <is>
          <t>https://www.veolia.com/sites/g/files/dvc4206/files/document/2026/03/Finance_Veolia_URD_2025_en.pdf</t>
        </is>
      </c>
      <c r="K561" s="28" t="inlineStr">
        <is>
          <t>2026-09-22</t>
        </is>
      </c>
      <c r="L561" s="30" t="inlineStr">
        <is>
          <t>à relire</t>
        </is>
      </c>
    </row>
    <row r="562">
      <c r="A562" s="20" t="inlineStr">
        <is>
          <t>F557</t>
        </is>
      </c>
      <c r="B562" s="5" t="inlineStr">
        <is>
          <t>Dette libellée en dollars (avant swaps de devises)</t>
        </is>
      </c>
      <c r="C562" s="21" t="n">
        <v>2455</v>
      </c>
      <c r="D562" s="5" t="inlineStr">
        <is>
          <t>M EUR</t>
        </is>
      </c>
      <c r="E562" s="5" t="inlineStr">
        <is>
          <t>31/12/2025</t>
        </is>
      </c>
      <c r="F562" s="22" t="inlineStr">
        <is>
          <t>2,455</t>
        </is>
      </c>
      <c r="G562" s="5" t="inlineStr">
        <is>
          <t>01_Financial/finance_veolia_urd_2025_en.pdf</t>
        </is>
      </c>
      <c r="H562" s="23" t="n">
        <v>409</v>
      </c>
      <c r="I562" s="5" t="inlineStr">
        <is>
          <t>2 Contrainte</t>
        </is>
      </c>
      <c r="J562" s="22" t="inlineStr">
        <is>
          <t>https://www.veolia.com/sites/g/files/dvc4206/files/document/2026/03/Finance_Veolia_URD_2025_en.pdf</t>
        </is>
      </c>
      <c r="K562" s="22" t="inlineStr">
        <is>
          <t>2026-09-22</t>
        </is>
      </c>
      <c r="L562" s="24" t="inlineStr">
        <is>
          <t>à relire</t>
        </is>
      </c>
    </row>
    <row r="563">
      <c r="A563" s="25" t="inlineStr">
        <is>
          <t>F558</t>
        </is>
      </c>
      <c r="B563" s="26" t="inlineStr">
        <is>
          <t>Dette libellée en euros (avant swaps de devises)</t>
        </is>
      </c>
      <c r="C563" s="31" t="n">
        <v>23041</v>
      </c>
      <c r="D563" s="26" t="inlineStr">
        <is>
          <t>M EUR</t>
        </is>
      </c>
      <c r="E563" s="26" t="inlineStr">
        <is>
          <t>31/12/2025</t>
        </is>
      </c>
      <c r="F563" s="28" t="inlineStr">
        <is>
          <t>23,041</t>
        </is>
      </c>
      <c r="G563" s="26" t="inlineStr">
        <is>
          <t>01_Financial/finance_veolia_urd_2025_en.pdf</t>
        </is>
      </c>
      <c r="H563" s="29" t="n">
        <v>409</v>
      </c>
      <c r="I563" s="26" t="inlineStr">
        <is>
          <t>2 Contrainte</t>
        </is>
      </c>
      <c r="J563" s="28" t="inlineStr">
        <is>
          <t>https://www.veolia.com/sites/g/files/dvc4206/files/document/2026/03/Finance_Veolia_URD_2025_en.pdf</t>
        </is>
      </c>
      <c r="K563" s="28" t="inlineStr">
        <is>
          <t>2026-09-22</t>
        </is>
      </c>
      <c r="L563" s="30" t="inlineStr">
        <is>
          <t>à relire</t>
        </is>
      </c>
    </row>
    <row r="564">
      <c r="A564" s="20" t="inlineStr">
        <is>
          <t>F559</t>
        </is>
      </c>
      <c r="B564" s="5" t="inlineStr">
        <is>
          <t>Effet de change sur les obligations en dollars (conversion au cours de clôture)</t>
        </is>
      </c>
      <c r="C564" s="21" t="n">
        <v>-190</v>
      </c>
      <c r="D564" s="5" t="inlineStr">
        <is>
          <t>M EUR</t>
        </is>
      </c>
      <c r="E564" s="5" t="inlineStr">
        <is>
          <t>FY2025</t>
        </is>
      </c>
      <c r="F564" s="22" t="inlineStr">
        <is>
          <t>-190</t>
        </is>
      </c>
      <c r="G564" s="5" t="inlineStr">
        <is>
          <t>01_Financial/finance_veolia_urd_2025_en.pdf</t>
        </is>
      </c>
      <c r="H564" s="23" t="n">
        <v>406</v>
      </c>
      <c r="I564" s="5" t="inlineStr">
        <is>
          <t>2 Contrainte</t>
        </is>
      </c>
      <c r="J564" s="22" t="inlineStr">
        <is>
          <t>https://www.veolia.com/sites/g/files/dvc4206/files/document/2026/03/Finance_Veolia_URD_2025_en.pdf</t>
        </is>
      </c>
      <c r="K564" s="22" t="inlineStr">
        <is>
          <t>2026-09-22</t>
        </is>
      </c>
      <c r="L564" s="24" t="inlineStr">
        <is>
          <t>à relire</t>
        </is>
      </c>
    </row>
    <row r="565">
      <c r="A565" s="25" t="inlineStr">
        <is>
          <t>F560</t>
        </is>
      </c>
      <c r="B565" s="26" t="inlineStr">
        <is>
          <t>Effet des prix des commodités (énergie, recyclats) sur l'EBITDA</t>
        </is>
      </c>
      <c r="C565" s="31" t="n">
        <v>-30</v>
      </c>
      <c r="D565" s="26" t="inlineStr">
        <is>
          <t>M EUR</t>
        </is>
      </c>
      <c r="E565" s="26" t="inlineStr">
        <is>
          <t>FY2025</t>
        </is>
      </c>
      <c r="F565" s="28" t="inlineStr">
        <is>
          <t>-30</t>
        </is>
      </c>
      <c r="G565" s="26" t="inlineStr">
        <is>
          <t>01_Financial/finance_veolia_operating_and_financial_review_2025.pdf</t>
        </is>
      </c>
      <c r="H565" s="29" t="n">
        <v>17</v>
      </c>
      <c r="I565" s="26" t="inlineStr">
        <is>
          <t>3 Capacité</t>
        </is>
      </c>
      <c r="J565" s="28" t="inlineStr">
        <is>
          <t>https://www.veolia.com/sites/g/files/dvc4206/files/document/2026/02/Finance_Veolia_Operating_and_financial_review_2025.pdf</t>
        </is>
      </c>
      <c r="K565" s="28" t="inlineStr">
        <is>
          <t>2026-09-22</t>
        </is>
      </c>
      <c r="L565" s="30" t="inlineStr">
        <is>
          <t>à relire</t>
        </is>
      </c>
    </row>
    <row r="566">
      <c r="A566" s="20" t="inlineStr">
        <is>
          <t>F561</t>
        </is>
      </c>
      <c r="B566" s="5" t="inlineStr">
        <is>
          <t>Effet des prix des commodités sur l'EBITDA</t>
        </is>
      </c>
      <c r="C566" s="21" t="n">
        <v>-60</v>
      </c>
      <c r="D566" s="5" t="inlineStr">
        <is>
          <t>M EUR</t>
        </is>
      </c>
      <c r="E566" s="5" t="inlineStr">
        <is>
          <t>S1 2026</t>
        </is>
      </c>
      <c r="F566" s="22" t="inlineStr">
        <is>
          <t>-60</t>
        </is>
      </c>
      <c r="G566" s="5" t="inlineStr">
        <is>
          <t>01_Financial/veolia_finance_amendment_urd_2025.pdf</t>
        </is>
      </c>
      <c r="H566" s="23" t="n">
        <v>22</v>
      </c>
      <c r="I566" s="5" t="inlineStr">
        <is>
          <t>3 Capacité</t>
        </is>
      </c>
      <c r="J566" s="22" t="inlineStr">
        <is>
          <t>https://www.veolia.com/sites/g/files/dvc4206/files/document/2026/07/Veolia_Finance_Amendment_URD_2025.pdf</t>
        </is>
      </c>
      <c r="K566" s="22" t="inlineStr">
        <is>
          <t>2026-09-22</t>
        </is>
      </c>
      <c r="L566" s="24" t="inlineStr">
        <is>
          <t>à relire</t>
        </is>
      </c>
    </row>
    <row r="567">
      <c r="A567" s="25" t="inlineStr">
        <is>
          <t>F562</t>
        </is>
      </c>
      <c r="B567" s="26" t="inlineStr">
        <is>
          <t>Hybrides : encours hors coupons</t>
        </is>
      </c>
      <c r="C567" s="27" t="n">
        <v>4.1</v>
      </c>
      <c r="D567" s="26" t="inlineStr">
        <is>
          <t>Md EUR</t>
        </is>
      </c>
      <c r="E567" s="26" t="inlineStr">
        <is>
          <t>31/12/2025</t>
        </is>
      </c>
      <c r="F567" s="28" t="inlineStr">
        <is>
          <t>4.1</t>
        </is>
      </c>
      <c r="G567" s="26" t="inlineStr">
        <is>
          <t>01_Financial/finance_veolia_urd_2025_en.pdf</t>
        </is>
      </c>
      <c r="H567" s="29" t="n">
        <v>429</v>
      </c>
      <c r="I567" s="26" t="inlineStr">
        <is>
          <t>2 Contrainte</t>
        </is>
      </c>
      <c r="J567" s="28" t="inlineStr">
        <is>
          <t>https://www.veolia.com/sites/g/files/dvc4206/files/document/2026/03/Finance_Veolia_URD_2025_en.pdf</t>
        </is>
      </c>
      <c r="K567" s="28" t="inlineStr">
        <is>
          <t>2026-09-22</t>
        </is>
      </c>
      <c r="L567" s="30" t="inlineStr">
        <is>
          <t>à relire</t>
        </is>
      </c>
    </row>
    <row r="568">
      <c r="A568" s="20" t="inlineStr">
        <is>
          <t>F563</t>
        </is>
      </c>
      <c r="B568" s="5" t="inlineStr">
        <is>
          <t>Hybride octobre 2020, tranche résiduelle : nominal</t>
        </is>
      </c>
      <c r="C568" s="21" t="n">
        <v>1150</v>
      </c>
      <c r="D568" s="5" t="inlineStr">
        <is>
          <t>M EUR</t>
        </is>
      </c>
      <c r="E568" s="5" t="inlineStr">
        <is>
          <t>31/12/2025</t>
        </is>
      </c>
      <c r="F568" s="22" t="inlineStr">
        <is>
          <t>1,150</t>
        </is>
      </c>
      <c r="G568" s="5" t="inlineStr">
        <is>
          <t>01_Financial/finance_veolia_urd_2025_en.pdf</t>
        </is>
      </c>
      <c r="H568" s="23" t="n">
        <v>429</v>
      </c>
      <c r="I568" s="5" t="inlineStr">
        <is>
          <t>2 Contrainte</t>
        </is>
      </c>
      <c r="J568" s="22" t="inlineStr">
        <is>
          <t>https://www.veolia.com/sites/g/files/dvc4206/files/document/2026/03/Finance_Veolia_URD_2025_en.pdf</t>
        </is>
      </c>
      <c r="K568" s="22" t="inlineStr">
        <is>
          <t>2026-09-22</t>
        </is>
      </c>
      <c r="L568" s="24" t="inlineStr">
        <is>
          <t>à relire</t>
        </is>
      </c>
    </row>
    <row r="569">
      <c r="A569" s="25" t="inlineStr">
        <is>
          <t>F564</t>
        </is>
      </c>
      <c r="B569" s="26" t="inlineStr">
        <is>
          <t>Hybride octobre 2020, tranche résiduelle : coupon jusqu'à la première date de réinitialisation (04/2029)</t>
        </is>
      </c>
      <c r="C569" s="27" t="n">
        <v>2.5</v>
      </c>
      <c r="D569" s="26" t="inlineStr">
        <is>
          <t>%</t>
        </is>
      </c>
      <c r="E569" s="26" t="inlineStr">
        <is>
          <t>31/12/2025</t>
        </is>
      </c>
      <c r="F569" s="28" t="inlineStr">
        <is>
          <t>2.50</t>
        </is>
      </c>
      <c r="G569" s="26" t="inlineStr">
        <is>
          <t>01_Financial/finance_veolia_urd_2025_en.pdf</t>
        </is>
      </c>
      <c r="H569" s="29" t="n">
        <v>429</v>
      </c>
      <c r="I569" s="26" t="inlineStr">
        <is>
          <t>2 Contrainte</t>
        </is>
      </c>
      <c r="J569" s="28" t="inlineStr">
        <is>
          <t>https://www.veolia.com/sites/g/files/dvc4206/files/document/2026/03/Finance_Veolia_URD_2025_en.pdf</t>
        </is>
      </c>
      <c r="K569" s="28" t="inlineStr">
        <is>
          <t>2026-09-22</t>
        </is>
      </c>
      <c r="L569" s="30" t="inlineStr">
        <is>
          <t>à relire</t>
        </is>
      </c>
    </row>
    <row r="570">
      <c r="A570" s="20" t="inlineStr">
        <is>
          <t>F565</t>
        </is>
      </c>
      <c r="B570" s="5" t="inlineStr">
        <is>
          <t>Hybride septembre 2019 : nominal</t>
        </is>
      </c>
      <c r="C570" s="21" t="n">
        <v>500</v>
      </c>
      <c r="D570" s="5" t="inlineStr">
        <is>
          <t>M EUR</t>
        </is>
      </c>
      <c r="E570" s="5" t="inlineStr">
        <is>
          <t>31/12/2025</t>
        </is>
      </c>
      <c r="F570" s="22" t="inlineStr">
        <is>
          <t>500</t>
        </is>
      </c>
      <c r="G570" s="5" t="inlineStr">
        <is>
          <t>01_Financial/finance_veolia_urd_2025_en.pdf</t>
        </is>
      </c>
      <c r="H570" s="23" t="n">
        <v>429</v>
      </c>
      <c r="I570" s="5" t="inlineStr">
        <is>
          <t>2 Contrainte</t>
        </is>
      </c>
      <c r="J570" s="22" t="inlineStr">
        <is>
          <t>https://www.veolia.com/sites/g/files/dvc4206/files/document/2026/03/Finance_Veolia_URD_2025_en.pdf</t>
        </is>
      </c>
      <c r="K570" s="22" t="inlineStr">
        <is>
          <t>2026-09-22</t>
        </is>
      </c>
      <c r="L570" s="24" t="inlineStr">
        <is>
          <t>à relire</t>
        </is>
      </c>
    </row>
    <row r="571">
      <c r="A571" s="25" t="inlineStr">
        <is>
          <t>F566</t>
        </is>
      </c>
      <c r="B571" s="26" t="inlineStr">
        <is>
          <t>Hybride septembre 2019 : coupon jusqu'à la première date de réinitialisation (09/2026)</t>
        </is>
      </c>
      <c r="C571" s="27" t="n">
        <v>1.625</v>
      </c>
      <c r="D571" s="26" t="inlineStr">
        <is>
          <t>%</t>
        </is>
      </c>
      <c r="E571" s="26" t="inlineStr">
        <is>
          <t>31/12/2025</t>
        </is>
      </c>
      <c r="F571" s="28" t="inlineStr">
        <is>
          <t>1.625</t>
        </is>
      </c>
      <c r="G571" s="26" t="inlineStr">
        <is>
          <t>01_Financial/finance_veolia_urd_2025_en.pdf</t>
        </is>
      </c>
      <c r="H571" s="29" t="n">
        <v>429</v>
      </c>
      <c r="I571" s="26" t="inlineStr">
        <is>
          <t>2 Contrainte</t>
        </is>
      </c>
      <c r="J571" s="28" t="inlineStr">
        <is>
          <t>https://www.veolia.com/sites/g/files/dvc4206/files/document/2026/03/Finance_Veolia_URD_2025_en.pdf</t>
        </is>
      </c>
      <c r="K571" s="28" t="inlineStr">
        <is>
          <t>2026-09-22</t>
        </is>
      </c>
      <c r="L571" s="30" t="inlineStr">
        <is>
          <t>à relire</t>
        </is>
      </c>
    </row>
    <row r="572">
      <c r="A572" s="20" t="inlineStr">
        <is>
          <t>F567</t>
        </is>
      </c>
      <c r="B572" s="5" t="inlineStr">
        <is>
          <t>Hybride novembre 2021 : nominal</t>
        </is>
      </c>
      <c r="C572" s="21" t="n">
        <v>500</v>
      </c>
      <c r="D572" s="5" t="inlineStr">
        <is>
          <t>M EUR</t>
        </is>
      </c>
      <c r="E572" s="5" t="inlineStr">
        <is>
          <t>31/12/2025</t>
        </is>
      </c>
      <c r="F572" s="22" t="inlineStr">
        <is>
          <t>500</t>
        </is>
      </c>
      <c r="G572" s="5" t="inlineStr">
        <is>
          <t>01_Financial/finance_veolia_urd_2025_en.pdf</t>
        </is>
      </c>
      <c r="H572" s="23" t="n">
        <v>429</v>
      </c>
      <c r="I572" s="5" t="inlineStr">
        <is>
          <t>2 Contrainte</t>
        </is>
      </c>
      <c r="J572" s="22" t="inlineStr">
        <is>
          <t>https://www.veolia.com/sites/g/files/dvc4206/files/document/2026/03/Finance_Veolia_URD_2025_en.pdf</t>
        </is>
      </c>
      <c r="K572" s="22" t="inlineStr">
        <is>
          <t>2026-09-22</t>
        </is>
      </c>
      <c r="L572" s="24" t="inlineStr">
        <is>
          <t>à relire</t>
        </is>
      </c>
    </row>
    <row r="573">
      <c r="A573" s="25" t="inlineStr">
        <is>
          <t>F568</t>
        </is>
      </c>
      <c r="B573" s="26" t="inlineStr">
        <is>
          <t>Hybride novembre 2021 : coupon jusqu'à la première date de réinitialisation (02/2028)</t>
        </is>
      </c>
      <c r="C573" s="31" t="n">
        <v>2</v>
      </c>
      <c r="D573" s="26" t="inlineStr">
        <is>
          <t>%</t>
        </is>
      </c>
      <c r="E573" s="26" t="inlineStr">
        <is>
          <t>31/12/2025</t>
        </is>
      </c>
      <c r="F573" s="28" t="inlineStr">
        <is>
          <t>2</t>
        </is>
      </c>
      <c r="G573" s="26" t="inlineStr">
        <is>
          <t>01_Financial/finance_veolia_urd_2025_en.pdf</t>
        </is>
      </c>
      <c r="H573" s="29" t="n">
        <v>429</v>
      </c>
      <c r="I573" s="26" t="inlineStr">
        <is>
          <t>2 Contrainte</t>
        </is>
      </c>
      <c r="J573" s="28" t="inlineStr">
        <is>
          <t>https://www.veolia.com/sites/g/files/dvc4206/files/document/2026/03/Finance_Veolia_URD_2025_en.pdf</t>
        </is>
      </c>
      <c r="K573" s="28" t="inlineStr">
        <is>
          <t>2026-09-22</t>
        </is>
      </c>
      <c r="L573" s="30" t="inlineStr">
        <is>
          <t>à relire</t>
        </is>
      </c>
    </row>
    <row r="574">
      <c r="A574" s="20" t="inlineStr">
        <is>
          <t>F569</t>
        </is>
      </c>
      <c r="B574" s="5" t="inlineStr">
        <is>
          <t>Hybride novembre 2023 : nominal</t>
        </is>
      </c>
      <c r="C574" s="21" t="n">
        <v>600</v>
      </c>
      <c r="D574" s="5" t="inlineStr">
        <is>
          <t>M EUR</t>
        </is>
      </c>
      <c r="E574" s="5" t="inlineStr">
        <is>
          <t>31/12/2025</t>
        </is>
      </c>
      <c r="F574" s="22" t="inlineStr">
        <is>
          <t>600</t>
        </is>
      </c>
      <c r="G574" s="5" t="inlineStr">
        <is>
          <t>01_Financial/finance_veolia_urd_2025_en.pdf</t>
        </is>
      </c>
      <c r="H574" s="23" t="n">
        <v>429</v>
      </c>
      <c r="I574" s="5" t="inlineStr">
        <is>
          <t>2 Contrainte</t>
        </is>
      </c>
      <c r="J574" s="22" t="inlineStr">
        <is>
          <t>https://www.veolia.com/sites/g/files/dvc4206/files/document/2026/03/Finance_Veolia_URD_2025_en.pdf</t>
        </is>
      </c>
      <c r="K574" s="22" t="inlineStr">
        <is>
          <t>2026-09-22</t>
        </is>
      </c>
      <c r="L574" s="24" t="inlineStr">
        <is>
          <t>à relire</t>
        </is>
      </c>
    </row>
    <row r="575">
      <c r="A575" s="25" t="inlineStr">
        <is>
          <t>F570</t>
        </is>
      </c>
      <c r="B575" s="26" t="inlineStr">
        <is>
          <t>Hybride novembre 2023 : coupon jusqu'à la première date de réinitialisation (02/2029)</t>
        </is>
      </c>
      <c r="C575" s="31" t="n">
        <v>6</v>
      </c>
      <c r="D575" s="26" t="inlineStr">
        <is>
          <t>%</t>
        </is>
      </c>
      <c r="E575" s="26" t="inlineStr">
        <is>
          <t>31/12/2025</t>
        </is>
      </c>
      <c r="F575" s="28" t="inlineStr">
        <is>
          <t>6</t>
        </is>
      </c>
      <c r="G575" s="26" t="inlineStr">
        <is>
          <t>01_Financial/finance_veolia_urd_2025_en.pdf</t>
        </is>
      </c>
      <c r="H575" s="29" t="n">
        <v>429</v>
      </c>
      <c r="I575" s="26" t="inlineStr">
        <is>
          <t>2 Contrainte</t>
        </is>
      </c>
      <c r="J575" s="28" t="inlineStr">
        <is>
          <t>https://www.veolia.com/sites/g/files/dvc4206/files/document/2026/03/Finance_Veolia_URD_2025_en.pdf</t>
        </is>
      </c>
      <c r="K575" s="28" t="inlineStr">
        <is>
          <t>2026-09-22</t>
        </is>
      </c>
      <c r="L575" s="30" t="inlineStr">
        <is>
          <t>à relire</t>
        </is>
      </c>
    </row>
    <row r="576">
      <c r="A576" s="20" t="inlineStr">
        <is>
          <t>F571</t>
        </is>
      </c>
      <c r="B576" s="5" t="inlineStr">
        <is>
          <t>Hybride mai 2025 (hybride vert) : nominal</t>
        </is>
      </c>
      <c r="C576" s="21" t="n">
        <v>500</v>
      </c>
      <c r="D576" s="5" t="inlineStr">
        <is>
          <t>M EUR</t>
        </is>
      </c>
      <c r="E576" s="5" t="inlineStr">
        <is>
          <t>31/12/2025</t>
        </is>
      </c>
      <c r="F576" s="22" t="inlineStr">
        <is>
          <t>500</t>
        </is>
      </c>
      <c r="G576" s="5" t="inlineStr">
        <is>
          <t>01_Financial/finance_veolia_urd_2025_en.pdf</t>
        </is>
      </c>
      <c r="H576" s="23" t="n">
        <v>429</v>
      </c>
      <c r="I576" s="5" t="inlineStr">
        <is>
          <t>2 Contrainte</t>
        </is>
      </c>
      <c r="J576" s="22" t="inlineStr">
        <is>
          <t>https://www.veolia.com/sites/g/files/dvc4206/files/document/2026/03/Finance_Veolia_URD_2025_en.pdf</t>
        </is>
      </c>
      <c r="K576" s="22" t="inlineStr">
        <is>
          <t>2026-09-22</t>
        </is>
      </c>
      <c r="L576" s="24" t="inlineStr">
        <is>
          <t>à relire</t>
        </is>
      </c>
    </row>
    <row r="577">
      <c r="A577" s="25" t="inlineStr">
        <is>
          <t>F572</t>
        </is>
      </c>
      <c r="B577" s="26" t="inlineStr">
        <is>
          <t>Hybride mai 2025 (hybride vert) : coupon jusqu'à la première date de réinitialisation (08/2030)</t>
        </is>
      </c>
      <c r="C577" s="27" t="n">
        <v>4.371</v>
      </c>
      <c r="D577" s="26" t="inlineStr">
        <is>
          <t>%</t>
        </is>
      </c>
      <c r="E577" s="26" t="inlineStr">
        <is>
          <t>31/12/2025</t>
        </is>
      </c>
      <c r="F577" s="28" t="inlineStr">
        <is>
          <t>4.371</t>
        </is>
      </c>
      <c r="G577" s="26" t="inlineStr">
        <is>
          <t>01_Financial/finance_veolia_urd_2025_en.pdf</t>
        </is>
      </c>
      <c r="H577" s="29" t="n">
        <v>429</v>
      </c>
      <c r="I577" s="26" t="inlineStr">
        <is>
          <t>2 Contrainte</t>
        </is>
      </c>
      <c r="J577" s="28" t="inlineStr">
        <is>
          <t>https://www.veolia.com/sites/g/files/dvc4206/files/document/2026/03/Finance_Veolia_URD_2025_en.pdf</t>
        </is>
      </c>
      <c r="K577" s="28" t="inlineStr">
        <is>
          <t>2026-09-22</t>
        </is>
      </c>
      <c r="L577" s="30" t="inlineStr">
        <is>
          <t>à relire</t>
        </is>
      </c>
    </row>
    <row r="578">
      <c r="A578" s="20" t="inlineStr">
        <is>
          <t>F573</t>
        </is>
      </c>
      <c r="B578" s="5" t="inlineStr">
        <is>
          <t>Hybride septembre 2025 : nominal</t>
        </is>
      </c>
      <c r="C578" s="21" t="n">
        <v>850</v>
      </c>
      <c r="D578" s="5" t="inlineStr">
        <is>
          <t>M EUR</t>
        </is>
      </c>
      <c r="E578" s="5" t="inlineStr">
        <is>
          <t>31/12/2025</t>
        </is>
      </c>
      <c r="F578" s="22" t="inlineStr">
        <is>
          <t>850</t>
        </is>
      </c>
      <c r="G578" s="5" t="inlineStr">
        <is>
          <t>01_Financial/finance_veolia_urd_2025_en.pdf</t>
        </is>
      </c>
      <c r="H578" s="23" t="n">
        <v>429</v>
      </c>
      <c r="I578" s="5" t="inlineStr">
        <is>
          <t>2 Contrainte</t>
        </is>
      </c>
      <c r="J578" s="22" t="inlineStr">
        <is>
          <t>https://www.veolia.com/sites/g/files/dvc4206/files/document/2026/03/Finance_Veolia_URD_2025_en.pdf</t>
        </is>
      </c>
      <c r="K578" s="22" t="inlineStr">
        <is>
          <t>2026-09-22</t>
        </is>
      </c>
      <c r="L578" s="24" t="inlineStr">
        <is>
          <t>à relire</t>
        </is>
      </c>
    </row>
    <row r="579">
      <c r="A579" s="25" t="inlineStr">
        <is>
          <t>F574</t>
        </is>
      </c>
      <c r="B579" s="26" t="inlineStr">
        <is>
          <t>Hybride septembre 2025 : coupon jusqu'à la première date de réinitialisation (01/2033)</t>
        </is>
      </c>
      <c r="C579" s="27" t="n">
        <v>4.322</v>
      </c>
      <c r="D579" s="26" t="inlineStr">
        <is>
          <t>%</t>
        </is>
      </c>
      <c r="E579" s="26" t="inlineStr">
        <is>
          <t>31/12/2025</t>
        </is>
      </c>
      <c r="F579" s="28" t="inlineStr">
        <is>
          <t>4.322</t>
        </is>
      </c>
      <c r="G579" s="26" t="inlineStr">
        <is>
          <t>01_Financial/finance_veolia_urd_2025_en.pdf</t>
        </is>
      </c>
      <c r="H579" s="29" t="n">
        <v>429</v>
      </c>
      <c r="I579" s="26" t="inlineStr">
        <is>
          <t>2 Contrainte</t>
        </is>
      </c>
      <c r="J579" s="28" t="inlineStr">
        <is>
          <t>https://www.veolia.com/sites/g/files/dvc4206/files/document/2026/03/Finance_Veolia_URD_2025_en.pdf</t>
        </is>
      </c>
      <c r="K579" s="28" t="inlineStr">
        <is>
          <t>2026-09-22</t>
        </is>
      </c>
      <c r="L579" s="30" t="inlineStr">
        <is>
          <t>à relire</t>
        </is>
      </c>
    </row>
    <row r="580">
      <c r="A580" s="20" t="inlineStr">
        <is>
          <t>F575</t>
        </is>
      </c>
      <c r="B580" s="5" t="inlineStr">
        <is>
          <t>Hybride octobre 2020, première tranche remboursée en février 2026 : nominal</t>
        </is>
      </c>
      <c r="C580" s="21" t="n">
        <v>850</v>
      </c>
      <c r="D580" s="5" t="inlineStr">
        <is>
          <t>M EUR</t>
        </is>
      </c>
      <c r="E580" s="5" t="inlineStr">
        <is>
          <t>02/2026</t>
        </is>
      </c>
      <c r="F580" s="22" t="inlineStr">
        <is>
          <t>850</t>
        </is>
      </c>
      <c r="G580" s="5" t="inlineStr">
        <is>
          <t>01_Financial/finance_veolia_urd_2025_en.pdf</t>
        </is>
      </c>
      <c r="H580" s="23" t="n">
        <v>429</v>
      </c>
      <c r="I580" s="5" t="inlineStr">
        <is>
          <t>2 Contrainte</t>
        </is>
      </c>
      <c r="J580" s="22" t="inlineStr">
        <is>
          <t>https://www.veolia.com/sites/g/files/dvc4206/files/document/2026/03/Finance_Veolia_URD_2025_en.pdf</t>
        </is>
      </c>
      <c r="K580" s="22" t="inlineStr">
        <is>
          <t>2026-09-22</t>
        </is>
      </c>
      <c r="L580" s="24" t="inlineStr">
        <is>
          <t>à relire</t>
        </is>
      </c>
    </row>
    <row r="581">
      <c r="A581" s="25" t="inlineStr">
        <is>
          <t>F576</t>
        </is>
      </c>
      <c r="B581" s="26" t="inlineStr">
        <is>
          <t>Impact 2023 : EBITDA 2023 visé, bas</t>
        </is>
      </c>
      <c r="C581" s="27" t="n">
        <v>4.7</v>
      </c>
      <c r="D581" s="26" t="inlineStr">
        <is>
          <t>Md EUR</t>
        </is>
      </c>
      <c r="E581" s="26" t="inlineStr">
        <is>
          <t>2023</t>
        </is>
      </c>
      <c r="F581" s="28" t="inlineStr">
        <is>
          <t>4.7</t>
        </is>
      </c>
      <c r="G581" s="26" t="inlineStr">
        <is>
          <t>01_Financial/finance_annual_results_2023_presentation.pdf</t>
        </is>
      </c>
      <c r="H581" s="29" t="n">
        <v>37</v>
      </c>
      <c r="I581" s="26" t="inlineStr">
        <is>
          <t>3 Capacité</t>
        </is>
      </c>
      <c r="J581" s="28" t="inlineStr">
        <is>
          <t>https://www.veolia.com/sites/g/files/dvc4206/files/document/2024/02/Finance_Annual_results_2023_presentation.pdf</t>
        </is>
      </c>
      <c r="K581" s="28" t="inlineStr">
        <is>
          <t>2026-09-22</t>
        </is>
      </c>
      <c r="L581" s="30" t="inlineStr">
        <is>
          <t>à relire</t>
        </is>
      </c>
    </row>
    <row r="582">
      <c r="A582" s="20" t="inlineStr">
        <is>
          <t>F577</t>
        </is>
      </c>
      <c r="B582" s="5" t="inlineStr">
        <is>
          <t>Impact 2023 : EBITDA 2023 visé, haut</t>
        </is>
      </c>
      <c r="C582" s="32" t="n">
        <v>4.9</v>
      </c>
      <c r="D582" s="5" t="inlineStr">
        <is>
          <t>Md EUR</t>
        </is>
      </c>
      <c r="E582" s="5" t="inlineStr">
        <is>
          <t>2023</t>
        </is>
      </c>
      <c r="F582" s="22" t="inlineStr">
        <is>
          <t>4.9</t>
        </is>
      </c>
      <c r="G582" s="5" t="inlineStr">
        <is>
          <t>01_Financial/finance_annual_results_2023_presentation.pdf</t>
        </is>
      </c>
      <c r="H582" s="23" t="n">
        <v>37</v>
      </c>
      <c r="I582" s="5" t="inlineStr">
        <is>
          <t>3 Capacité</t>
        </is>
      </c>
      <c r="J582" s="22" t="inlineStr">
        <is>
          <t>https://www.veolia.com/sites/g/files/dvc4206/files/document/2024/02/Finance_Annual_results_2023_presentation.pdf</t>
        </is>
      </c>
      <c r="K582" s="22" t="inlineStr">
        <is>
          <t>2026-09-22</t>
        </is>
      </c>
      <c r="L582" s="24" t="inlineStr">
        <is>
          <t>à relire</t>
        </is>
      </c>
    </row>
    <row r="583">
      <c r="A583" s="25" t="inlineStr">
        <is>
          <t>F578</t>
        </is>
      </c>
      <c r="B583" s="26" t="inlineStr">
        <is>
          <t>Impact 2023 : EBITDA 2023 réalisé</t>
        </is>
      </c>
      <c r="C583" s="27" t="n">
        <v>6.5</v>
      </c>
      <c r="D583" s="26" t="inlineStr">
        <is>
          <t>Md EUR</t>
        </is>
      </c>
      <c r="E583" s="26" t="inlineStr">
        <is>
          <t>FY2023</t>
        </is>
      </c>
      <c r="F583" s="28" t="inlineStr">
        <is>
          <t>6.5</t>
        </is>
      </c>
      <c r="G583" s="26" t="inlineStr">
        <is>
          <t>01_Financial/finance_annual_results_2023_presentation.pdf</t>
        </is>
      </c>
      <c r="H583" s="29" t="n">
        <v>37</v>
      </c>
      <c r="I583" s="26" t="inlineStr">
        <is>
          <t>3 Capacité</t>
        </is>
      </c>
      <c r="J583" s="28" t="inlineStr">
        <is>
          <t>https://www.veolia.com/sites/g/files/dvc4206/files/document/2024/02/Finance_Annual_results_2023_presentation.pdf</t>
        </is>
      </c>
      <c r="K583" s="28" t="inlineStr">
        <is>
          <t>2026-09-22</t>
        </is>
      </c>
      <c r="L583" s="30" t="inlineStr">
        <is>
          <t>à relire</t>
        </is>
      </c>
    </row>
    <row r="584">
      <c r="A584" s="20" t="inlineStr">
        <is>
          <t>F579</t>
        </is>
      </c>
      <c r="B584" s="5" t="inlineStr">
        <is>
          <t>Impact 2023 : résultat net courant 2023 visé, environ</t>
        </is>
      </c>
      <c r="C584" s="21" t="n">
        <v>1</v>
      </c>
      <c r="D584" s="5" t="inlineStr">
        <is>
          <t>Md EUR</t>
        </is>
      </c>
      <c r="E584" s="5" t="inlineStr">
        <is>
          <t>2023</t>
        </is>
      </c>
      <c r="F584" s="22" t="inlineStr">
        <is>
          <t>1</t>
        </is>
      </c>
      <c r="G584" s="5" t="inlineStr">
        <is>
          <t>01_Financial/finance_annual_results_2023_presentation.pdf</t>
        </is>
      </c>
      <c r="H584" s="23" t="n">
        <v>37</v>
      </c>
      <c r="I584" s="5" t="inlineStr">
        <is>
          <t>3 Capacité</t>
        </is>
      </c>
      <c r="J584" s="22" t="inlineStr">
        <is>
          <t>https://www.veolia.com/sites/g/files/dvc4206/files/document/2024/02/Finance_Annual_results_2023_presentation.pdf</t>
        </is>
      </c>
      <c r="K584" s="22" t="inlineStr">
        <is>
          <t>2026-09-22</t>
        </is>
      </c>
      <c r="L584" s="24" t="inlineStr">
        <is>
          <t>à relire</t>
        </is>
      </c>
    </row>
    <row r="585">
      <c r="A585" s="25" t="inlineStr">
        <is>
          <t>F580</t>
        </is>
      </c>
      <c r="B585" s="26" t="inlineStr">
        <is>
          <t>Impact 2023 : résultat net courant 2023 réalisé</t>
        </is>
      </c>
      <c r="C585" s="31" t="n">
        <v>1335</v>
      </c>
      <c r="D585" s="26" t="inlineStr">
        <is>
          <t>M EUR</t>
        </is>
      </c>
      <c r="E585" s="26" t="inlineStr">
        <is>
          <t>FY2023</t>
        </is>
      </c>
      <c r="F585" s="28" t="inlineStr">
        <is>
          <t>1 335</t>
        </is>
      </c>
      <c r="G585" s="26" t="inlineStr">
        <is>
          <t>01_Financial/finance_annual_results_2023_presentation.pdf</t>
        </is>
      </c>
      <c r="H585" s="29" t="n">
        <v>37</v>
      </c>
      <c r="I585" s="26" t="inlineStr">
        <is>
          <t>3 Capacité</t>
        </is>
      </c>
      <c r="J585" s="28" t="inlineStr">
        <is>
          <t>https://www.veolia.com/sites/g/files/dvc4206/files/document/2024/02/Finance_Annual_results_2023_presentation.pdf</t>
        </is>
      </c>
      <c r="K585" s="28" t="inlineStr">
        <is>
          <t>2026-09-22</t>
        </is>
      </c>
      <c r="L585" s="30" t="inlineStr">
        <is>
          <t>à relire</t>
        </is>
      </c>
    </row>
    <row r="586">
      <c r="A586" s="20" t="inlineStr">
        <is>
          <t>F581</t>
        </is>
      </c>
      <c r="B586" s="5" t="inlineStr">
        <is>
          <t>Impact 2023 : levier 2023 réalisé</t>
        </is>
      </c>
      <c r="C586" s="32" t="n">
        <v>2.74</v>
      </c>
      <c r="D586" s="5" t="inlineStr">
        <is>
          <t>x</t>
        </is>
      </c>
      <c r="E586" s="5" t="inlineStr">
        <is>
          <t>FY2023</t>
        </is>
      </c>
      <c r="F586" s="22" t="inlineStr">
        <is>
          <t>2.74</t>
        </is>
      </c>
      <c r="G586" s="5" t="inlineStr">
        <is>
          <t>01_Financial/finance_annual_results_2023_presentation.pdf</t>
        </is>
      </c>
      <c r="H586" s="23" t="n">
        <v>37</v>
      </c>
      <c r="I586" s="5" t="inlineStr">
        <is>
          <t>3 Capacité</t>
        </is>
      </c>
      <c r="J586" s="22" t="inlineStr">
        <is>
          <t>https://www.veolia.com/sites/g/files/dvc4206/files/document/2024/02/Finance_Annual_results_2023_presentation.pdf</t>
        </is>
      </c>
      <c r="K586" s="22" t="inlineStr">
        <is>
          <t>2026-09-22</t>
        </is>
      </c>
      <c r="L586" s="24" t="inlineStr">
        <is>
          <t>à relire</t>
        </is>
      </c>
    </row>
    <row r="587">
      <c r="A587" s="25" t="inlineStr">
        <is>
          <t>F582</t>
        </is>
      </c>
      <c r="B587" s="26" t="inlineStr">
        <is>
          <t>Impact 2023 : chiffre d'affaires déchets liquides et dangereux visé, plus de</t>
        </is>
      </c>
      <c r="C587" s="31" t="n">
        <v>4</v>
      </c>
      <c r="D587" s="26" t="inlineStr">
        <is>
          <t>Md EUR</t>
        </is>
      </c>
      <c r="E587" s="26" t="inlineStr">
        <is>
          <t>2023</t>
        </is>
      </c>
      <c r="F587" s="28" t="inlineStr">
        <is>
          <t>4</t>
        </is>
      </c>
      <c r="G587" s="26" t="inlineStr">
        <is>
          <t>01_Financial/finance_annual_results_2023_presentation.pdf</t>
        </is>
      </c>
      <c r="H587" s="29" t="n">
        <v>35</v>
      </c>
      <c r="I587" s="26" t="inlineStr">
        <is>
          <t>4 Écart</t>
        </is>
      </c>
      <c r="J587" s="28" t="inlineStr">
        <is>
          <t>https://www.veolia.com/sites/g/files/dvc4206/files/document/2024/02/Finance_Annual_results_2023_presentation.pdf</t>
        </is>
      </c>
      <c r="K587" s="28" t="inlineStr">
        <is>
          <t>2026-09-22</t>
        </is>
      </c>
      <c r="L587" s="30" t="inlineStr">
        <is>
          <t>à relire</t>
        </is>
      </c>
    </row>
    <row r="588">
      <c r="A588" s="20" t="inlineStr">
        <is>
          <t>F583</t>
        </is>
      </c>
      <c r="B588" s="5" t="inlineStr">
        <is>
          <t>Impact 2023 : chiffre d'affaires déchets liquides et dangereux réalisé</t>
        </is>
      </c>
      <c r="C588" s="32" t="n">
        <v>4.2</v>
      </c>
      <c r="D588" s="5" t="inlineStr">
        <is>
          <t>Md EUR</t>
        </is>
      </c>
      <c r="E588" s="5" t="inlineStr">
        <is>
          <t>FY2023</t>
        </is>
      </c>
      <c r="F588" s="22" t="inlineStr">
        <is>
          <t>4.2</t>
        </is>
      </c>
      <c r="G588" s="5" t="inlineStr">
        <is>
          <t>01_Financial/finance_annual_results_2023_presentation.pdf</t>
        </is>
      </c>
      <c r="H588" s="23" t="n">
        <v>35</v>
      </c>
      <c r="I588" s="5" t="inlineStr">
        <is>
          <t>4 Écart</t>
        </is>
      </c>
      <c r="J588" s="22" t="inlineStr">
        <is>
          <t>https://www.veolia.com/sites/g/files/dvc4206/files/document/2024/02/Finance_Annual_results_2023_presentation.pdf</t>
        </is>
      </c>
      <c r="K588" s="22" t="inlineStr">
        <is>
          <t>2026-09-22</t>
        </is>
      </c>
      <c r="L588" s="24" t="inlineStr">
        <is>
          <t>à relire</t>
        </is>
      </c>
    </row>
    <row r="589">
      <c r="A589" s="25" t="inlineStr">
        <is>
          <t>F584</t>
        </is>
      </c>
      <c r="B589" s="26" t="inlineStr">
        <is>
          <t>Impact 2023 : émissions évitées visées</t>
        </is>
      </c>
      <c r="C589" s="31" t="n">
        <v>15</v>
      </c>
      <c r="D589" s="26" t="inlineStr">
        <is>
          <t>Mt CO2eq</t>
        </is>
      </c>
      <c r="E589" s="26" t="inlineStr">
        <is>
          <t>2023</t>
        </is>
      </c>
      <c r="F589" s="28" t="inlineStr">
        <is>
          <t>15</t>
        </is>
      </c>
      <c r="G589" s="26" t="inlineStr">
        <is>
          <t>01_Financial/finance_annual_results_2023_presentation.pdf</t>
        </is>
      </c>
      <c r="H589" s="29" t="n">
        <v>35</v>
      </c>
      <c r="I589" s="26" t="inlineStr">
        <is>
          <t>5 ESG</t>
        </is>
      </c>
      <c r="J589" s="28" t="inlineStr">
        <is>
          <t>https://www.veolia.com/sites/g/files/dvc4206/files/document/2024/02/Finance_Annual_results_2023_presentation.pdf</t>
        </is>
      </c>
      <c r="K589" s="28" t="inlineStr">
        <is>
          <t>2026-09-22</t>
        </is>
      </c>
      <c r="L589" s="30" t="inlineStr">
        <is>
          <t>à relire</t>
        </is>
      </c>
    </row>
    <row r="590">
      <c r="A590" s="20" t="inlineStr">
        <is>
          <t>F585</t>
        </is>
      </c>
      <c r="B590" s="5" t="inlineStr">
        <is>
          <t>Impact 2023 : émissions évitées réalisées</t>
        </is>
      </c>
      <c r="C590" s="32" t="n">
        <v>15.5</v>
      </c>
      <c r="D590" s="5" t="inlineStr">
        <is>
          <t>Mt CO2eq</t>
        </is>
      </c>
      <c r="E590" s="5" t="inlineStr">
        <is>
          <t>FY2023</t>
        </is>
      </c>
      <c r="F590" s="22" t="inlineStr">
        <is>
          <t>15.5</t>
        </is>
      </c>
      <c r="G590" s="5" t="inlineStr">
        <is>
          <t>01_Financial/finance_annual_results_2023_presentation.pdf</t>
        </is>
      </c>
      <c r="H590" s="23" t="n">
        <v>35</v>
      </c>
      <c r="I590" s="5" t="inlineStr">
        <is>
          <t>5 ESG</t>
        </is>
      </c>
      <c r="J590" s="22" t="inlineStr">
        <is>
          <t>https://www.veolia.com/sites/g/files/dvc4206/files/document/2024/02/Finance_Annual_results_2023_presentation.pdf</t>
        </is>
      </c>
      <c r="K590" s="22" t="inlineStr">
        <is>
          <t>2026-09-22</t>
        </is>
      </c>
      <c r="L590" s="24" t="inlineStr">
        <is>
          <t>à relire</t>
        </is>
      </c>
    </row>
    <row r="591">
      <c r="A591" s="25" t="inlineStr">
        <is>
          <t>F586</t>
        </is>
      </c>
      <c r="B591" s="26" t="inlineStr">
        <is>
          <t>Impact 2023 : plastiques transformés visés</t>
        </is>
      </c>
      <c r="C591" s="31" t="n">
        <v>610</v>
      </c>
      <c r="D591" s="26" t="inlineStr">
        <is>
          <t>kt</t>
        </is>
      </c>
      <c r="E591" s="26" t="inlineStr">
        <is>
          <t>2023</t>
        </is>
      </c>
      <c r="F591" s="28" t="inlineStr">
        <is>
          <t>610</t>
        </is>
      </c>
      <c r="G591" s="26" t="inlineStr">
        <is>
          <t>01_Financial/finance_annual_results_2023_presentation.pdf</t>
        </is>
      </c>
      <c r="H591" s="29" t="n">
        <v>35</v>
      </c>
      <c r="I591" s="26" t="inlineStr">
        <is>
          <t>5 ESG</t>
        </is>
      </c>
      <c r="J591" s="28" t="inlineStr">
        <is>
          <t>https://www.veolia.com/sites/g/files/dvc4206/files/document/2024/02/Finance_Annual_results_2023_presentation.pdf</t>
        </is>
      </c>
      <c r="K591" s="28" t="inlineStr">
        <is>
          <t>2026-09-22</t>
        </is>
      </c>
      <c r="L591" s="30" t="inlineStr">
        <is>
          <t>à relire</t>
        </is>
      </c>
    </row>
    <row r="592">
      <c r="A592" s="20" t="inlineStr">
        <is>
          <t>F587</t>
        </is>
      </c>
      <c r="B592" s="5" t="inlineStr">
        <is>
          <t>Impact 2023 : plastiques transformés réalisés</t>
        </is>
      </c>
      <c r="C592" s="21" t="n">
        <v>465</v>
      </c>
      <c r="D592" s="5" t="inlineStr">
        <is>
          <t>kt</t>
        </is>
      </c>
      <c r="E592" s="5" t="inlineStr">
        <is>
          <t>FY2023</t>
        </is>
      </c>
      <c r="F592" s="22" t="inlineStr">
        <is>
          <t>465</t>
        </is>
      </c>
      <c r="G592" s="5" t="inlineStr">
        <is>
          <t>01_Financial/finance_annual_results_2023_presentation.pdf</t>
        </is>
      </c>
      <c r="H592" s="23" t="n">
        <v>35</v>
      </c>
      <c r="I592" s="5" t="inlineStr">
        <is>
          <t>5 ESG</t>
        </is>
      </c>
      <c r="J592" s="22" t="inlineStr">
        <is>
          <t>https://www.veolia.com/sites/g/files/dvc4206/files/document/2024/02/Finance_Annual_results_2023_presentation.pdf</t>
        </is>
      </c>
      <c r="K592" s="22" t="inlineStr">
        <is>
          <t>2026-09-22</t>
        </is>
      </c>
      <c r="L592" s="24" t="inlineStr">
        <is>
          <t>à relire</t>
        </is>
      </c>
    </row>
    <row r="593">
      <c r="A593" s="25" t="inlineStr">
        <is>
          <t>F588</t>
        </is>
      </c>
      <c r="B593" s="26" t="inlineStr">
        <is>
          <t>Impact 2023 : part de femmes nommées parmi les 500 cadres dirigeants, visée</t>
        </is>
      </c>
      <c r="C593" s="31" t="n">
        <v>50</v>
      </c>
      <c r="D593" s="26" t="inlineStr">
        <is>
          <t>%</t>
        </is>
      </c>
      <c r="E593" s="26" t="inlineStr">
        <is>
          <t>2020-2023</t>
        </is>
      </c>
      <c r="F593" s="28" t="inlineStr">
        <is>
          <t>50</t>
        </is>
      </c>
      <c r="G593" s="26" t="inlineStr">
        <is>
          <t>01_Financial/finance_annual_results_2023_presentation.pdf</t>
        </is>
      </c>
      <c r="H593" s="29" t="n">
        <v>36</v>
      </c>
      <c r="I593" s="26" t="inlineStr">
        <is>
          <t>5 ESG</t>
        </is>
      </c>
      <c r="J593" s="28" t="inlineStr">
        <is>
          <t>https://www.veolia.com/sites/g/files/dvc4206/files/document/2024/02/Finance_Annual_results_2023_presentation.pdf</t>
        </is>
      </c>
      <c r="K593" s="28" t="inlineStr">
        <is>
          <t>2026-09-22</t>
        </is>
      </c>
      <c r="L593" s="30" t="inlineStr">
        <is>
          <t>à relire</t>
        </is>
      </c>
    </row>
    <row r="594">
      <c r="A594" s="20" t="inlineStr">
        <is>
          <t>F589</t>
        </is>
      </c>
      <c r="B594" s="5" t="inlineStr">
        <is>
          <t>Impact 2023 : part de femmes nommées parmi les 500 cadres dirigeants, réalisée</t>
        </is>
      </c>
      <c r="C594" s="32" t="n">
        <v>30.7</v>
      </c>
      <c r="D594" s="5" t="inlineStr">
        <is>
          <t>%</t>
        </is>
      </c>
      <c r="E594" s="5" t="inlineStr">
        <is>
          <t>2020-2023</t>
        </is>
      </c>
      <c r="F594" s="22" t="inlineStr">
        <is>
          <t>30.7</t>
        </is>
      </c>
      <c r="G594" s="5" t="inlineStr">
        <is>
          <t>01_Financial/finance_annual_results_2023_presentation.pdf</t>
        </is>
      </c>
      <c r="H594" s="23" t="n">
        <v>36</v>
      </c>
      <c r="I594" s="5" t="inlineStr">
        <is>
          <t>5 ESG</t>
        </is>
      </c>
      <c r="J594" s="22" t="inlineStr">
        <is>
          <t>https://www.veolia.com/sites/g/files/dvc4206/files/document/2024/02/Finance_Annual_results_2023_presentation.pdf</t>
        </is>
      </c>
      <c r="K594" s="22" t="inlineStr">
        <is>
          <t>2026-09-22</t>
        </is>
      </c>
      <c r="L594" s="24" t="inlineStr">
        <is>
          <t>à relire</t>
        </is>
      </c>
    </row>
    <row r="595">
      <c r="A595" s="25" t="inlineStr">
        <is>
          <t>F590</t>
        </is>
      </c>
      <c r="B595" s="26" t="inlineStr">
        <is>
          <t>Guidance 2025 : croissance organique de l'EBITDA, bas</t>
        </is>
      </c>
      <c r="C595" s="31" t="n">
        <v>5</v>
      </c>
      <c r="D595" s="26" t="inlineStr">
        <is>
          <t>%</t>
        </is>
      </c>
      <c r="E595" s="26" t="inlineStr">
        <is>
          <t>2025</t>
        </is>
      </c>
      <c r="F595" s="28" t="inlineStr">
        <is>
          <t>5</t>
        </is>
      </c>
      <c r="G595" s="26" t="inlineStr">
        <is>
          <t>01_Financial/finance_2024_full_year_results_presentation.pdf</t>
        </is>
      </c>
      <c r="H595" s="29" t="n">
        <v>16</v>
      </c>
      <c r="I595" s="26" t="inlineStr">
        <is>
          <t>3 Capacité</t>
        </is>
      </c>
      <c r="J595" s="28" t="inlineStr">
        <is>
          <t>https://www.veolia.com/sites/g/files/dvc4206/files/document/2025/02/Finance_2024_full_year_results_presentation.pdf</t>
        </is>
      </c>
      <c r="K595" s="28" t="inlineStr">
        <is>
          <t>2026-09-22</t>
        </is>
      </c>
      <c r="L595" s="30" t="inlineStr">
        <is>
          <t>à relire</t>
        </is>
      </c>
    </row>
    <row r="596">
      <c r="A596" s="20" t="inlineStr">
        <is>
          <t>F591</t>
        </is>
      </c>
      <c r="B596" s="5" t="inlineStr">
        <is>
          <t>Guidance 2025 : croissance organique de l'EBITDA, haut</t>
        </is>
      </c>
      <c r="C596" s="21" t="n">
        <v>6</v>
      </c>
      <c r="D596" s="5" t="inlineStr">
        <is>
          <t>%</t>
        </is>
      </c>
      <c r="E596" s="5" t="inlineStr">
        <is>
          <t>2025</t>
        </is>
      </c>
      <c r="F596" s="22" t="inlineStr">
        <is>
          <t>6</t>
        </is>
      </c>
      <c r="G596" s="5" t="inlineStr">
        <is>
          <t>01_Financial/finance_2024_full_year_results_presentation.pdf</t>
        </is>
      </c>
      <c r="H596" s="23" t="n">
        <v>16</v>
      </c>
      <c r="I596" s="5" t="inlineStr">
        <is>
          <t>3 Capacité</t>
        </is>
      </c>
      <c r="J596" s="22" t="inlineStr">
        <is>
          <t>https://www.veolia.com/sites/g/files/dvc4206/files/document/2025/02/Finance_2024_full_year_results_presentation.pdf</t>
        </is>
      </c>
      <c r="K596" s="22" t="inlineStr">
        <is>
          <t>2026-09-22</t>
        </is>
      </c>
      <c r="L596" s="24" t="inlineStr">
        <is>
          <t>à relire</t>
        </is>
      </c>
    </row>
    <row r="597">
      <c r="A597" s="25" t="inlineStr">
        <is>
          <t>F592</t>
        </is>
      </c>
      <c r="B597" s="26" t="inlineStr">
        <is>
          <t>Guidance 2025 : gains d'efficacité, plus de</t>
        </is>
      </c>
      <c r="C597" s="31" t="n">
        <v>350</v>
      </c>
      <c r="D597" s="26" t="inlineStr">
        <is>
          <t>M EUR</t>
        </is>
      </c>
      <c r="E597" s="26" t="inlineStr">
        <is>
          <t>2025</t>
        </is>
      </c>
      <c r="F597" s="28" t="inlineStr">
        <is>
          <t>350</t>
        </is>
      </c>
      <c r="G597" s="26" t="inlineStr">
        <is>
          <t>01_Financial/finance_2024_full_year_results_presentation.pdf</t>
        </is>
      </c>
      <c r="H597" s="29" t="n">
        <v>16</v>
      </c>
      <c r="I597" s="26" t="inlineStr">
        <is>
          <t>3 Capacité</t>
        </is>
      </c>
      <c r="J597" s="28" t="inlineStr">
        <is>
          <t>https://www.veolia.com/sites/g/files/dvc4206/files/document/2025/02/Finance_2024_full_year_results_presentation.pdf</t>
        </is>
      </c>
      <c r="K597" s="28" t="inlineStr">
        <is>
          <t>2026-09-22</t>
        </is>
      </c>
      <c r="L597" s="30" t="inlineStr">
        <is>
          <t>à relire</t>
        </is>
      </c>
    </row>
    <row r="598">
      <c r="A598" s="20" t="inlineStr">
        <is>
          <t>F593</t>
        </is>
      </c>
      <c r="B598" s="5" t="inlineStr">
        <is>
          <t>Guidance 2025 : synergies cumulées 2022-2025 visées</t>
        </is>
      </c>
      <c r="C598" s="21" t="n">
        <v>530</v>
      </c>
      <c r="D598" s="5" t="inlineStr">
        <is>
          <t>M EUR</t>
        </is>
      </c>
      <c r="E598" s="5" t="inlineStr">
        <is>
          <t>2025</t>
        </is>
      </c>
      <c r="F598" s="22" t="inlineStr">
        <is>
          <t>530</t>
        </is>
      </c>
      <c r="G598" s="5" t="inlineStr">
        <is>
          <t>01_Financial/finance_2024_full_year_results_presentation.pdf</t>
        </is>
      </c>
      <c r="H598" s="23" t="n">
        <v>16</v>
      </c>
      <c r="I598" s="5" t="inlineStr">
        <is>
          <t>3 Capacité</t>
        </is>
      </c>
      <c r="J598" s="22" t="inlineStr">
        <is>
          <t>https://www.veolia.com/sites/g/files/dvc4206/files/document/2025/02/Finance_2024_full_year_results_presentation.pdf</t>
        </is>
      </c>
      <c r="K598" s="22" t="inlineStr">
        <is>
          <t>2026-09-22</t>
        </is>
      </c>
      <c r="L598" s="24" t="inlineStr">
        <is>
          <t>à relire</t>
        </is>
      </c>
    </row>
    <row r="599">
      <c r="A599" s="25" t="inlineStr">
        <is>
          <t>F594</t>
        </is>
      </c>
      <c r="B599" s="26" t="inlineStr">
        <is>
          <t>Guidance 2025 : synergies attendues dans l'année</t>
        </is>
      </c>
      <c r="C599" s="31" t="n">
        <v>95</v>
      </c>
      <c r="D599" s="26" t="inlineStr">
        <is>
          <t>M EUR</t>
        </is>
      </c>
      <c r="E599" s="26" t="inlineStr">
        <is>
          <t>2025</t>
        </is>
      </c>
      <c r="F599" s="28" t="inlineStr">
        <is>
          <t>95</t>
        </is>
      </c>
      <c r="G599" s="26" t="inlineStr">
        <is>
          <t>01_Financial/finance_2024_full_year_results_presentation.pdf</t>
        </is>
      </c>
      <c r="H599" s="29" t="n">
        <v>16</v>
      </c>
      <c r="I599" s="26" t="inlineStr">
        <is>
          <t>3 Capacité</t>
        </is>
      </c>
      <c r="J599" s="28" t="inlineStr">
        <is>
          <t>https://www.veolia.com/sites/g/files/dvc4206/files/document/2025/02/Finance_2024_full_year_results_presentation.pdf</t>
        </is>
      </c>
      <c r="K599" s="28" t="inlineStr">
        <is>
          <t>2026-09-22</t>
        </is>
      </c>
      <c r="L599" s="30" t="inlineStr">
        <is>
          <t>à relire</t>
        </is>
      </c>
    </row>
    <row r="600">
      <c r="A600" s="20" t="inlineStr">
        <is>
          <t>F595</t>
        </is>
      </c>
      <c r="B600" s="5" t="inlineStr">
        <is>
          <t>Guidance 2025 : croissance du résultat net courant, environ</t>
        </is>
      </c>
      <c r="C600" s="21" t="n">
        <v>9</v>
      </c>
      <c r="D600" s="5" t="inlineStr">
        <is>
          <t>%</t>
        </is>
      </c>
      <c r="E600" s="5" t="inlineStr">
        <is>
          <t>2025</t>
        </is>
      </c>
      <c r="F600" s="22" t="inlineStr">
        <is>
          <t>9</t>
        </is>
      </c>
      <c r="G600" s="5" t="inlineStr">
        <is>
          <t>01_Financial/finance_2024_full_year_results_presentation.pdf</t>
        </is>
      </c>
      <c r="H600" s="23" t="n">
        <v>16</v>
      </c>
      <c r="I600" s="5" t="inlineStr">
        <is>
          <t>3 Capacité</t>
        </is>
      </c>
      <c r="J600" s="22" t="inlineStr">
        <is>
          <t>https://www.veolia.com/sites/g/files/dvc4206/files/document/2025/02/Finance_2024_full_year_results_presentation.pdf</t>
        </is>
      </c>
      <c r="K600" s="22" t="inlineStr">
        <is>
          <t>2026-09-22</t>
        </is>
      </c>
      <c r="L600" s="24" t="inlineStr">
        <is>
          <t>à relire</t>
        </is>
      </c>
    </row>
    <row r="601">
      <c r="A601" s="25" t="inlineStr">
        <is>
          <t>F596</t>
        </is>
      </c>
      <c r="B601" s="26" t="inlineStr">
        <is>
          <t>Résultat net courant 2025 : croissance réalisée</t>
        </is>
      </c>
      <c r="C601" s="27" t="n">
        <v>9.1</v>
      </c>
      <c r="D601" s="26" t="inlineStr">
        <is>
          <t>%</t>
        </is>
      </c>
      <c r="E601" s="26" t="inlineStr">
        <is>
          <t>FY2025</t>
        </is>
      </c>
      <c r="F601" s="28" t="inlineStr">
        <is>
          <t>+9.1</t>
        </is>
      </c>
      <c r="G601" s="26" t="inlineStr">
        <is>
          <t>01_Financial/finance_veolia_2025_full_year_results_presentation_0.pdf</t>
        </is>
      </c>
      <c r="H601" s="29" t="n">
        <v>21</v>
      </c>
      <c r="I601" s="26" t="inlineStr">
        <is>
          <t>3 Capacité</t>
        </is>
      </c>
      <c r="J601" s="28" t="inlineStr">
        <is>
          <t>https://www.veolia.com/sites/g/files/dvc4206/files/document/2026/03/Finance_Veolia_2025_full_year_results_presentation_0.pdf</t>
        </is>
      </c>
      <c r="K601" s="28" t="inlineStr">
        <is>
          <t>2026-09-22</t>
        </is>
      </c>
      <c r="L601" s="30" t="inlineStr">
        <is>
          <t>à relire</t>
        </is>
      </c>
    </row>
  </sheetData>
  <autoFilter ref="A5:L601"/>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J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1" customWidth="1" min="3" max="3"/>
    <col width="11" customWidth="1" min="4" max="4"/>
    <col width="11" customWidth="1" min="5" max="5"/>
    <col width="9" customWidth="1" min="6" max="6"/>
    <col width="78" customWidth="1" min="7" max="7"/>
    <col width="22" customWidth="1" min="8" max="8"/>
    <col width="9" customWidth="1" min="9" max="9"/>
    <col width="13" customWidth="1" min="10" max="10"/>
  </cols>
  <sheetData>
    <row r="1">
      <c r="A1" s="1" t="inlineStr">
        <is>
          <t>Hypothèses — ce que le groupe suppose, et pourquoi</t>
        </is>
      </c>
      <c r="B1" s="2" t="n"/>
      <c r="C1" s="2" t="n"/>
      <c r="D1" s="2" t="n"/>
      <c r="E1" s="2" t="n"/>
      <c r="F1" s="2" t="n"/>
      <c r="G1" s="2" t="n"/>
      <c r="H1" s="2" t="n"/>
      <c r="I1" s="2" t="n"/>
      <c r="J1" s="2" t="n"/>
    </row>
    <row r="2">
      <c r="A2" s="3" t="inlineStr">
        <is>
          <t>Seules les cellules jaunes se modifient. Base = scénario central ; Bas / Haut = bornes de la sensibilité.</t>
        </is>
      </c>
      <c r="B2" s="2" t="n"/>
      <c r="C2" s="2" t="n"/>
      <c r="D2" s="2" t="n"/>
      <c r="E2" s="2" t="n"/>
      <c r="F2" s="2" t="n"/>
      <c r="G2" s="2" t="n"/>
      <c r="H2" s="2" t="n"/>
      <c r="I2" s="2" t="n"/>
      <c r="J2" s="2" t="n"/>
    </row>
    <row r="3">
      <c r="A3" s="35">
        <f>"Scénario actif : "&amp;IF(COUNTIF($I$5:$I$27,"Bas")+COUNTIF($I$5:$I$27,"Haut")=0,"base partout",COUNTIF($I$5:$I$27,"Bas")+COUNTIF($I$5:$I$27,"Haut")&amp;" hypothèse(s) hors base")</f>
        <v/>
      </c>
      <c r="B3" s="2" t="n"/>
      <c r="C3" s="2" t="n"/>
      <c r="D3" s="2" t="n"/>
      <c r="E3" s="2" t="n"/>
      <c r="F3" s="2" t="n"/>
      <c r="G3" s="2" t="n"/>
      <c r="H3" s="2" t="n"/>
      <c r="I3" s="2" t="n"/>
      <c r="J3" s="2" t="n"/>
    </row>
    <row r="4">
      <c r="A4" s="19" t="inlineStr">
        <is>
          <t>Code</t>
        </is>
      </c>
      <c r="B4" s="19" t="inlineStr">
        <is>
          <t>Hypothèse</t>
        </is>
      </c>
      <c r="C4" s="19" t="inlineStr">
        <is>
          <t>Base</t>
        </is>
      </c>
      <c r="D4" s="19" t="inlineStr">
        <is>
          <t>Bas</t>
        </is>
      </c>
      <c r="E4" s="19" t="inlineStr">
        <is>
          <t>Haut</t>
        </is>
      </c>
      <c r="F4" s="19" t="inlineStr">
        <is>
          <t>Unité</t>
        </is>
      </c>
      <c r="G4" s="19" t="inlineStr">
        <is>
          <t>Justification et ancrage</t>
        </is>
      </c>
      <c r="H4" s="19" t="inlineStr">
        <is>
          <t>Réf.</t>
        </is>
      </c>
      <c r="I4" s="19" t="inlineStr">
        <is>
          <t>Actif</t>
        </is>
      </c>
      <c r="J4" s="19" t="inlineStr">
        <is>
          <t>Valeur active</t>
        </is>
      </c>
    </row>
    <row r="5" ht="30" customHeight="1">
      <c r="A5" s="20" t="inlineStr">
        <is>
          <t>g26</t>
        </is>
      </c>
      <c r="B5" s="13" t="inlineStr">
        <is>
          <t>Croissance organique de l'EBITDA en 2026</t>
        </is>
      </c>
      <c r="C5" s="36">
        <f>AVERAGE('Entrées'!$C$92,'Entrées'!$C$93)/100</f>
        <v/>
      </c>
      <c r="D5" s="36">
        <f>'Entrées'!$C$92/100</f>
        <v/>
      </c>
      <c r="E5" s="36">
        <f>'Entrées'!$C$93/100</f>
        <v/>
      </c>
      <c r="F5" s="5" t="inlineStr">
        <is>
          <t>%</t>
        </is>
      </c>
      <c r="G5" s="13" t="inlineStr">
        <is>
          <t>Milieu de la guidance « +5 % à +6 % » à périmètre et change constants. Bas et haut = les bornes publiées.</t>
        </is>
      </c>
      <c r="H5" s="22" t="inlineStr">
        <is>
          <t>F87, F88</t>
        </is>
      </c>
      <c r="I5" s="37" t="inlineStr">
        <is>
          <t>Base</t>
        </is>
      </c>
      <c r="J5" s="38">
        <f>IF(AND(I5="Bas",ISNUMBER(D5)),D5,IF(AND(I5="Haut",ISNUMBER(E5)),E5,C5))</f>
        <v/>
      </c>
    </row>
    <row r="6" ht="30" customHeight="1">
      <c r="A6" s="20" t="inlineStr">
        <is>
          <t>g27</t>
        </is>
      </c>
      <c r="B6" s="13" t="inlineStr">
        <is>
          <t>Croissance organique de l'EBITDA en 2027</t>
        </is>
      </c>
      <c r="C6" s="39">
        <f>C5</f>
        <v/>
      </c>
      <c r="D6" s="40" t="n">
        <v>0.04</v>
      </c>
      <c r="E6" s="40" t="n">
        <v>0.07000000000000001</v>
      </c>
      <c r="F6" s="5" t="inlineStr">
        <is>
          <t>%</t>
        </is>
      </c>
      <c r="G6" s="13" t="inlineStr">
        <is>
          <t>Aucune guidance 2027 publiée hors l'objectif ≥ 8 Md€ : on prolonge le rythme 2026. Bornes : hypothèse du groupe.</t>
        </is>
      </c>
      <c r="H6" s="22" t="inlineStr">
        <is>
          <t>—</t>
        </is>
      </c>
      <c r="I6" s="37" t="inlineStr">
        <is>
          <t>Base</t>
        </is>
      </c>
      <c r="J6" s="38">
        <f>IF(AND(I6="Bas",ISNUMBER(D6)),D6,IF(AND(I6="Haut",ISNUMBER(E6)),E6,C6))</f>
        <v/>
      </c>
    </row>
    <row r="7" ht="30" customHeight="1">
      <c r="A7" s="20" t="inlineStr">
        <is>
          <t>ceEb</t>
        </is>
      </c>
      <c r="B7" s="13" t="inlineStr">
        <is>
          <t>EBITDA de Clean Earth en année pleine</t>
        </is>
      </c>
      <c r="C7" s="41">
        <f>'Entrées'!$C$56</f>
        <v/>
      </c>
      <c r="D7" s="41">
        <f>'Entrées'!$C$56*0.9</f>
        <v/>
      </c>
      <c r="E7" s="41">
        <f>'Entrées'!$C$56*1.1</f>
        <v/>
      </c>
      <c r="F7" s="5" t="inlineStr">
        <is>
          <t>M USD</t>
        </is>
      </c>
      <c r="G7" s="13" t="inlineStr">
        <is>
          <t>EBITDA 2026E ajusté post IFRS 16 de la présentation d'acquisition ; ±10 % pour le risque d'intégration.</t>
        </is>
      </c>
      <c r="H7" s="22" t="inlineStr">
        <is>
          <t>F51</t>
        </is>
      </c>
      <c r="I7" s="37" t="inlineStr">
        <is>
          <t>Base</t>
        </is>
      </c>
      <c r="J7" s="42">
        <f>IF(AND(I7="Bas",ISNUMBER(D7)),D7,IF(AND(I7="Haut",ISNUMBER(E7)),E7,C7))</f>
        <v/>
      </c>
    </row>
    <row r="8" ht="30" customHeight="1">
      <c r="A8" s="20" t="inlineStr">
        <is>
          <t>syn</t>
        </is>
      </c>
      <c r="B8" s="13" t="inlineStr">
        <is>
          <t>Part des synergies réalisée en 2027</t>
        </is>
      </c>
      <c r="C8" s="40" t="n">
        <v>0.25</v>
      </c>
      <c r="D8" s="40" t="n">
        <v>0</v>
      </c>
      <c r="E8" s="40" t="n">
        <v>0.5</v>
      </c>
      <c r="F8" s="5" t="inlineStr">
        <is>
          <t>%</t>
        </is>
      </c>
      <c r="G8" s="13" t="inlineStr">
        <is>
          <t>Synergies attendues « à partir de 2027 » (CP S1 2026 p.3), 120 M$ en régime de croisière l'année 4 : montée linéaire supposée.</t>
        </is>
      </c>
      <c r="H8" s="22" t="inlineStr">
        <is>
          <t>F49</t>
        </is>
      </c>
      <c r="I8" s="37" t="inlineStr">
        <is>
          <t>Base</t>
        </is>
      </c>
      <c r="J8" s="38">
        <f>IF(AND(I8="Bas",ISNUMBER(D8)),D8,IF(AND(I8="Haut",ISNUMBER(E8)),E8,C8))</f>
        <v/>
      </c>
    </row>
    <row r="9" ht="30" customHeight="1">
      <c r="A9" s="20" t="inlineStr">
        <is>
          <t>fcfH2</t>
        </is>
      </c>
      <c r="B9" s="13" t="inlineStr">
        <is>
          <t>Cash-flow libre net du S2 2026</t>
        </is>
      </c>
      <c r="C9" s="41">
        <f>'Entrées'!$C$34-'Entrées'!$C$75</f>
        <v/>
      </c>
      <c r="D9" s="43">
        <f>C9*0.8</f>
        <v/>
      </c>
      <c r="E9" s="43">
        <f>C9*1.1</f>
        <v/>
      </c>
      <c r="F9" s="5" t="inlineStr">
        <is>
          <t>M EUR</t>
        </is>
      </c>
      <c r="G9" s="13" t="inlineStr">
        <is>
          <t>On reproduit le S2 2025 (année 1 178 moins S1 −451). Le BFR se reconstitue au S2 : c'est la saisonnalité qui fait baisser la dette en fin d'année.</t>
        </is>
      </c>
      <c r="H9" s="22" t="inlineStr">
        <is>
          <t>F29, F70</t>
        </is>
      </c>
      <c r="I9" s="37" t="inlineStr">
        <is>
          <t>Base</t>
        </is>
      </c>
      <c r="J9" s="42">
        <f>IF(AND(I9="Bas",ISNUMBER(D9)),D9,IF(AND(I9="Haut",ISNUMBER(E9)),E9,C9))</f>
        <v/>
      </c>
    </row>
    <row r="10" ht="30" customHeight="1">
      <c r="A10" s="20" t="inlineStr">
        <is>
          <t>conv</t>
        </is>
      </c>
      <c r="B10" s="13" t="inlineStr">
        <is>
          <t>Conversion cash-flow libre net / EBITDA en 2027</t>
        </is>
      </c>
      <c r="C10" s="36">
        <f>AVERAGE('Entrées'!$C$18/'Entrées'!$C$22,'Entrées'!$C$34/'Entrées'!$C$8)</f>
        <v/>
      </c>
      <c r="D10" s="40" t="n">
        <v>0.14</v>
      </c>
      <c r="E10" s="40" t="n">
        <v>0.19</v>
      </c>
      <c r="F10" s="5" t="inlineStr">
        <is>
          <t>%</t>
        </is>
      </c>
      <c r="G10" s="13" t="inlineStr">
        <is>
          <t>Moyenne 2024-2025 du ratio publié. Le bas couvre le surcoût d'intérêts de la dette Clean Earth.</t>
        </is>
      </c>
      <c r="H10" s="22" t="inlineStr">
        <is>
          <t>F13, F17, F29, F3</t>
        </is>
      </c>
      <c r="I10" s="37" t="inlineStr">
        <is>
          <t>Base</t>
        </is>
      </c>
      <c r="J10" s="38">
        <f>IF(AND(I10="Bas",ISNUMBER(D10)),D10,IF(AND(I10="Haut",ISNUMBER(E10)),E10,C10))</f>
        <v/>
      </c>
    </row>
    <row r="11" ht="30" customHeight="1">
      <c r="A11" s="20" t="inlineStr">
        <is>
          <t>gDiv</t>
        </is>
      </c>
      <c r="B11" s="13" t="inlineStr">
        <is>
          <t>Croissance du dividende versé en 2027</t>
        </is>
      </c>
      <c r="C11" s="36">
        <f>'Entrées'!$C$94/100</f>
        <v/>
      </c>
      <c r="D11" s="40" t="n">
        <v>0.04</v>
      </c>
      <c r="E11" s="40" t="n">
        <v>0.12</v>
      </c>
      <c r="F11" s="5" t="inlineStr">
        <is>
          <t>%</t>
        </is>
      </c>
      <c r="G11" s="13" t="inlineStr">
        <is>
          <t>GreenUp : dividende « aligné sur le BPA » (p.66) ; guidance 2026 du résultat net courant : au moins +8 %.</t>
        </is>
      </c>
      <c r="H11" s="22" t="inlineStr">
        <is>
          <t>F89</t>
        </is>
      </c>
      <c r="I11" s="37" t="inlineStr">
        <is>
          <t>Base</t>
        </is>
      </c>
      <c r="J11" s="38">
        <f>IF(AND(I11="Bas",ISNUMBER(D11)),D11,IF(AND(I11="Haut",ISNUMBER(E11)),E11,C11))</f>
        <v/>
      </c>
    </row>
    <row r="12" ht="30" customHeight="1">
      <c r="A12" s="20" t="inlineStr">
        <is>
          <t>s26</t>
        </is>
      </c>
      <c r="B12" s="13" t="inlineStr">
        <is>
          <t>Part des signatures 2026 encaissée avant le 31/12/2026</t>
        </is>
      </c>
      <c r="C12" s="40" t="n">
        <v>0.5</v>
      </c>
      <c r="D12" s="40" t="n">
        <v>0</v>
      </c>
      <c r="E12" s="40" t="n">
        <v>1</v>
      </c>
      <c r="F12" s="5" t="inlineStr">
        <is>
          <t>%</t>
        </is>
      </c>
      <c r="G12" s="13" t="inlineStr">
        <is>
          <t>Veolia attend ~0,5 Md€ de signatures en 2026 ; signer n'est pas encaisser. Le levier 2026 dépend « du calendrier des cessions » (présentation CE p.16).</t>
        </is>
      </c>
      <c r="H12" s="22" t="inlineStr">
        <is>
          <t>F31</t>
        </is>
      </c>
      <c r="I12" s="37" t="inlineStr">
        <is>
          <t>Base</t>
        </is>
      </c>
      <c r="J12" s="38">
        <f>IF(AND(I12="Bas",ISNUMBER(D12)),D12,IF(AND(I12="Haut",ISNUMBER(E12)),E12,C12))</f>
        <v/>
      </c>
    </row>
    <row r="13" ht="30" customHeight="1">
      <c r="A13" s="20" t="inlineStr">
        <is>
          <t>s27</t>
        </is>
      </c>
      <c r="B13" s="13" t="inlineStr">
        <is>
          <t>Part du reste du programme encaissée en 2027</t>
        </is>
      </c>
      <c r="C13" s="40" t="n">
        <v>0.5</v>
      </c>
      <c r="D13" s="40" t="n">
        <v>0</v>
      </c>
      <c r="E13" s="40" t="n">
        <v>1</v>
      </c>
      <c r="F13" s="5" t="inlineStr">
        <is>
          <t>%</t>
        </is>
      </c>
      <c r="G13" s="13" t="inlineStr">
        <is>
          <t>Programme &gt; 2 Md€ à réaliser d'ici mi-2028 : la moitié du reste supposée encaissée en 2027, le solde au S1 2028.</t>
        </is>
      </c>
      <c r="H13" s="22" t="inlineStr">
        <is>
          <t>F25</t>
        </is>
      </c>
      <c r="I13" s="37" t="inlineStr">
        <is>
          <t>Base</t>
        </is>
      </c>
      <c r="J13" s="38">
        <f>IF(AND(I13="Bas",ISNUMBER(D13)),D13,IF(AND(I13="Haut",ISNUMBER(E13)),E13,C13))</f>
        <v/>
      </c>
    </row>
    <row r="14" ht="30" customHeight="1">
      <c r="A14" s="20" t="inlineStr">
        <is>
          <t>mDisp</t>
        </is>
      </c>
      <c r="B14" s="13" t="inlineStr">
        <is>
          <t>Multiple VE / EBITDA des actifs cédés</t>
        </is>
      </c>
      <c r="C14" s="44" t="n">
        <v>10</v>
      </c>
      <c r="D14" s="44" t="n">
        <v>8</v>
      </c>
      <c r="E14" s="44" t="n">
        <v>12</v>
      </c>
      <c r="F14" s="5" t="inlineStr">
        <is>
          <t>x</t>
        </is>
      </c>
      <c r="G14" s="13" t="inlineStr">
        <is>
          <t>Aucun multiple publié pour le programme. Plus le multiple est bas, plus on perd d'EBITDA par euro encaissé.</t>
        </is>
      </c>
      <c r="H14" s="22" t="inlineStr">
        <is>
          <t>—</t>
        </is>
      </c>
      <c r="I14" s="37" t="inlineStr">
        <is>
          <t>Base</t>
        </is>
      </c>
      <c r="J14" s="45">
        <f>IF(AND(I14="Bas",ISNUMBER(D14)),D14,IF(AND(I14="Haut",ISNUMBER(E14)),E14,C14))</f>
        <v/>
      </c>
    </row>
    <row r="15" ht="30" customHeight="1">
      <c r="A15" s="20" t="inlineStr">
        <is>
          <t>tuck</t>
        </is>
      </c>
      <c r="B15" s="13" t="inlineStr">
        <is>
          <t>Tuck-ins payés en 2027</t>
        </is>
      </c>
      <c r="C15" s="46">
        <f>'Entrées'!$C$10</f>
        <v/>
      </c>
      <c r="D15" s="47" t="n">
        <v>0</v>
      </c>
      <c r="E15" s="46">
        <f>'Entrées'!$C$26</f>
        <v/>
      </c>
      <c r="F15" s="5" t="inlineStr">
        <is>
          <t>Md EUR</t>
        </is>
      </c>
      <c r="G15" s="13" t="inlineStr">
        <is>
          <t>Bas de la fourchette GreenUp (0,5 à 1,0 Md€) : Clean Earth a déjà consommé l'enveloppe.</t>
        </is>
      </c>
      <c r="H15" s="22" t="inlineStr">
        <is>
          <t>F5, F21</t>
        </is>
      </c>
      <c r="I15" s="37" t="inlineStr">
        <is>
          <t>Base</t>
        </is>
      </c>
      <c r="J15" s="48">
        <f>IF(AND(I15="Bas",ISNUMBER(D15)),D15,IF(AND(I15="Haut",ISNUMBER(E15)),E15,C15))</f>
        <v/>
      </c>
    </row>
    <row r="16" ht="30" customHeight="1">
      <c r="A16" s="20" t="inlineStr">
        <is>
          <t>ffo</t>
        </is>
      </c>
      <c r="B16" s="13" t="inlineStr">
        <is>
          <t>FFO (mesure des agences) en % de l'EBITDA</t>
        </is>
      </c>
      <c r="C16" s="36">
        <f>'Entrées'!$C$249/'Entrées'!$C$8</f>
        <v/>
      </c>
      <c r="D16" s="39">
        <f>C16*0.95</f>
        <v/>
      </c>
      <c r="E16" s="39">
        <f>C16*1.03</f>
        <v/>
      </c>
      <c r="F16" s="5" t="inlineStr">
        <is>
          <t>%</t>
        </is>
      </c>
      <c r="G16" s="13" t="inlineStr">
        <is>
          <t>FFO 2025 publié par Moody's (Exhibit 15, 5 160 M€) rapporté à l'EBITDA 2025 publié par Veolia. Le bas couvre le surcoût d'intérêts de la dette Clean Earth.</t>
        </is>
      </c>
      <c r="H16" s="22" t="inlineStr">
        <is>
          <t>F261, F3</t>
        </is>
      </c>
      <c r="I16" s="37" t="inlineStr">
        <is>
          <t>Base</t>
        </is>
      </c>
      <c r="J16" s="38">
        <f>IF(AND(I16="Bas",ISNUMBER(D16)),D16,IF(AND(I16="Haut",ISNUMBER(E16)),E16,C16))</f>
        <v/>
      </c>
    </row>
    <row r="17" ht="30" customHeight="1">
      <c r="A17" s="2" t="n"/>
      <c r="B17" s="2" t="n"/>
      <c r="C17" s="2" t="n"/>
      <c r="D17" s="2" t="n"/>
      <c r="E17" s="2" t="n"/>
      <c r="F17" s="2" t="n"/>
      <c r="G17" s="2" t="n"/>
      <c r="H17" s="2" t="n"/>
      <c r="I17" s="2" t="n"/>
      <c r="J17" s="2" t="n"/>
    </row>
    <row r="18" ht="30" customHeight="1">
      <c r="A18" s="20" t="inlineStr">
        <is>
          <t>Hypothèses fixes (non soumises à la sensibilité)</t>
        </is>
      </c>
      <c r="B18" s="2" t="n"/>
      <c r="C18" s="2" t="n"/>
      <c r="D18" s="2" t="n"/>
      <c r="E18" s="2" t="n"/>
      <c r="F18" s="2" t="n"/>
      <c r="G18" s="2" t="n"/>
      <c r="H18" s="2" t="n"/>
      <c r="I18" s="2" t="n"/>
      <c r="J18" s="2" t="n"/>
    </row>
    <row r="19" ht="30" customHeight="1">
      <c r="A19" s="20" t="inlineStr">
        <is>
          <t>fx</t>
        </is>
      </c>
      <c r="B19" s="13" t="inlineStr">
        <is>
          <t>Change USD par EUR</t>
        </is>
      </c>
      <c r="C19" s="49">
        <f>'Entrées'!$C$45/'Entrées'!$C$46</f>
        <v/>
      </c>
      <c r="D19" s="50" t="inlineStr">
        <is>
          <t>—</t>
        </is>
      </c>
      <c r="E19" s="50" t="inlineStr">
        <is>
          <t>—</t>
        </is>
      </c>
      <c r="F19" s="5" t="inlineStr">
        <is>
          <t>USD/EUR</t>
        </is>
      </c>
      <c r="G19" s="13" t="inlineStr">
        <is>
          <t>Taux implicite du prix de Clean Earth à la clôture (2 989 M$ = 2 542 M€). Le change sur la dette en dollars n'est pas modélisé.</t>
        </is>
      </c>
      <c r="H19" s="22" t="inlineStr">
        <is>
          <t>F40, F41</t>
        </is>
      </c>
      <c r="I19" s="37" t="inlineStr">
        <is>
          <t>Base</t>
        </is>
      </c>
      <c r="J19" s="51">
        <f>IF(AND(I19="Bas",ISNUMBER(D19)),D19,IF(AND(I19="Haut",ISNUMBER(E19)),E19,C19))</f>
        <v/>
      </c>
    </row>
    <row r="20" ht="30" customHeight="1">
      <c r="A20" s="20" t="inlineStr">
        <is>
          <t>minDiv</t>
        </is>
      </c>
      <c r="B20" s="13" t="inlineStr">
        <is>
          <t>Dividendes versés aux minoritaires en 2027</t>
        </is>
      </c>
      <c r="C20" s="41">
        <f>-'Entrées'!$C$77-'Entrées'!$C$79</f>
        <v/>
      </c>
      <c r="D20" s="50" t="inlineStr">
        <is>
          <t>—</t>
        </is>
      </c>
      <c r="E20" s="50" t="inlineStr">
        <is>
          <t>—</t>
        </is>
      </c>
      <c r="F20" s="5" t="inlineStr">
        <is>
          <t>M EUR</t>
        </is>
      </c>
      <c r="G20" s="13" t="inlineStr">
        <is>
          <t>Écart du S1 2026 entre dividendes totaux (1 394) et dividende Veolia (1 099), supposé constant.</t>
        </is>
      </c>
      <c r="H20" s="22" t="inlineStr">
        <is>
          <t>F72, F74</t>
        </is>
      </c>
      <c r="I20" s="37" t="inlineStr">
        <is>
          <t>Base</t>
        </is>
      </c>
      <c r="J20" s="42">
        <f>IF(AND(I20="Bas",ISNUMBER(D20)),D20,IF(AND(I20="Haut",ISNUMBER(E20)),E20,C20))</f>
        <v/>
      </c>
    </row>
    <row r="21" ht="30" customHeight="1">
      <c r="A21" s="20" t="inlineStr">
        <is>
          <t>mTuck</t>
        </is>
      </c>
      <c r="B21" s="13" t="inlineStr">
        <is>
          <t>Multiple VE / EBITDA des tuck-ins</t>
        </is>
      </c>
      <c r="C21" s="52">
        <f>'Entrées'!$C$53</f>
        <v/>
      </c>
      <c r="D21" s="52">
        <f>'Entrées'!$C$450</f>
        <v/>
      </c>
      <c r="E21" s="52">
        <f>'Entrées'!$C$478</f>
        <v/>
      </c>
      <c r="F21" s="5" t="inlineStr">
        <is>
          <t>x</t>
        </is>
      </c>
      <c r="G21" s="13" t="inlineStr">
        <is>
          <t>Celui de Clean Earth après synergies, faute de mieux.</t>
        </is>
      </c>
      <c r="H21" s="22" t="inlineStr">
        <is>
          <t>F48</t>
        </is>
      </c>
      <c r="I21" s="37" t="inlineStr">
        <is>
          <t>Base</t>
        </is>
      </c>
      <c r="J21" s="45">
        <f>IF(AND(I21="Bas",ISNUMBER(D21)),D21,IF(AND(I21="Haut",ISNUMBER(E21)),E21,C21))</f>
        <v/>
      </c>
    </row>
    <row r="22" ht="30" customHeight="1">
      <c r="A22" s="20" t="inlineStr">
        <is>
          <t>tuckH2</t>
        </is>
      </c>
      <c r="B22" s="13" t="inlineStr">
        <is>
          <t>Tuck-ins payés au S2 2026</t>
        </is>
      </c>
      <c r="C22" s="47" t="n">
        <v>0</v>
      </c>
      <c r="D22" s="50" t="inlineStr">
        <is>
          <t>—</t>
        </is>
      </c>
      <c r="E22" s="50" t="inlineStr">
        <is>
          <t>—</t>
        </is>
      </c>
      <c r="F22" s="5" t="inlineStr">
        <is>
          <t>Md EUR</t>
        </is>
      </c>
      <c r="G22" s="13" t="inlineStr">
        <is>
          <t>Enviropacific (137 M€) est déjà au S1 ; rien d'annoncé pour le S2.</t>
        </is>
      </c>
      <c r="H22" s="22" t="inlineStr">
        <is>
          <t>—</t>
        </is>
      </c>
      <c r="I22" s="37" t="inlineStr">
        <is>
          <t>Base</t>
        </is>
      </c>
      <c r="J22" s="48">
        <f>IF(AND(I22="Bas",ISNUMBER(D22)),D22,IF(AND(I22="Haut",ISNUMBER(E22)),E22,C22))</f>
        <v/>
      </c>
    </row>
    <row r="23" ht="30" customHeight="1">
      <c r="A23" s="20" t="inlineStr">
        <is>
          <t>other</t>
        </is>
      </c>
      <c r="B23" s="13" t="inlineStr">
        <is>
          <t>Autres flux de dette par période (change, divers)</t>
        </is>
      </c>
      <c r="C23" s="53" t="n">
        <v>0</v>
      </c>
      <c r="D23" s="50" t="inlineStr">
        <is>
          <t>—</t>
        </is>
      </c>
      <c r="E23" s="50" t="inlineStr">
        <is>
          <t>—</t>
        </is>
      </c>
      <c r="F23" s="5" t="inlineStr">
        <is>
          <t>M EUR</t>
        </is>
      </c>
      <c r="G23" s="13" t="inlineStr">
        <is>
          <t>Change −260 M€ au S1 2026 : non prolongé, faute de base.</t>
        </is>
      </c>
      <c r="H23" s="22" t="inlineStr">
        <is>
          <t>—</t>
        </is>
      </c>
      <c r="I23" s="37" t="inlineStr">
        <is>
          <t>Base</t>
        </is>
      </c>
      <c r="J23" s="42">
        <f>IF(AND(I23="Bas",ISNUMBER(D23)),D23,IF(AND(I23="Haut",ISNUMBER(E23)),E23,C23))</f>
        <v/>
      </c>
    </row>
    <row r="24" ht="30" customHeight="1">
      <c r="A24" s="20" t="inlineStr">
        <is>
          <t>months</t>
        </is>
      </c>
      <c r="B24" s="13" t="inlineStr">
        <is>
          <t>Mois de Clean Earth consolidés en 2026</t>
        </is>
      </c>
      <c r="C24" s="54" t="n">
        <v>7</v>
      </c>
      <c r="D24" s="50" t="inlineStr">
        <is>
          <t>—</t>
        </is>
      </c>
      <c r="E24" s="50" t="inlineStr">
        <is>
          <t>—</t>
        </is>
      </c>
      <c r="F24" s="5" t="inlineStr">
        <is>
          <t>mois</t>
        </is>
      </c>
      <c r="G24" s="13" t="inlineStr">
        <is>
          <t>Clôture le 1er juin 2026 (amendement DEU p.46) : juin à décembre.</t>
        </is>
      </c>
      <c r="H24" s="22" t="inlineStr">
        <is>
          <t>F40</t>
        </is>
      </c>
      <c r="I24" s="37" t="inlineStr">
        <is>
          <t>Base</t>
        </is>
      </c>
      <c r="J24" s="55">
        <f>IF(AND(I24="Bas",ISNUMBER(D24)),D24,IF(AND(I24="Haut",ISNUMBER(E24)),E24,C24))</f>
        <v/>
      </c>
    </row>
    <row r="25" ht="30" customHeight="1">
      <c r="A25" s="20" t="inlineStr">
        <is>
          <t>synC</t>
        </is>
      </c>
      <c r="B25" s="13" t="inlineStr">
        <is>
          <t>Coûts de mise en œuvre des synergies décaissés en 2027</t>
        </is>
      </c>
      <c r="C25" s="56">
        <f>'Entrées'!$C$55/4</f>
        <v/>
      </c>
      <c r="D25" s="50" t="inlineStr">
        <is>
          <t>—</t>
        </is>
      </c>
      <c r="E25" s="50" t="inlineStr">
        <is>
          <t>—</t>
        </is>
      </c>
      <c r="F25" s="5" t="inlineStr">
        <is>
          <t>M USD</t>
        </is>
      </c>
      <c r="G25" s="13" t="inlineStr">
        <is>
          <t>90 M$ attendus sur quatre ans, étalés à parts égales.</t>
        </is>
      </c>
      <c r="H25" s="22" t="inlineStr">
        <is>
          <t>F50</t>
        </is>
      </c>
      <c r="I25" s="37" t="inlineStr">
        <is>
          <t>Base</t>
        </is>
      </c>
      <c r="J25" s="57">
        <f>IF(AND(I25="Bas",ISNUMBER(D25)),D25,IF(AND(I25="Haut",ISNUMBER(E25)),E25,C25))</f>
        <v/>
      </c>
    </row>
    <row r="26" ht="30" customHeight="1">
      <c r="A26" s="20" t="inlineStr">
        <is>
          <t>cap</t>
        </is>
      </c>
      <c r="B26" s="13" t="inlineStr">
        <is>
          <t>Plafond de levier</t>
        </is>
      </c>
      <c r="C26" s="52">
        <f>'Entrées'!$C$61</f>
        <v/>
      </c>
      <c r="D26" s="50" t="inlineStr">
        <is>
          <t>—</t>
        </is>
      </c>
      <c r="E26" s="50" t="inlineStr">
        <is>
          <t>—</t>
        </is>
      </c>
      <c r="F26" s="5" t="inlineStr">
        <is>
          <t>x</t>
        </is>
      </c>
      <c r="G26" s="13" t="inlineStr">
        <is>
          <t>Engagement ≤ 3x en 2027 (présentation CE p.16, GreenUp p.64).</t>
        </is>
      </c>
      <c r="H26" s="22" t="inlineStr">
        <is>
          <t>F56, F6</t>
        </is>
      </c>
      <c r="I26" s="37" t="inlineStr">
        <is>
          <t>Base</t>
        </is>
      </c>
      <c r="J26" s="45">
        <f>IF(AND(I26="Bas",ISNUMBER(D26)),D26,IF(AND(I26="Haut",ISNUMBER(E26)),E26,C26))</f>
        <v/>
      </c>
    </row>
    <row r="27" ht="30" customHeight="1">
      <c r="A27" s="20" t="inlineStr">
        <is>
          <t>hybPct</t>
        </is>
      </c>
      <c r="B27" s="13" t="inlineStr">
        <is>
          <t>Part des hybrides comptée en dette (définition élargie)</t>
        </is>
      </c>
      <c r="C27" s="40" t="n">
        <v>0.5</v>
      </c>
      <c r="D27" s="50" t="inlineStr">
        <is>
          <t>—</t>
        </is>
      </c>
      <c r="E27" s="50" t="inlineStr">
        <is>
          <t>—</t>
        </is>
      </c>
      <c r="F27" s="5" t="inlineStr">
        <is>
          <t>%</t>
        </is>
      </c>
      <c r="G27" s="13" t="inlineStr">
        <is>
          <t>Lecture d'analyste, pas celle de Veolia (qui les compte en capitaux propres, IAS 32.11). Sert uniquement dans Levier.</t>
        </is>
      </c>
      <c r="H27" s="22" t="inlineStr">
        <is>
          <t>F10</t>
        </is>
      </c>
      <c r="I27" s="37" t="inlineStr">
        <is>
          <t>Base</t>
        </is>
      </c>
      <c r="J27" s="38">
        <f>IF(AND(I27="Bas",ISNUMBER(D27)),D27,IF(AND(I27="Haut",ISNUMBER(E27)),E27,C27))</f>
        <v/>
      </c>
    </row>
    <row r="28" ht="30" customHeight="1">
      <c r="A28" s="2" t="n"/>
      <c r="B28" s="2" t="n"/>
      <c r="C28" s="2" t="n"/>
      <c r="D28" s="2" t="n"/>
      <c r="E28" s="2" t="n"/>
      <c r="F28" s="2" t="n"/>
      <c r="G28" s="2" t="n"/>
      <c r="H28" s="2" t="n"/>
      <c r="I28" s="2" t="n"/>
      <c r="J28" s="2" t="n"/>
    </row>
    <row r="29">
      <c r="A29" s="3" t="inlineStr">
        <is>
          <t>Les formules de base vertes renvoient à l'onglet Entrées ; les nombres bleus sont des hypothèses saisies.</t>
        </is>
      </c>
      <c r="B29" s="2" t="n"/>
      <c r="C29" s="2" t="n"/>
      <c r="D29" s="2" t="n"/>
      <c r="E29" s="2" t="n"/>
      <c r="F29" s="2" t="n"/>
      <c r="G29" s="2" t="n"/>
      <c r="H29" s="2" t="n"/>
      <c r="I29" s="3" t="inlineStr">
        <is>
          <t>Actif : Base, Bas ou Haut. Une hypothèse sans bornes (—) reste à sa base. Les cellules « Valeur active » (J) sont lues par Trajectoire et par tous les onglets : c'est ici qu'on joue un scénario sans toucher un nombre.</t>
        </is>
      </c>
      <c r="J29" s="2" t="n"/>
    </row>
  </sheetData>
  <dataValidations count="2">
    <dataValidation sqref="I5:I27" showDropDown="0" showInputMessage="0" showErrorMessage="0" allowBlank="0" errorTitle="Scénario" error="Base, Bas ou Haut" type="list">
      <formula1>"Base,Bas,Haut"</formula1>
    </dataValidation>
    <dataValidation sqref="C5:E27" showDropDown="0" showInputMessage="0" showErrorMessage="0" allowBlank="1" errorTitle="Hypothèse" error="Une hypothèse est un nombre (ou une formule vers Entrées)" type="decimal" operator="between">
      <formula1>-1000000</formula1>
      <formula2>1000000</formula2>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H129"/>
  <sheetViews>
    <sheetView showGridLines="0" workbookViewId="0">
      <selection activeCell="A1" sqref="A1"/>
    </sheetView>
  </sheetViews>
  <sheetFormatPr baseColWidth="8" defaultRowHeight="15"/>
  <cols>
    <col width="4" customWidth="1" min="1" max="1"/>
    <col width="58" customWidth="1" min="2" max="2"/>
    <col width="14" customWidth="1" min="3" max="3"/>
    <col width="14" customWidth="1" min="4" max="4"/>
    <col width="60" customWidth="1" min="5" max="5"/>
  </cols>
  <sheetData>
    <row r="1">
      <c r="A1" s="1" t="inlineStr">
        <is>
          <t>Rôle 2 — La contrainte : la définition de Veolia, la position de départ, le plafond</t>
        </is>
      </c>
      <c r="B1" s="2" t="n"/>
      <c r="C1" s="2" t="n"/>
      <c r="D1" s="2" t="n"/>
      <c r="E1" s="2" t="n"/>
      <c r="F1" s="2" t="n"/>
      <c r="G1" s="2" t="n"/>
      <c r="H1" s="2" t="n"/>
    </row>
    <row r="2">
      <c r="A2" s="3" t="inlineStr">
        <is>
          <t>Dette financière nette (IFRS 16 incluse) de clôture / EBITDA (IFRS 16 inclus) — URD 2025 p.355.</t>
        </is>
      </c>
      <c r="B2" s="2" t="n"/>
      <c r="C2" s="2" t="n"/>
      <c r="D2" s="2" t="n"/>
      <c r="E2" s="2" t="n"/>
      <c r="F2" s="2" t="n"/>
      <c r="G2" s="2" t="n"/>
      <c r="H2" s="2" t="n"/>
    </row>
    <row r="3">
      <c r="A3" s="2" t="n"/>
      <c r="B3" s="2" t="n"/>
      <c r="C3" s="2" t="n"/>
      <c r="D3" s="2" t="n"/>
      <c r="E3" s="2" t="n"/>
      <c r="F3" s="2" t="n"/>
      <c r="G3" s="2" t="n"/>
      <c r="H3" s="2" t="n"/>
    </row>
    <row r="4">
      <c r="A4" s="19" t="inlineStr"/>
      <c r="B4" s="19" t="inlineStr">
        <is>
          <t>Libellé</t>
        </is>
      </c>
      <c r="C4" s="19" t="inlineStr">
        <is>
          <t>Valeur</t>
        </is>
      </c>
      <c r="D4" s="19" t="inlineStr">
        <is>
          <t>Unité</t>
        </is>
      </c>
      <c r="E4" s="19" t="inlineStr">
        <is>
          <t>Réf. / calcul</t>
        </is>
      </c>
      <c r="F4" s="2" t="n"/>
      <c r="G4" s="2" t="n"/>
      <c r="H4" s="2" t="n"/>
    </row>
    <row r="5">
      <c r="A5" s="20" t="inlineStr">
        <is>
          <t>A</t>
        </is>
      </c>
      <c r="B5" s="20" t="inlineStr">
        <is>
          <t>La définition reproduit-elle les ratios publiés ?</t>
        </is>
      </c>
      <c r="C5" s="2" t="n"/>
      <c r="D5" s="2" t="n"/>
      <c r="E5" s="2" t="n"/>
      <c r="F5" s="2" t="n"/>
      <c r="G5" s="2" t="n"/>
      <c r="H5" s="2" t="n"/>
    </row>
    <row r="6">
      <c r="A6" s="2" t="n"/>
      <c r="B6" s="5" t="inlineStr">
        <is>
          <t>Dette financière nette au 31/12/2024</t>
        </is>
      </c>
      <c r="C6" s="58">
        <f>'Entrées'!$C$28</f>
        <v/>
      </c>
      <c r="D6" s="22" t="inlineStr">
        <is>
          <t>M EUR</t>
        </is>
      </c>
      <c r="E6" s="22" t="inlineStr">
        <is>
          <t>F23</t>
        </is>
      </c>
      <c r="F6" s="2" t="n"/>
      <c r="G6" s="2" t="n"/>
      <c r="H6" s="2" t="n"/>
    </row>
    <row r="7">
      <c r="A7" s="2" t="n"/>
      <c r="B7" s="5" t="inlineStr">
        <is>
          <t>EBITDA 2024</t>
        </is>
      </c>
      <c r="C7" s="58">
        <f>'Entrées'!$C$22</f>
        <v/>
      </c>
      <c r="D7" s="22" t="inlineStr">
        <is>
          <t>M EUR</t>
        </is>
      </c>
      <c r="E7" s="22" t="inlineStr">
        <is>
          <t>F17</t>
        </is>
      </c>
      <c r="F7" s="2" t="n"/>
      <c r="G7" s="2" t="n"/>
      <c r="H7" s="2" t="n"/>
    </row>
    <row r="8">
      <c r="A8" s="2" t="n"/>
      <c r="B8" s="20" t="inlineStr">
        <is>
          <t>Levier recalculé 2024</t>
        </is>
      </c>
      <c r="C8" s="59">
        <f>C6/C7</f>
        <v/>
      </c>
      <c r="D8" s="22" t="inlineStr">
        <is>
          <t>x</t>
        </is>
      </c>
      <c r="E8" s="22" t="inlineStr">
        <is>
          <t>DFN / EBITDA</t>
        </is>
      </c>
      <c r="F8" s="2" t="n"/>
      <c r="G8" s="2" t="n"/>
      <c r="H8" s="2" t="n"/>
    </row>
    <row r="9">
      <c r="A9" s="2" t="n"/>
      <c r="B9" s="5" t="inlineStr">
        <is>
          <t>Levier publié 2024</t>
        </is>
      </c>
      <c r="C9" s="60">
        <f>'Entrées'!$C$25</f>
        <v/>
      </c>
      <c r="D9" s="22" t="inlineStr">
        <is>
          <t>x</t>
        </is>
      </c>
      <c r="E9" s="22" t="inlineStr">
        <is>
          <t>F20</t>
        </is>
      </c>
      <c r="F9" s="2" t="n"/>
      <c r="G9" s="2" t="n"/>
      <c r="H9" s="2" t="n"/>
    </row>
    <row r="10">
      <c r="A10" s="2" t="n"/>
      <c r="B10" s="5" t="inlineStr">
        <is>
          <t>Dette financière nette au 31/12/2025</t>
        </is>
      </c>
      <c r="C10" s="58">
        <f>'Entrées'!$C$13</f>
        <v/>
      </c>
      <c r="D10" s="22" t="inlineStr">
        <is>
          <t>M EUR</t>
        </is>
      </c>
      <c r="E10" s="22" t="inlineStr">
        <is>
          <t>F8</t>
        </is>
      </c>
      <c r="F10" s="2" t="n"/>
      <c r="G10" s="2" t="n"/>
      <c r="H10" s="2" t="n"/>
    </row>
    <row r="11">
      <c r="A11" s="2" t="n"/>
      <c r="B11" s="5" t="inlineStr">
        <is>
          <t>EBITDA 2025</t>
        </is>
      </c>
      <c r="C11" s="58">
        <f>'Entrées'!$C$8</f>
        <v/>
      </c>
      <c r="D11" s="22" t="inlineStr">
        <is>
          <t>M EUR</t>
        </is>
      </c>
      <c r="E11" s="22" t="inlineStr">
        <is>
          <t>F3</t>
        </is>
      </c>
      <c r="F11" s="2" t="n"/>
      <c r="G11" s="2" t="n"/>
      <c r="H11" s="2" t="n"/>
    </row>
    <row r="12">
      <c r="A12" s="2" t="n"/>
      <c r="B12" s="20" t="inlineStr">
        <is>
          <t>Levier recalculé 2025</t>
        </is>
      </c>
      <c r="C12" s="59">
        <f>C10/C11</f>
        <v/>
      </c>
      <c r="D12" s="22" t="inlineStr">
        <is>
          <t>x</t>
        </is>
      </c>
      <c r="E12" s="22" t="inlineStr">
        <is>
          <t>DFN / EBITDA</t>
        </is>
      </c>
      <c r="F12" s="2" t="n"/>
      <c r="G12" s="2" t="n"/>
      <c r="H12" s="2" t="n"/>
    </row>
    <row r="13">
      <c r="A13" s="2" t="n"/>
      <c r="B13" s="5" t="inlineStr">
        <is>
          <t>Levier publié 2025</t>
        </is>
      </c>
      <c r="C13" s="60">
        <f>'Entrées'!$C$21</f>
        <v/>
      </c>
      <c r="D13" s="22" t="inlineStr">
        <is>
          <t>x</t>
        </is>
      </c>
      <c r="E13" s="22" t="inlineStr">
        <is>
          <t>F16</t>
        </is>
      </c>
      <c r="F13" s="2" t="n"/>
      <c r="G13" s="2" t="n"/>
      <c r="H13" s="2" t="n"/>
    </row>
    <row r="14">
      <c r="A14" s="2" t="n"/>
      <c r="B14" s="20" t="inlineStr">
        <is>
          <t>Marge sous le plafond au 31/12/2025</t>
        </is>
      </c>
      <c r="C14" s="42">
        <f>'Hypothèses'!$J$26*C11-C10</f>
        <v/>
      </c>
      <c r="D14" s="22" t="inlineStr">
        <is>
          <t>M EUR</t>
        </is>
      </c>
      <c r="E14" s="22" t="inlineStr">
        <is>
          <t>plafond × EBITDA − DFN</t>
        </is>
      </c>
      <c r="F14" s="2" t="n"/>
      <c r="G14" s="2" t="n"/>
      <c r="H14" s="2" t="n"/>
    </row>
    <row r="15">
      <c r="A15" s="2" t="n"/>
      <c r="B15" s="2" t="n"/>
      <c r="C15" s="2" t="n"/>
      <c r="D15" s="2" t="n"/>
      <c r="E15" s="2" t="n"/>
      <c r="F15" s="2" t="n"/>
      <c r="G15" s="2" t="n"/>
      <c r="H15" s="2" t="n"/>
    </row>
    <row r="16">
      <c r="A16" s="20" t="inlineStr">
        <is>
          <t>B</t>
        </is>
      </c>
      <c r="B16" s="20" t="inlineStr">
        <is>
          <t>Position de départ au 30/06/2026 — trois lectures</t>
        </is>
      </c>
      <c r="C16" s="2" t="n"/>
      <c r="D16" s="2" t="n"/>
      <c r="E16" s="2" t="n"/>
      <c r="F16" s="2" t="n"/>
      <c r="G16" s="2" t="n"/>
      <c r="H16" s="2" t="n"/>
    </row>
    <row r="17">
      <c r="A17" s="2" t="n"/>
      <c r="B17" s="5" t="inlineStr">
        <is>
          <t>Dette financière nette au 30/06/2026 (Clean Earth inclus)</t>
        </is>
      </c>
      <c r="C17" s="58">
        <f>'Entrées'!$C$16</f>
        <v/>
      </c>
      <c r="D17" s="22" t="inlineStr">
        <is>
          <t>M EUR</t>
        </is>
      </c>
      <c r="E17" s="22" t="inlineStr">
        <is>
          <t>F11</t>
        </is>
      </c>
      <c r="F17" s="2" t="n"/>
      <c r="G17" s="2" t="n"/>
      <c r="H17" s="2" t="n"/>
    </row>
    <row r="18">
      <c r="A18" s="2" t="n"/>
      <c r="B18" s="5" t="inlineStr">
        <is>
          <t>EBITDA glissant 12 mois au 30/06/2026</t>
        </is>
      </c>
      <c r="C18" s="61">
        <f>'Entrées'!$C$8-'Entrées'!$C$24+'Entrées'!$C$6</f>
        <v/>
      </c>
      <c r="D18" s="22" t="inlineStr">
        <is>
          <t>M EUR</t>
        </is>
      </c>
      <c r="E18" s="22" t="inlineStr">
        <is>
          <t>F3 − F19 + F1</t>
        </is>
      </c>
      <c r="F18" s="2" t="n"/>
      <c r="G18" s="2" t="n"/>
      <c r="H18" s="2" t="n"/>
    </row>
    <row r="19">
      <c r="A19" s="2" t="n"/>
      <c r="B19" s="20" t="inlineStr">
        <is>
          <t>① Levier mécanique (à ne pas citer seul)</t>
        </is>
      </c>
      <c r="C19" s="59">
        <f>C17/C18</f>
        <v/>
      </c>
      <c r="D19" s="22" t="inlineStr">
        <is>
          <t>x</t>
        </is>
      </c>
      <c r="E19" s="22" t="inlineStr">
        <is>
          <t>Toute la dette de Clean Earth, un seul mois de son EBITDA</t>
        </is>
      </c>
      <c r="F19" s="2" t="n"/>
      <c r="G19" s="2" t="n"/>
      <c r="H19" s="2" t="n"/>
    </row>
    <row r="20">
      <c r="A20" s="2" t="n"/>
      <c r="B20" s="5" t="inlineStr">
        <is>
          <t>+ 11 mois d'EBITDA de Clean Earth (pro forma)</t>
        </is>
      </c>
      <c r="C20" s="61">
        <f>'Hypothèses'!$J$7*11/12/'Hypothèses'!$J$19</f>
        <v/>
      </c>
      <c r="D20" s="22" t="inlineStr">
        <is>
          <t>M EUR</t>
        </is>
      </c>
      <c r="E20" s="22" t="inlineStr">
        <is>
          <t>EBITDA année pleine × 11/12, converti</t>
        </is>
      </c>
      <c r="F20" s="2" t="n"/>
      <c r="G20" s="2" t="n"/>
      <c r="H20" s="2" t="n"/>
    </row>
    <row r="21">
      <c r="A21" s="2" t="n"/>
      <c r="B21" s="20" t="inlineStr">
        <is>
          <t>② Levier pro forma Clean Earth</t>
        </is>
      </c>
      <c r="C21" s="59">
        <f>C17/(C18+C20)</f>
        <v/>
      </c>
      <c r="D21" s="22" t="inlineStr">
        <is>
          <t>x</t>
        </is>
      </c>
      <c r="E21" s="22" t="inlineStr"/>
      <c r="F21" s="2" t="n"/>
      <c r="G21" s="2" t="n"/>
      <c r="H21" s="2" t="n"/>
    </row>
    <row r="22">
      <c r="A22" s="2" t="n"/>
      <c r="B22" s="5" t="inlineStr">
        <is>
          <t>− saisonnalité : baisse de la dette du S2 2025</t>
        </is>
      </c>
      <c r="C22" s="61">
        <f>'Entrées'!$C$76-'Entrées'!$C$13</f>
        <v/>
      </c>
      <c r="D22" s="22" t="inlineStr">
        <is>
          <t>M EUR</t>
        </is>
      </c>
      <c r="E22" s="22" t="inlineStr">
        <is>
          <t>F71 − F8</t>
        </is>
      </c>
      <c r="F22" s="2" t="n"/>
      <c r="G22" s="2" t="n"/>
      <c r="H22" s="2" t="n"/>
    </row>
    <row r="23">
      <c r="A23" s="2" t="n"/>
      <c r="B23" s="20" t="inlineStr">
        <is>
          <t>③ Levier pro forma, corrigé de la saisonnalité</t>
        </is>
      </c>
      <c r="C23" s="59">
        <f>(C17-C22)/(C18+C20)</f>
        <v/>
      </c>
      <c r="D23" s="22" t="inlineStr">
        <is>
          <t>x</t>
        </is>
      </c>
      <c r="E23" s="22" t="inlineStr">
        <is>
          <t>La dette de juin est structurellement plus haute qu'en décembre</t>
        </is>
      </c>
      <c r="F23" s="2" t="n"/>
      <c r="G23" s="2" t="n"/>
      <c r="H23" s="2" t="n"/>
    </row>
    <row r="24">
      <c r="A24" s="2" t="n"/>
      <c r="B24" s="5" t="inlineStr">
        <is>
          <t>Pour mémoire : levier publié au 31/03/2026, hors Clean Earth</t>
        </is>
      </c>
      <c r="C24" s="60">
        <f>'Entrées'!$C$19</f>
        <v/>
      </c>
      <c r="D24" s="22" t="inlineStr">
        <is>
          <t>x</t>
        </is>
      </c>
      <c r="E24" s="22" t="inlineStr">
        <is>
          <t>F14</t>
        </is>
      </c>
      <c r="F24" s="2" t="n"/>
      <c r="G24" s="2" t="n"/>
      <c r="H24" s="2" t="n"/>
    </row>
    <row r="25">
      <c r="A25" s="2" t="n"/>
      <c r="B25" s="2" t="n"/>
      <c r="C25" s="2" t="n"/>
      <c r="D25" s="2" t="n"/>
      <c r="E25" s="2" t="n"/>
      <c r="F25" s="2" t="n"/>
      <c r="G25" s="2" t="n"/>
      <c r="H25" s="2" t="n"/>
    </row>
    <row r="26">
      <c r="A26" s="20" t="inlineStr">
        <is>
          <t>B'</t>
        </is>
      </c>
      <c r="B26" s="20" t="inlineStr">
        <is>
          <t>Profil de la dette et plafond en euros</t>
        </is>
      </c>
      <c r="C26" s="2" t="n"/>
      <c r="D26" s="2" t="n"/>
      <c r="E26" s="2" t="n"/>
      <c r="F26" s="2" t="n"/>
      <c r="G26" s="2" t="n"/>
      <c r="H26" s="2" t="n"/>
    </row>
    <row r="27">
      <c r="A27" s="2" t="n"/>
      <c r="B27" s="5" t="inlineStr">
        <is>
          <t>Maturité moyenne de la dette nette</t>
        </is>
      </c>
      <c r="C27" s="62">
        <f>'Entrées'!$C$132</f>
        <v/>
      </c>
      <c r="D27" s="22" t="inlineStr">
        <is>
          <t>années</t>
        </is>
      </c>
      <c r="E27" s="22" t="inlineStr">
        <is>
          <t>F144</t>
        </is>
      </c>
      <c r="F27" s="2" t="n"/>
      <c r="G27" s="2" t="n"/>
      <c r="H27" s="2" t="n"/>
    </row>
    <row r="28">
      <c r="A28" s="2" t="n"/>
      <c r="B28" s="5" t="inlineStr">
        <is>
          <t>Maturité moyenne de la dette nette</t>
        </is>
      </c>
      <c r="C28" s="62">
        <f>'Entrées'!$C$133</f>
        <v/>
      </c>
      <c r="D28" s="22" t="inlineStr">
        <is>
          <t>années</t>
        </is>
      </c>
      <c r="E28" s="22" t="inlineStr">
        <is>
          <t>F145</t>
        </is>
      </c>
      <c r="F28" s="2" t="n"/>
      <c r="G28" s="2" t="n"/>
      <c r="H28" s="2" t="n"/>
    </row>
    <row r="29">
      <c r="A29" s="2" t="n"/>
      <c r="B29" s="5" t="inlineStr">
        <is>
          <t>Part à taux fixe après couverture</t>
        </is>
      </c>
      <c r="C29" s="63">
        <f>'Entrées'!$C$134/100</f>
        <v/>
      </c>
      <c r="D29" s="22" t="inlineStr">
        <is>
          <t>%</t>
        </is>
      </c>
      <c r="E29" s="22" t="inlineStr">
        <is>
          <t>F146</t>
        </is>
      </c>
      <c r="F29" s="2" t="n"/>
      <c r="G29" s="2" t="n"/>
      <c r="H29" s="2" t="n"/>
    </row>
    <row r="30">
      <c r="A30" s="2" t="n"/>
      <c r="B30" s="20" t="inlineStr">
        <is>
          <t>Dette maximale fin 2027 si l'objectif ≥ 8 Md€ est atteint (plafond × 8 000)</t>
        </is>
      </c>
      <c r="C30" s="42">
        <f>'Hypothèses'!$J$26*'Entrées'!$C$17*1000</f>
        <v/>
      </c>
      <c r="D30" s="22" t="inlineStr">
        <is>
          <t>M EUR</t>
        </is>
      </c>
      <c r="E30" s="22" t="inlineStr">
        <is>
          <t>F12 × plafond</t>
        </is>
      </c>
      <c r="F30" s="2" t="n"/>
      <c r="G30" s="2" t="n"/>
      <c r="H30" s="2" t="n"/>
    </row>
    <row r="31">
      <c r="A31" s="2" t="n"/>
      <c r="B31" s="20" t="inlineStr">
        <is>
          <t>Dette maximale fin 2027 à l'EBITDA du modèle (plafond × EBITDA 2027)</t>
        </is>
      </c>
      <c r="C31" s="42">
        <f>'Hypothèses'!$J$26*'Trajectoire'!$D$42</f>
        <v/>
      </c>
      <c r="D31" s="22" t="inlineStr">
        <is>
          <t>M EUR</t>
        </is>
      </c>
      <c r="E31" s="22" t="inlineStr">
        <is>
          <t>plafond × EBITDA 2027 central</t>
        </is>
      </c>
      <c r="F31" s="2" t="n"/>
      <c r="G31" s="2" t="n"/>
      <c r="H31" s="2" t="n"/>
    </row>
    <row r="32">
      <c r="A32" s="2" t="n"/>
      <c r="B32" s="5" t="inlineStr">
        <is>
          <t>Dette libérée par 0,5 Md€ d'EBITDA en plus</t>
        </is>
      </c>
      <c r="C32" s="61">
        <f>'Hypothèses'!$J$26*500</f>
        <v/>
      </c>
      <c r="D32" s="22" t="inlineStr">
        <is>
          <t>M EUR</t>
        </is>
      </c>
      <c r="E32" s="22" t="inlineStr">
        <is>
          <t>plafond × 500</t>
        </is>
      </c>
      <c r="F32" s="2" t="n"/>
      <c r="G32" s="2" t="n"/>
      <c r="H32" s="2" t="n"/>
    </row>
    <row r="33">
      <c r="A33" s="2" t="n"/>
      <c r="B33" s="2" t="n"/>
      <c r="C33" s="2" t="n"/>
      <c r="D33" s="2" t="n"/>
      <c r="E33" s="2" t="n"/>
      <c r="F33" s="2" t="n"/>
      <c r="G33" s="2" t="n"/>
      <c r="H33" s="2" t="n"/>
    </row>
    <row r="34">
      <c r="A34" s="20" t="inlineStr">
        <is>
          <t>B''</t>
        </is>
      </c>
      <c r="B34" s="20" t="inlineStr">
        <is>
          <t>La vraie limite : les seuils de dégradation des agences (notation BBB / Baa1)</t>
        </is>
      </c>
      <c r="C34" s="2" t="n"/>
      <c r="D34" s="2" t="n"/>
      <c r="E34" s="2" t="n"/>
      <c r="F34" s="2" t="n"/>
      <c r="G34" s="2" t="n"/>
      <c r="H34" s="2" t="n"/>
    </row>
    <row r="35">
      <c r="A35" s="2" t="n"/>
      <c r="B35" s="5" t="inlineStr">
        <is>
          <t>Moody's : FFO / dette nette ajustée</t>
        </is>
      </c>
      <c r="C35" s="63">
        <f>'Entrées'!$C$143/100</f>
        <v/>
      </c>
      <c r="D35" s="22" t="inlineStr">
        <is>
          <t>%</t>
        </is>
      </c>
      <c r="E35" s="22" t="inlineStr">
        <is>
          <t>F155</t>
        </is>
      </c>
      <c r="F35" s="2" t="n"/>
      <c r="G35" s="2" t="n"/>
      <c r="H35" s="2" t="n"/>
    </row>
    <row r="36">
      <c r="A36" s="2" t="n"/>
      <c r="B36" s="5" t="inlineStr">
        <is>
          <t>Moody's : FFO / dette nette ajustée</t>
        </is>
      </c>
      <c r="C36" s="63">
        <f>'Entrées'!$C$135/100</f>
        <v/>
      </c>
      <c r="D36" s="22" t="inlineStr">
        <is>
          <t>%</t>
        </is>
      </c>
      <c r="E36" s="22" t="inlineStr">
        <is>
          <t>F147</t>
        </is>
      </c>
      <c r="F36" s="2" t="n"/>
      <c r="G36" s="2" t="n"/>
      <c r="H36" s="2" t="n"/>
    </row>
    <row r="37">
      <c r="A37" s="2" t="n"/>
      <c r="B37" s="5" t="inlineStr">
        <is>
          <t>Moody's : attendu en 2026, bas de fourchette</t>
        </is>
      </c>
      <c r="C37" s="63">
        <f>'Entrées'!$C$136/100</f>
        <v/>
      </c>
      <c r="D37" s="22" t="inlineStr">
        <is>
          <t>%</t>
        </is>
      </c>
      <c r="E37" s="22" t="inlineStr">
        <is>
          <t>F148</t>
        </is>
      </c>
      <c r="F37" s="2" t="n"/>
      <c r="G37" s="2" t="n"/>
      <c r="H37" s="2" t="n"/>
    </row>
    <row r="38">
      <c r="A38" s="2" t="n"/>
      <c r="B38" s="5" t="inlineStr">
        <is>
          <t>Moody's : attendu en 2026, haut de fourchette</t>
        </is>
      </c>
      <c r="C38" s="63">
        <f>'Entrées'!$C$137/100</f>
        <v/>
      </c>
      <c r="D38" s="22" t="inlineStr">
        <is>
          <t>%</t>
        </is>
      </c>
      <c r="E38" s="22" t="inlineStr">
        <is>
          <t>F149</t>
        </is>
      </c>
      <c r="F38" s="2" t="n"/>
      <c r="G38" s="2" t="n"/>
      <c r="H38" s="2" t="n"/>
    </row>
    <row r="39">
      <c r="A39" s="2" t="n"/>
      <c r="B39" s="5" t="inlineStr">
        <is>
          <t>Moody's : dégradation si FFO / dette nette passe sous</t>
        </is>
      </c>
      <c r="C39" s="64">
        <f>'Entrées'!$C$140</f>
        <v/>
      </c>
      <c r="D39" s="22" t="inlineStr"/>
      <c r="E39" s="22" t="inlineStr">
        <is>
          <t>F152 — libellé publié, pas un nombre</t>
        </is>
      </c>
      <c r="F39" s="2" t="n"/>
      <c r="G39" s="2" t="n"/>
      <c r="H39" s="2" t="n"/>
    </row>
    <row r="40">
      <c r="A40" s="2" t="n"/>
      <c r="B40" s="20" t="inlineStr">
        <is>
          <t>S&amp;P : dégradation si FFO / dette ne reste pas durablement au-dessus de</t>
        </is>
      </c>
      <c r="C40" s="38">
        <f>'Entrées'!$C$151/100</f>
        <v/>
      </c>
      <c r="D40" s="22" t="inlineStr">
        <is>
          <t>%</t>
        </is>
      </c>
      <c r="E40" s="22" t="inlineStr">
        <is>
          <t>F163</t>
        </is>
      </c>
      <c r="F40" s="2" t="n"/>
      <c r="G40" s="2" t="n"/>
      <c r="H40" s="2" t="n"/>
    </row>
    <row r="41">
      <c r="A41" s="2" t="n"/>
      <c r="B41" s="5" t="inlineStr">
        <is>
          <t>S&amp;P : attendu 2026-2028 (bas)</t>
        </is>
      </c>
      <c r="C41" s="63">
        <f>'Entrées'!$C$152/100</f>
        <v/>
      </c>
      <c r="D41" s="22" t="inlineStr">
        <is>
          <t>%</t>
        </is>
      </c>
      <c r="E41" s="22" t="inlineStr">
        <is>
          <t>F164, F165 (haut : 22 %)</t>
        </is>
      </c>
      <c r="F41" s="2" t="n"/>
      <c r="G41" s="2" t="n"/>
      <c r="H41" s="2" t="n"/>
    </row>
    <row r="42">
      <c r="A42" s="2" t="n"/>
      <c r="B42" s="5" t="inlineStr">
        <is>
          <t>Moody's : dette nette ajustée 2025</t>
        </is>
      </c>
      <c r="C42" s="61">
        <f>'Entrées'!$C$138*1000</f>
        <v/>
      </c>
      <c r="D42" s="22" t="inlineStr">
        <is>
          <t>M EUR</t>
        </is>
      </c>
      <c r="E42" s="22" t="inlineStr">
        <is>
          <t>F150</t>
        </is>
      </c>
      <c r="F42" s="2" t="n"/>
      <c r="G42" s="2" t="n"/>
      <c r="H42" s="2" t="n"/>
    </row>
    <row r="43">
      <c r="A43" s="2" t="n"/>
      <c r="B43" s="5" t="inlineStr">
        <is>
          <t>Moody's : dette nette ajustée, pic 2026 (environ)</t>
        </is>
      </c>
      <c r="C43" s="61">
        <f>'Entrées'!$C$139*1000</f>
        <v/>
      </c>
      <c r="D43" s="22" t="inlineStr">
        <is>
          <t>M EUR</t>
        </is>
      </c>
      <c r="E43" s="22" t="inlineStr">
        <is>
          <t>F151</t>
        </is>
      </c>
      <c r="F43" s="2" t="n"/>
      <c r="G43" s="2" t="n"/>
      <c r="H43" s="2" t="n"/>
    </row>
    <row r="44">
      <c r="A44" s="2" t="n"/>
      <c r="B44" s="20" t="inlineStr">
        <is>
          <t>FFO 2025 implicite (ratio × dette ajustée)</t>
        </is>
      </c>
      <c r="C44" s="42">
        <f>'Levier'!$C$36*'Levier'!$C$42</f>
        <v/>
      </c>
      <c r="D44" s="22" t="inlineStr">
        <is>
          <t>M EUR</t>
        </is>
      </c>
      <c r="E44" s="22" t="inlineStr">
        <is>
          <t>20,3 % × 25 400</t>
        </is>
      </c>
      <c r="F44" s="2" t="n"/>
      <c r="G44" s="2" t="n"/>
      <c r="H44" s="2" t="n"/>
    </row>
    <row r="45">
      <c r="A45" s="2" t="n"/>
      <c r="B45" s="20" t="inlineStr">
        <is>
          <t>FFO requis en 2026 au seuil S&amp;P (18 % × pic de dette ajustée)</t>
        </is>
      </c>
      <c r="C45" s="42">
        <f>'Levier'!$C$40*'Levier'!$C$43</f>
        <v/>
      </c>
      <c r="D45" s="22" t="inlineStr">
        <is>
          <t>M EUR</t>
        </is>
      </c>
      <c r="E45" s="22" t="inlineStr">
        <is>
          <t>seuil × dette ajustée 2026</t>
        </is>
      </c>
      <c r="F45" s="2" t="n"/>
      <c r="G45" s="2" t="n"/>
      <c r="H45" s="2" t="n"/>
    </row>
    <row r="46">
      <c r="A46" s="2" t="n"/>
      <c r="B46" s="20" t="inlineStr">
        <is>
          <t>Marge de FFO en 2026 au seuil S&amp;P (FFO 2025 implicite − requis)</t>
        </is>
      </c>
      <c r="C46" s="42">
        <f>'Levier'!$C$44-'Levier'!$C$45</f>
        <v/>
      </c>
      <c r="D46" s="22" t="inlineStr">
        <is>
          <t>M EUR</t>
        </is>
      </c>
      <c r="E46" s="22" t="inlineStr">
        <is>
          <t>négatif = le seuil mord avant le 3x de Veolia</t>
        </is>
      </c>
      <c r="F46" s="2" t="n"/>
      <c r="G46" s="2" t="n"/>
      <c r="H46" s="2" t="n"/>
    </row>
    <row r="47">
      <c r="A47" s="2" t="n"/>
      <c r="B47" s="5" t="inlineStr">
        <is>
          <t>Dette ajustée maximale au seuil S&amp;P avec le FFO 2025 implicite</t>
        </is>
      </c>
      <c r="C47" s="61">
        <f>'Levier'!$C$44/'Levier'!$C$40</f>
        <v/>
      </c>
      <c r="D47" s="22" t="inlineStr">
        <is>
          <t>M EUR</t>
        </is>
      </c>
      <c r="E47" s="22" t="inlineStr">
        <is>
          <t>FFO / 18 %</t>
        </is>
      </c>
      <c r="F47" s="2" t="n"/>
      <c r="G47" s="2" t="n"/>
      <c r="H47" s="2" t="n"/>
    </row>
    <row r="48">
      <c r="A48" s="2" t="n"/>
      <c r="B48" s="5" t="inlineStr">
        <is>
          <t>Écart entre dette ajustée Moody's 2025 et dette nette publiée (IFRS 16 incl.)</t>
        </is>
      </c>
      <c r="C48" s="61">
        <f>'Levier'!$C$42-'Entrées'!$C$13</f>
        <v/>
      </c>
      <c r="D48" s="22" t="inlineStr">
        <is>
          <t>M EUR</t>
        </is>
      </c>
      <c r="E48" s="22" t="inlineStr">
        <is>
          <t>F150 − F8 : décomposé ci-dessous</t>
        </is>
      </c>
      <c r="F48" s="2" t="n"/>
      <c r="G48" s="2" t="n"/>
      <c r="H48" s="2" t="n"/>
    </row>
    <row r="49">
      <c r="A49" s="2" t="n"/>
      <c r="B49" s="2" t="n"/>
      <c r="C49" s="2" t="n"/>
      <c r="D49" s="2" t="n"/>
      <c r="E49" s="2" t="n"/>
      <c r="F49" s="2" t="n"/>
      <c r="G49" s="2" t="n"/>
      <c r="H49" s="2" t="n"/>
    </row>
    <row r="50">
      <c r="A50" s="20" t="inlineStr">
        <is>
          <t>B3</t>
        </is>
      </c>
      <c r="B50" s="20" t="inlineStr">
        <is>
          <t>D'où vient l'écart : la réconciliation de Moody's (Exhibit 13), poste par poste</t>
        </is>
      </c>
      <c r="C50" s="2" t="n"/>
      <c r="D50" s="2" t="n"/>
      <c r="E50" s="2" t="n"/>
      <c r="F50" s="2" t="n"/>
      <c r="G50" s="2" t="n"/>
      <c r="H50" s="2" t="n"/>
    </row>
    <row r="51">
      <c r="A51" s="2" t="n"/>
      <c r="B51" s="5" t="inlineStr">
        <is>
          <t>Dette brute publiée (as reported)</t>
        </is>
      </c>
      <c r="C51" s="58">
        <f>'Entrées'!$C$237</f>
        <v/>
      </c>
      <c r="D51" s="22" t="inlineStr">
        <is>
          <t>M EUR</t>
        </is>
      </c>
      <c r="E51" s="22" t="inlineStr">
        <is>
          <t>F249 ; URD p.351 sous-total des emprunts : F271</t>
        </is>
      </c>
      <c r="F51" s="2" t="n"/>
      <c r="G51" s="2" t="n"/>
      <c r="H51" s="2" t="n"/>
    </row>
    <row r="52">
      <c r="A52" s="2" t="n"/>
      <c r="B52" s="5" t="inlineStr">
        <is>
          <t>+ Pensions (engagements non financés)</t>
        </is>
      </c>
      <c r="C52" s="58">
        <f>'Entrées'!$C$238</f>
        <v/>
      </c>
      <c r="D52" s="22" t="inlineStr">
        <is>
          <t>M EUR</t>
        </is>
      </c>
      <c r="E52" s="22" t="inlineStr">
        <is>
          <t>F250</t>
        </is>
      </c>
      <c r="F52" s="2" t="n"/>
      <c r="G52" s="2" t="n"/>
      <c r="H52" s="2" t="n"/>
    </row>
    <row r="53">
      <c r="A53" s="2" t="n"/>
      <c r="B53" s="5" t="inlineStr">
        <is>
          <t>+ Hybrides comptés à 50 %</t>
        </is>
      </c>
      <c r="C53" s="58">
        <f>'Entrées'!$C$239</f>
        <v/>
      </c>
      <c r="D53" s="22" t="inlineStr">
        <is>
          <t>M EUR</t>
        </is>
      </c>
      <c r="E53" s="22" t="inlineStr">
        <is>
          <t>F251 = 50 % × F10 (4,1 Md€)</t>
        </is>
      </c>
      <c r="F53" s="2" t="n"/>
      <c r="G53" s="2" t="n"/>
      <c r="H53" s="2" t="n"/>
    </row>
    <row r="54">
      <c r="A54" s="2" t="n"/>
      <c r="B54" s="5" t="inlineStr">
        <is>
          <t>+ Titrisation (créances cédées)</t>
        </is>
      </c>
      <c r="C54" s="58">
        <f>'Entrées'!$C$240</f>
        <v/>
      </c>
      <c r="D54" s="22" t="inlineStr">
        <is>
          <t>M EUR</t>
        </is>
      </c>
      <c r="E54" s="22" t="inlineStr">
        <is>
          <t>F252</t>
        </is>
      </c>
      <c r="F54" s="2" t="n"/>
      <c r="G54" s="2" t="n"/>
      <c r="H54" s="2" t="n"/>
    </row>
    <row r="55">
      <c r="A55" s="2" t="n"/>
      <c r="B55" s="5" t="inlineStr">
        <is>
          <t>+ Ajustements non standard</t>
        </is>
      </c>
      <c r="C55" s="58">
        <f>'Entrées'!$C$241</f>
        <v/>
      </c>
      <c r="D55" s="22" t="inlineStr">
        <is>
          <t>M EUR</t>
        </is>
      </c>
      <c r="E55" s="22" t="inlineStr">
        <is>
          <t>F253</t>
        </is>
      </c>
      <c r="F55" s="2" t="n"/>
      <c r="G55" s="2" t="n"/>
      <c r="H55" s="2" t="n"/>
    </row>
    <row r="56">
      <c r="A56" s="2" t="n"/>
      <c r="B56" s="20" t="inlineStr">
        <is>
          <t>Dette brute ajustée recalculée (somme)</t>
        </is>
      </c>
      <c r="C56" s="42">
        <f>SUM(C51:C55)</f>
        <v/>
      </c>
      <c r="D56" s="22" t="inlineStr">
        <is>
          <t>M EUR</t>
        </is>
      </c>
      <c r="E56" s="22" t="inlineStr">
        <is>
          <t>somme</t>
        </is>
      </c>
      <c r="F56" s="2" t="n"/>
      <c r="G56" s="2" t="n"/>
      <c r="H56" s="2" t="n"/>
    </row>
    <row r="57">
      <c r="A57" s="2" t="n"/>
      <c r="B57" s="5" t="inlineStr">
        <is>
          <t>Dette brute ajustée publiée par Moody's</t>
        </is>
      </c>
      <c r="C57" s="58">
        <f>'Entrées'!$C$242</f>
        <v/>
      </c>
      <c r="D57" s="22" t="inlineStr">
        <is>
          <t>M EUR</t>
        </is>
      </c>
      <c r="E57" s="22" t="inlineStr">
        <is>
          <t>F254</t>
        </is>
      </c>
      <c r="F57" s="2" t="n"/>
      <c r="G57" s="2" t="n"/>
      <c r="H57" s="2" t="n"/>
    </row>
    <row r="58">
      <c r="A58" s="2" t="n"/>
      <c r="B58" s="5" t="inlineStr">
        <is>
          <t>− Trésorerie retenue par Moody's</t>
        </is>
      </c>
      <c r="C58" s="58">
        <f>'Entrées'!$C$243</f>
        <v/>
      </c>
      <c r="D58" s="22" t="inlineStr">
        <is>
          <t>M EUR</t>
        </is>
      </c>
      <c r="E58" s="22" t="inlineStr">
        <is>
          <t>F255 ; Veolia déduit F272 + F273 (8 021 + 1 952)</t>
        </is>
      </c>
      <c r="F58" s="2" t="n"/>
      <c r="G58" s="2" t="n"/>
      <c r="H58" s="2" t="n"/>
    </row>
    <row r="59">
      <c r="A59" s="2" t="n"/>
      <c r="B59" s="20" t="inlineStr">
        <is>
          <t>Dette nette ajustée recalculée (brute ajustée − trésorerie)</t>
        </is>
      </c>
      <c r="C59" s="42">
        <f>C57-C58</f>
        <v/>
      </c>
      <c r="D59" s="22" t="inlineStr">
        <is>
          <t>M EUR</t>
        </is>
      </c>
      <c r="E59" s="22" t="inlineStr"/>
      <c r="F59" s="2" t="n"/>
      <c r="G59" s="2" t="n"/>
      <c r="H59" s="2" t="n"/>
    </row>
    <row r="60">
      <c r="A60" s="2" t="n"/>
      <c r="B60" s="5" t="inlineStr">
        <is>
          <t>Dette nette ajustée publiée par Moody's</t>
        </is>
      </c>
      <c r="C60" s="58">
        <f>'Entrées'!$C$244</f>
        <v/>
      </c>
      <c r="D60" s="22" t="inlineStr">
        <is>
          <t>M EUR</t>
        </is>
      </c>
      <c r="E60" s="22" t="inlineStr">
        <is>
          <t>F256</t>
        </is>
      </c>
      <c r="F60" s="2" t="n"/>
      <c r="G60" s="2" t="n"/>
      <c r="H60" s="2" t="n"/>
    </row>
    <row r="61">
      <c r="A61" s="2" t="n"/>
      <c r="B61" s="5" t="inlineStr">
        <is>
          <t>Pour mémoire : dette nette Veolia = brute − trésorerie − actifs liquides + JV dérivés (± PPA)</t>
        </is>
      </c>
      <c r="C61" s="61">
        <f>'Entrées'!$C$259-'Entrées'!$C$260-'Entrées'!$C$261+'Entrées'!$C$262</f>
        <v/>
      </c>
      <c r="D61" s="22" t="inlineStr">
        <is>
          <t>M EUR</t>
        </is>
      </c>
      <c r="E61" s="22" t="inlineStr">
        <is>
          <t>F271 − F272 − F273 + F274 ; écart résiduel = retraitement PPA Suez</t>
        </is>
      </c>
      <c r="F61" s="2" t="n"/>
      <c r="G61" s="2" t="n"/>
      <c r="H61" s="2" t="n"/>
    </row>
    <row r="62">
      <c r="A62" s="2" t="n"/>
      <c r="B62" s="5" t="inlineStr">
        <is>
          <t>Part des hybrides dans l'écart de dette nette</t>
        </is>
      </c>
      <c r="C62" s="63">
        <f>'Levier'!$C$53/('Levier'!$C$60-'Entrées'!$C$13)</f>
        <v/>
      </c>
      <c r="D62" s="22" t="inlineStr">
        <is>
          <t>%</t>
        </is>
      </c>
      <c r="E62" s="22" t="inlineStr">
        <is>
          <t>hybrides / écart total</t>
        </is>
      </c>
      <c r="F62" s="2" t="n"/>
      <c r="G62" s="2" t="n"/>
      <c r="H62" s="2" t="n"/>
    </row>
    <row r="63">
      <c r="A63" s="2" t="n"/>
      <c r="B63" s="2" t="n"/>
      <c r="C63" s="2" t="n"/>
      <c r="D63" s="2" t="n"/>
      <c r="E63" s="2" t="n"/>
      <c r="F63" s="2" t="n"/>
      <c r="G63" s="2" t="n"/>
      <c r="H63" s="2" t="n"/>
    </row>
    <row r="64">
      <c r="A64" s="20" t="inlineStr">
        <is>
          <t>B4</t>
        </is>
      </c>
      <c r="B64" s="20" t="inlineStr">
        <is>
          <t>Le FFO tel que Moody's le publie (Exhibit 15)</t>
        </is>
      </c>
      <c r="C64" s="2" t="n"/>
      <c r="D64" s="2" t="n"/>
      <c r="E64" s="2" t="n"/>
      <c r="F64" s="2" t="n"/>
      <c r="G64" s="2" t="n"/>
      <c r="H64" s="2" t="n"/>
    </row>
    <row r="65">
      <c r="A65" s="2" t="n"/>
      <c r="B65" s="5" t="inlineStr">
        <is>
          <t>FFO 2023</t>
        </is>
      </c>
      <c r="C65" s="58">
        <f>'Entrées'!$C$251</f>
        <v/>
      </c>
      <c r="D65" s="22" t="inlineStr">
        <is>
          <t>M EUR</t>
        </is>
      </c>
      <c r="E65" s="22" t="inlineStr">
        <is>
          <t>F263</t>
        </is>
      </c>
      <c r="F65" s="2" t="n"/>
      <c r="G65" s="2" t="n"/>
      <c r="H65" s="2" t="n"/>
    </row>
    <row r="66">
      <c r="A66" s="2" t="n"/>
      <c r="B66" s="5" t="inlineStr">
        <is>
          <t>FFO 2024</t>
        </is>
      </c>
      <c r="C66" s="58">
        <f>'Entrées'!$C$250</f>
        <v/>
      </c>
      <c r="D66" s="22" t="inlineStr">
        <is>
          <t>M EUR</t>
        </is>
      </c>
      <c r="E66" s="22" t="inlineStr">
        <is>
          <t>F262</t>
        </is>
      </c>
      <c r="F66" s="2" t="n"/>
      <c r="G66" s="2" t="n"/>
      <c r="H66" s="2" t="n"/>
    </row>
    <row r="67">
      <c r="A67" s="2" t="n"/>
      <c r="B67" s="20" t="inlineStr">
        <is>
          <t>FFO 2025 publié</t>
        </is>
      </c>
      <c r="C67" s="65">
        <f>'Entrées'!$C$249</f>
        <v/>
      </c>
      <c r="D67" s="22" t="inlineStr">
        <is>
          <t>M EUR</t>
        </is>
      </c>
      <c r="E67" s="22" t="inlineStr">
        <is>
          <t>F261</t>
        </is>
      </c>
      <c r="F67" s="2" t="n"/>
      <c r="G67" s="2" t="n"/>
      <c r="H67" s="2" t="n"/>
    </row>
    <row r="68">
      <c r="A68" s="2" t="n"/>
      <c r="B68" s="5" t="inlineStr">
        <is>
          <t>FFO 2025 / EBITDA 2025 publié par Veolia (= hypothèse ffo)</t>
        </is>
      </c>
      <c r="C68" s="63">
        <f>C67/'Entrées'!$C$8</f>
        <v/>
      </c>
      <c r="D68" s="22" t="inlineStr">
        <is>
          <t>%</t>
        </is>
      </c>
      <c r="E68" s="22" t="inlineStr">
        <is>
          <t>F261 / F3</t>
        </is>
      </c>
      <c r="F68" s="2" t="n"/>
      <c r="G68" s="2" t="n"/>
      <c r="H68" s="2" t="n"/>
    </row>
    <row r="69">
      <c r="A69" s="2" t="n"/>
      <c r="B69" s="5" t="inlineStr">
        <is>
          <t>FFO 2025 / dette nette ajustée publiée (doit redonner 20,3 %)</t>
        </is>
      </c>
      <c r="C69" s="63">
        <f>C67/'Levier'!$C$60</f>
        <v/>
      </c>
      <c r="D69" s="22" t="inlineStr">
        <is>
          <t>%</t>
        </is>
      </c>
      <c r="E69" s="22" t="inlineStr"/>
      <c r="F69" s="2" t="n"/>
      <c r="G69" s="2" t="n"/>
      <c r="H69" s="2" t="n"/>
    </row>
    <row r="70">
      <c r="A70" s="2" t="n"/>
      <c r="B70" s="5" t="inlineStr">
        <is>
          <t>Dividendes (minoritaires et hybrides compris, selon Moody's)</t>
        </is>
      </c>
      <c r="C70" s="58">
        <f>'Entrées'!$C$252</f>
        <v/>
      </c>
      <c r="D70" s="22" t="inlineStr">
        <is>
          <t>M EUR</t>
        </is>
      </c>
      <c r="E70" s="22" t="inlineStr">
        <is>
          <t>F264</t>
        </is>
      </c>
      <c r="F70" s="2" t="n"/>
      <c r="G70" s="2" t="n"/>
      <c r="H70" s="2" t="n"/>
    </row>
    <row r="71">
      <c r="A71" s="2" t="n"/>
      <c r="B71" s="5" t="inlineStr">
        <is>
          <t>RCF = FFO − dividendes</t>
        </is>
      </c>
      <c r="C71" s="58">
        <f>'Entrées'!$C$253</f>
        <v/>
      </c>
      <c r="D71" s="22" t="inlineStr">
        <is>
          <t>M EUR</t>
        </is>
      </c>
      <c r="E71" s="22" t="inlineStr">
        <is>
          <t>F265</t>
        </is>
      </c>
      <c r="F71" s="2" t="n"/>
      <c r="G71" s="2" t="n"/>
      <c r="H71" s="2" t="n"/>
    </row>
    <row r="72">
      <c r="A72" s="2" t="n"/>
      <c r="B72" s="5" t="inlineStr">
        <is>
          <t>Charge d'intérêts ajustée</t>
        </is>
      </c>
      <c r="C72" s="58">
        <f>'Entrées'!$C$256</f>
        <v/>
      </c>
      <c r="D72" s="22" t="inlineStr">
        <is>
          <t>M EUR</t>
        </is>
      </c>
      <c r="E72" s="22" t="inlineStr">
        <is>
          <t>F268</t>
        </is>
      </c>
      <c r="F72" s="2" t="n"/>
      <c r="G72" s="2" t="n"/>
      <c r="H72" s="2" t="n"/>
    </row>
    <row r="73">
      <c r="A73" s="2" t="n"/>
      <c r="B73" s="5" t="inlineStr">
        <is>
          <t>Dette nette ajustée / EBITDA ajusté selon Moody's</t>
        </is>
      </c>
      <c r="C73" s="60">
        <f>'Entrées'!$C$257</f>
        <v/>
      </c>
      <c r="D73" s="22" t="inlineStr">
        <is>
          <t>x</t>
        </is>
      </c>
      <c r="E73" s="22" t="inlineStr">
        <is>
          <t>F269 — contre 2,79x publié par Veolia : même entreprise, deux définitions</t>
        </is>
      </c>
      <c r="F73" s="2" t="n"/>
      <c r="G73" s="2" t="n"/>
      <c r="H73" s="2" t="n"/>
    </row>
    <row r="74">
      <c r="A74" s="2" t="n"/>
      <c r="B74" s="5" t="inlineStr">
        <is>
          <t>Prévision Moody's : FFO / dette nette 2026</t>
        </is>
      </c>
      <c r="C74" s="63">
        <f>'Entrées'!$C$232/100</f>
        <v/>
      </c>
      <c r="D74" s="22" t="inlineStr">
        <is>
          <t>%</t>
        </is>
      </c>
      <c r="E74" s="22" t="inlineStr">
        <is>
          <t>F244</t>
        </is>
      </c>
      <c r="F74" s="2" t="n"/>
      <c r="G74" s="2" t="n"/>
      <c r="H74" s="2" t="n"/>
    </row>
    <row r="75">
      <c r="A75" s="2" t="n"/>
      <c r="B75" s="5" t="inlineStr">
        <is>
          <t>Prévision Moody's : FFO / dette nette 2027</t>
        </is>
      </c>
      <c r="C75" s="63">
        <f>'Entrées'!$C$233/100</f>
        <v/>
      </c>
      <c r="D75" s="22" t="inlineStr">
        <is>
          <t>%</t>
        </is>
      </c>
      <c r="E75" s="22" t="inlineStr">
        <is>
          <t>F245</t>
        </is>
      </c>
      <c r="F75" s="2" t="n"/>
      <c r="G75" s="2" t="n"/>
      <c r="H75" s="2" t="n"/>
    </row>
    <row r="76" ht="44" customHeight="1">
      <c r="A76" s="2" t="n"/>
      <c r="B76" s="66" t="inlineStr">
        <is>
          <t>Lecture : l'écart de 5,7 Md€ entre la dette des agences et celle de Veolia tient aux hybrides pour un peu plus d'un tiers, le reste aux pensions, à la titrisation et aux retraitements de Moody's. Le FFO publié (5 160 M€) redonne le ratio 20,3 % : c'est lui que le modèle projette.</t>
        </is>
      </c>
      <c r="C76" s="2" t="n"/>
      <c r="D76" s="2" t="n"/>
      <c r="E76" s="2" t="n"/>
      <c r="F76" s="2" t="n"/>
      <c r="G76" s="2" t="n"/>
      <c r="H76" s="2" t="n"/>
    </row>
    <row r="77" ht="44" customHeight="1">
      <c r="A77" s="2" t="n"/>
      <c r="B77" s="66" t="inlineStr">
        <is>
          <t>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is>
      </c>
      <c r="C77" s="2" t="n"/>
      <c r="D77" s="2" t="n"/>
      <c r="E77" s="2" t="n"/>
      <c r="F77" s="2" t="n"/>
      <c r="G77" s="2" t="n"/>
      <c r="H77" s="2" t="n"/>
    </row>
    <row r="78">
      <c r="A78" s="2" t="n"/>
      <c r="B78" s="2" t="n"/>
      <c r="C78" s="2" t="n"/>
      <c r="D78" s="2" t="n"/>
      <c r="E78" s="2" t="n"/>
      <c r="F78" s="2" t="n"/>
      <c r="G78" s="2" t="n"/>
      <c r="H78" s="2" t="n"/>
    </row>
    <row r="79">
      <c r="A79" s="20" t="inlineStr">
        <is>
          <t>B5</t>
        </is>
      </c>
      <c r="B79" s="20" t="inlineStr">
        <is>
          <t>Le pont du FFO : reconstitué depuis le tableau de flux (DEU 2025 p.362-363) face au FFO de Moody's</t>
        </is>
      </c>
      <c r="C79" s="2" t="n"/>
      <c r="D79" s="2" t="n"/>
      <c r="E79" s="2" t="n"/>
      <c r="F79" s="2" t="n"/>
      <c r="G79" s="2" t="n"/>
      <c r="H79" s="2" t="n"/>
    </row>
    <row r="80">
      <c r="A80" s="19" t="inlineStr"/>
      <c r="B80" s="19" t="inlineStr">
        <is>
          <t>Poste (signes du tableau de flux)</t>
        </is>
      </c>
      <c r="C80" s="19" t="inlineStr">
        <is>
          <t>2025</t>
        </is>
      </c>
      <c r="D80" s="19" t="inlineStr">
        <is>
          <t>2024</t>
        </is>
      </c>
      <c r="E80" s="19" t="inlineStr">
        <is>
          <t>Réf.</t>
        </is>
      </c>
      <c r="F80" s="2" t="n"/>
      <c r="G80" s="2" t="n"/>
      <c r="H80" s="2" t="n"/>
    </row>
    <row r="81">
      <c r="A81" s="2" t="n"/>
      <c r="B81" s="5" t="inlineStr">
        <is>
          <t>Capacité d'autofinancement avant variation du BFR</t>
        </is>
      </c>
      <c r="C81" s="58">
        <f>'Entrées'!$C$313</f>
        <v/>
      </c>
      <c r="D81" s="58">
        <f>'Entrées'!$C$314</f>
        <v/>
      </c>
      <c r="E81" s="22" t="inlineStr">
        <is>
          <t>F308, F309</t>
        </is>
      </c>
      <c r="F81" s="2" t="n"/>
      <c r="G81" s="2" t="n"/>
      <c r="H81" s="2" t="n"/>
    </row>
    <row r="82">
      <c r="A82" s="2" t="n"/>
      <c r="B82" s="5" t="inlineStr">
        <is>
          <t>Impôts payés</t>
        </is>
      </c>
      <c r="C82" s="58">
        <f>'Entrées'!$C$319</f>
        <v/>
      </c>
      <c r="D82" s="58">
        <f>'Entrées'!$C$320</f>
        <v/>
      </c>
      <c r="E82" s="22" t="inlineStr">
        <is>
          <t>F314, F315</t>
        </is>
      </c>
      <c r="F82" s="2" t="n"/>
      <c r="G82" s="2" t="n"/>
      <c r="H82" s="2" t="n"/>
    </row>
    <row r="83">
      <c r="A83" s="2" t="n"/>
      <c r="B83" s="5" t="inlineStr">
        <is>
          <t>Intérêts payés</t>
        </is>
      </c>
      <c r="C83" s="58">
        <f>'Entrées'!$C$333</f>
        <v/>
      </c>
      <c r="D83" s="58">
        <f>'Entrées'!$C$334</f>
        <v/>
      </c>
      <c r="E83" s="22" t="inlineStr">
        <is>
          <t>F328, F329</t>
        </is>
      </c>
      <c r="F83" s="2" t="n"/>
      <c r="G83" s="2" t="n"/>
      <c r="H83" s="2" t="n"/>
    </row>
    <row r="84">
      <c r="A84" s="2" t="n"/>
      <c r="B84" s="5" t="inlineStr">
        <is>
          <t>Intérêts sur actifs IFRIC 12</t>
        </is>
      </c>
      <c r="C84" s="58">
        <f>'Entrées'!$C$335</f>
        <v/>
      </c>
      <c r="D84" s="58">
        <f>'Entrées'!$C$336</f>
        <v/>
      </c>
      <c r="E84" s="22" t="inlineStr">
        <is>
          <t>F330, F331</t>
        </is>
      </c>
      <c r="F84" s="2" t="n"/>
      <c r="G84" s="2" t="n"/>
      <c r="H84" s="2" t="n"/>
    </row>
    <row r="85">
      <c r="A85" s="2" t="n"/>
      <c r="B85" s="5" t="inlineStr">
        <is>
          <t>Intérêts sur dette de loyers IFRS 16</t>
        </is>
      </c>
      <c r="C85" s="58">
        <f>'Entrées'!$C$337</f>
        <v/>
      </c>
      <c r="D85" s="58">
        <f>'Entrées'!$C$338</f>
        <v/>
      </c>
      <c r="E85" s="22" t="inlineStr">
        <is>
          <t>F332, F333</t>
        </is>
      </c>
      <c r="F85" s="2" t="n"/>
      <c r="G85" s="2" t="n"/>
      <c r="H85" s="2" t="n"/>
    </row>
    <row r="86">
      <c r="A86" s="2" t="n"/>
      <c r="B86" s="5" t="inlineStr">
        <is>
          <t>Remboursements d'actifs financiers opérationnels (IFRIC 12)</t>
        </is>
      </c>
      <c r="C86" s="58">
        <f>'Entrées'!$C$401</f>
        <v/>
      </c>
      <c r="D86" s="58">
        <f>'Entrées'!$C$324</f>
        <v/>
      </c>
      <c r="E86" s="22" t="inlineStr">
        <is>
          <t>F396, F319</t>
        </is>
      </c>
      <c r="F86" s="2" t="n"/>
      <c r="G86" s="2" t="n"/>
      <c r="H86" s="2" t="n"/>
    </row>
    <row r="87">
      <c r="A87" s="2" t="n"/>
      <c r="B87" s="5" t="inlineStr">
        <is>
          <t>Dividendes reçus (coentreprises et associés)</t>
        </is>
      </c>
      <c r="C87" s="58">
        <f>'Entrées'!$C$325</f>
        <v/>
      </c>
      <c r="D87" s="58">
        <f>'Entrées'!$C$326</f>
        <v/>
      </c>
      <c r="E87" s="22" t="inlineStr">
        <is>
          <t>F320, F321</t>
        </is>
      </c>
      <c r="F87" s="2" t="n"/>
      <c r="G87" s="2" t="n"/>
      <c r="H87" s="2" t="n"/>
    </row>
    <row r="88">
      <c r="A88" s="2" t="n"/>
      <c r="B88" s="20" t="inlineStr">
        <is>
          <t>FFO reconstitué (somme, signes du tableau de flux)</t>
        </is>
      </c>
      <c r="C88" s="67">
        <f>SUM(C81:C87)</f>
        <v/>
      </c>
      <c r="D88" s="67">
        <f>SUM(D81:D87)</f>
        <v/>
      </c>
      <c r="E88" s="2" t="n"/>
      <c r="F88" s="2" t="n"/>
      <c r="G88" s="2" t="n"/>
      <c r="H88" s="2" t="n"/>
    </row>
    <row r="89">
      <c r="A89" s="2" t="n"/>
      <c r="B89" s="5" t="inlineStr">
        <is>
          <t>FFO publié par Moody's (Exhibit 15)</t>
        </is>
      </c>
      <c r="C89" s="58">
        <f>'Entrées'!$C$249</f>
        <v/>
      </c>
      <c r="D89" s="58">
        <f>'Entrées'!$C$250</f>
        <v/>
      </c>
      <c r="E89" s="22" t="inlineStr">
        <is>
          <t>F261, F262</t>
        </is>
      </c>
      <c r="F89" s="2" t="n"/>
      <c r="G89" s="2" t="n"/>
      <c r="H89" s="2" t="n"/>
    </row>
    <row r="90">
      <c r="A90" s="2" t="n"/>
      <c r="B90" s="5" t="inlineStr">
        <is>
          <t>Écart reconstitué − Moody's</t>
        </is>
      </c>
      <c r="C90" s="61">
        <f>C88-C89</f>
        <v/>
      </c>
      <c r="D90" s="61">
        <f>D88-D89</f>
        <v/>
      </c>
      <c r="E90" s="2" t="n"/>
      <c r="F90" s="2" t="n"/>
      <c r="G90" s="2" t="n"/>
      <c r="H90" s="2" t="n"/>
    </row>
    <row r="91">
      <c r="A91" s="2" t="n"/>
      <c r="B91" s="20" t="inlineStr">
        <is>
          <t>Écart en % du FFO Moody's</t>
        </is>
      </c>
      <c r="C91" s="38">
        <f>C88/C89-1</f>
        <v/>
      </c>
      <c r="D91" s="38">
        <f>D88/D89-1</f>
        <v/>
      </c>
      <c r="E91" s="2" t="n"/>
      <c r="F91" s="2" t="n"/>
      <c r="G91" s="2" t="n"/>
      <c r="H91" s="2" t="n"/>
    </row>
    <row r="92">
      <c r="A92" s="2" t="n"/>
      <c r="B92" s="5" t="inlineStr">
        <is>
          <t>FFO reconstitué / EBITDA publié par Veolia (à comparer à l'hypothèse ffo)</t>
        </is>
      </c>
      <c r="C92" s="63">
        <f>C88/'Entrées'!$C$8</f>
        <v/>
      </c>
      <c r="D92" s="63">
        <f>D88/'Entrées'!$C$22</f>
        <v/>
      </c>
      <c r="E92" s="22" t="inlineStr">
        <is>
          <t>F3, F17</t>
        </is>
      </c>
      <c r="F92" s="2" t="n"/>
      <c r="G92" s="2" t="n"/>
      <c r="H92" s="2" t="n"/>
    </row>
    <row r="93">
      <c r="A93" s="2" t="n"/>
      <c r="B93" s="5" t="inlineStr">
        <is>
          <t>FFO reconstitué / dette nette ajustée Moody's (publié : 20,3 % et 21,3 %)</t>
        </is>
      </c>
      <c r="C93" s="63">
        <f>C88/'Levier'!$C$60</f>
        <v/>
      </c>
      <c r="D93" s="63">
        <f>D88/'Entrées'!$C$245</f>
        <v/>
      </c>
      <c r="E93" s="22" t="inlineStr">
        <is>
          <t>F256, F257</t>
        </is>
      </c>
      <c r="F93" s="2" t="n"/>
      <c r="G93" s="2" t="n"/>
      <c r="H93" s="2" t="n"/>
    </row>
    <row r="94" ht="58" customHeight="1">
      <c r="A94" s="2" t="n"/>
      <c r="B94" s="66" t="inlineStr">
        <is>
          <t>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moins de 2 % près sur les deux années. C'est la lecture du groupe, contrôlée à ± 5 % (Vérifications) ; elle donne un FFO projetable poste par poste, dont les intérêts (Échéancier §B).</t>
        </is>
      </c>
      <c r="C94" s="2" t="n"/>
      <c r="D94" s="2" t="n"/>
      <c r="E94" s="2" t="n"/>
      <c r="F94" s="2" t="n"/>
      <c r="G94" s="2" t="n"/>
      <c r="H94" s="2" t="n"/>
    </row>
    <row r="95">
      <c r="A95" s="2" t="n"/>
      <c r="B95" s="2" t="n"/>
      <c r="C95" s="2" t="n"/>
      <c r="D95" s="2" t="n"/>
      <c r="E95" s="2" t="n"/>
      <c r="F95" s="2" t="n"/>
      <c r="G95" s="2" t="n"/>
      <c r="H95" s="2" t="n"/>
    </row>
    <row r="96">
      <c r="A96" s="20" t="inlineStr">
        <is>
          <t>B6</t>
        </is>
      </c>
      <c r="B96" s="20" t="inlineStr">
        <is>
          <t>Les pairs selon Moody's (Exhibit 12, 12 mois à juin 2025) : où se place Veolia</t>
        </is>
      </c>
      <c r="C96" s="2" t="n"/>
      <c r="D96" s="2" t="n"/>
      <c r="E96" s="2" t="n"/>
      <c r="F96" s="2" t="n"/>
      <c r="G96" s="2" t="n"/>
      <c r="H96" s="2" t="n"/>
    </row>
    <row r="97">
      <c r="A97" s="19" t="inlineStr"/>
      <c r="B97" s="19" t="inlineStr">
        <is>
          <t>Société</t>
        </is>
      </c>
      <c r="C97" s="19" t="inlineStr">
        <is>
          <t>Notation</t>
        </is>
      </c>
      <c r="D97" s="19" t="inlineStr">
        <is>
          <t>FFO / dette nette</t>
        </is>
      </c>
      <c r="E97" s="19" t="inlineStr">
        <is>
          <t>RCF / dette nette</t>
        </is>
      </c>
      <c r="F97" s="19" t="inlineStr">
        <is>
          <t>Dette / EBITDA</t>
        </is>
      </c>
      <c r="G97" s="19" t="inlineStr">
        <is>
          <t>EBITDA ajusté (M EUR)</t>
        </is>
      </c>
      <c r="H97" s="19" t="inlineStr">
        <is>
          <t>Réf.</t>
        </is>
      </c>
    </row>
    <row r="98">
      <c r="A98" s="2" t="n"/>
      <c r="B98" s="20" t="inlineStr">
        <is>
          <t>Veolia</t>
        </is>
      </c>
      <c r="C98" s="68">
        <f>'Entrées'!$C$550</f>
        <v/>
      </c>
      <c r="D98" s="69">
        <f>'Levier'!$C$36</f>
        <v/>
      </c>
      <c r="E98" s="63">
        <f>'Entrées'!$C$253/'Levier'!$C$60</f>
        <v/>
      </c>
      <c r="F98" s="60">
        <f>'Entrées'!$C$258</f>
        <v/>
      </c>
      <c r="G98" s="58">
        <f>'Entrées'!$C$248</f>
        <v/>
      </c>
      <c r="H98" s="22" t="inlineStr">
        <is>
          <t>F545 ; FY2025 (Exhibit 15)</t>
        </is>
      </c>
    </row>
    <row r="99">
      <c r="A99" s="2" t="n"/>
      <c r="B99" s="5" t="inlineStr">
        <is>
          <t>ACEA</t>
        </is>
      </c>
      <c r="C99" s="68">
        <f>'Entrées'!$C$535</f>
        <v/>
      </c>
      <c r="D99" s="69">
        <f>'Entrées'!$C$537/100</f>
        <v/>
      </c>
      <c r="E99" s="69">
        <f>'Entrées'!$C$538/100</f>
        <v/>
      </c>
      <c r="F99" s="60">
        <f>'Entrées'!$C$539</f>
        <v/>
      </c>
      <c r="G99" s="58">
        <f>'Entrées'!$C$536</f>
        <v/>
      </c>
      <c r="H99" s="22" t="inlineStr">
        <is>
          <t>F530, F532, F533, F534, F531</t>
        </is>
      </c>
    </row>
    <row r="100">
      <c r="A100" s="2" t="n"/>
      <c r="B100" s="5" t="inlineStr">
        <is>
          <t>Hera</t>
        </is>
      </c>
      <c r="C100" s="68">
        <f>'Entrées'!$C$540</f>
        <v/>
      </c>
      <c r="D100" s="69">
        <f>'Entrées'!$C$542/100</f>
        <v/>
      </c>
      <c r="E100" s="69">
        <f>'Entrées'!$C$543/100</f>
        <v/>
      </c>
      <c r="F100" s="60">
        <f>'Entrées'!$C$544</f>
        <v/>
      </c>
      <c r="G100" s="58">
        <f>'Entrées'!$C$541</f>
        <v/>
      </c>
      <c r="H100" s="22" t="inlineStr">
        <is>
          <t>F535, F537, F538, F539, F536</t>
        </is>
      </c>
    </row>
    <row r="101">
      <c r="A101" s="2" t="n"/>
      <c r="B101" s="5" t="inlineStr">
        <is>
          <t>Suez</t>
        </is>
      </c>
      <c r="C101" s="68">
        <f>'Entrées'!$C$545</f>
        <v/>
      </c>
      <c r="D101" s="69">
        <f>'Entrées'!$C$547/100</f>
        <v/>
      </c>
      <c r="E101" s="69">
        <f>'Entrées'!$C$548/100</f>
        <v/>
      </c>
      <c r="F101" s="60">
        <f>'Entrées'!$C$549</f>
        <v/>
      </c>
      <c r="G101" s="58">
        <f>'Entrées'!$C$546</f>
        <v/>
      </c>
      <c r="H101" s="22" t="inlineStr">
        <is>
          <t>F540, F542, F543, F544, F541</t>
        </is>
      </c>
    </row>
    <row r="102">
      <c r="A102" s="2" t="n"/>
      <c r="B102" s="20" t="inlineStr">
        <is>
          <t>Écart de FFO / dette nette entre Veolia et Suez (même notation à un cran près, perspective négative)</t>
        </is>
      </c>
      <c r="C102" s="38">
        <f>D98-D101</f>
        <v/>
      </c>
      <c r="D102" s="22" t="inlineStr">
        <is>
          <t>pts</t>
        </is>
      </c>
      <c r="E102" s="22" t="inlineStr">
        <is>
          <t>Veolia − Suez</t>
        </is>
      </c>
      <c r="F102" s="2" t="n"/>
      <c r="G102" s="2" t="n"/>
      <c r="H102" s="2" t="n"/>
    </row>
    <row r="103">
      <c r="A103" s="2" t="n"/>
      <c r="B103" s="20" t="inlineStr">
        <is>
          <t>Écart entre Veolia et le mieux noté des pairs comparables (Hera)</t>
        </is>
      </c>
      <c r="C103" s="38">
        <f>D98-D100</f>
        <v/>
      </c>
      <c r="D103" s="22" t="inlineStr">
        <is>
          <t>pts</t>
        </is>
      </c>
      <c r="E103" s="22" t="inlineStr">
        <is>
          <t>négatif = Veolia en dessous</t>
        </is>
      </c>
      <c r="F103" s="2" t="n"/>
      <c r="G103" s="2" t="n"/>
      <c r="H103" s="2" t="n"/>
    </row>
    <row r="104" ht="44" customHeight="1">
      <c r="A104" s="2" t="n"/>
      <c r="B104" s="66" t="inlineStr">
        <is>
          <t>Lecture : à notation égale (Baa1), Veolia est au niveau d'ACEA et sous Hera ; Suez, Baa2 à perspective négative, est à 11 %. Le seuil des « high teens » de Moody's n'est pas théorique : c'est la zone où se trouve déjà le concurrent direct. La marge de sécurité que gardent les pairs sous leur seuil est de l'ordre de 2 à 5 points ; la nôtre, fin 2026, est de 1 point (Trajectoire).</t>
        </is>
      </c>
      <c r="C104" s="2" t="n"/>
      <c r="D104" s="2" t="n"/>
      <c r="E104" s="2" t="n"/>
      <c r="F104" s="2" t="n"/>
      <c r="G104" s="2" t="n"/>
      <c r="H104" s="2" t="n"/>
    </row>
    <row r="105">
      <c r="A105" s="2" t="n"/>
      <c r="B105" s="2" t="n"/>
      <c r="C105" s="2" t="n"/>
      <c r="D105" s="2" t="n"/>
      <c r="E105" s="2" t="n"/>
      <c r="F105" s="2" t="n"/>
      <c r="G105" s="2" t="n"/>
      <c r="H105" s="2" t="n"/>
    </row>
    <row r="106">
      <c r="A106" s="20" t="inlineStr">
        <is>
          <t>B7</t>
        </is>
      </c>
      <c r="B106" s="20" t="inlineStr">
        <is>
          <t>Les hybrides : calendrier des premières dates de réinitialisation (DEU 2025 p.429) et ce qu'un rappel change</t>
        </is>
      </c>
      <c r="C106" s="2" t="n"/>
      <c r="D106" s="2" t="n"/>
      <c r="E106" s="2" t="n"/>
      <c r="F106" s="2" t="n"/>
      <c r="G106" s="2" t="n"/>
      <c r="H106" s="2" t="n"/>
    </row>
    <row r="107">
      <c r="A107" s="19" t="inlineStr"/>
      <c r="B107" s="19" t="inlineStr">
        <is>
          <t>Tranche</t>
        </is>
      </c>
      <c r="C107" s="19" t="inlineStr">
        <is>
          <t>Nominal (M EUR)</t>
        </is>
      </c>
      <c r="D107" s="19" t="inlineStr">
        <is>
          <t>Coupon jusqu'à la réinitialisation</t>
        </is>
      </c>
      <c r="E107" s="19" t="inlineStr">
        <is>
          <t>Première réinitialisation</t>
        </is>
      </c>
      <c r="F107" s="19" t="inlineStr">
        <is>
          <t>Coupon annuel (M EUR)</t>
        </is>
      </c>
      <c r="G107" s="19" t="inlineStr">
        <is>
          <t>Réf.</t>
        </is>
      </c>
      <c r="H107" s="2" t="n"/>
    </row>
    <row r="108">
      <c r="A108" s="2" t="n"/>
      <c r="B108" s="5" t="inlineStr">
        <is>
          <t>Hybride septembre 2019</t>
        </is>
      </c>
      <c r="C108" s="58">
        <f>'Entrées'!$C$570</f>
        <v/>
      </c>
      <c r="D108" s="70">
        <f>'Entrées'!$C$571/100</f>
        <v/>
      </c>
      <c r="E108" s="23" t="inlineStr">
        <is>
          <t>09/2026</t>
        </is>
      </c>
      <c r="F108" s="61">
        <f>C108*D108</f>
        <v/>
      </c>
      <c r="G108" s="22" t="inlineStr">
        <is>
          <t>F565, F566</t>
        </is>
      </c>
      <c r="H108" s="2" t="n"/>
    </row>
    <row r="109">
      <c r="A109" s="2" t="n"/>
      <c r="B109" s="5" t="inlineStr">
        <is>
          <t>Hybride novembre 2021</t>
        </is>
      </c>
      <c r="C109" s="58">
        <f>'Entrées'!$C$572</f>
        <v/>
      </c>
      <c r="D109" s="70">
        <f>'Entrées'!$C$573/100</f>
        <v/>
      </c>
      <c r="E109" s="23" t="inlineStr">
        <is>
          <t>02/2028</t>
        </is>
      </c>
      <c r="F109" s="61">
        <f>C109*D109</f>
        <v/>
      </c>
      <c r="G109" s="22" t="inlineStr">
        <is>
          <t>F567, F568</t>
        </is>
      </c>
      <c r="H109" s="2" t="n"/>
    </row>
    <row r="110">
      <c r="A110" s="2" t="n"/>
      <c r="B110" s="5" t="inlineStr">
        <is>
          <t>Hybride novembre 2023</t>
        </is>
      </c>
      <c r="C110" s="58">
        <f>'Entrées'!$C$574</f>
        <v/>
      </c>
      <c r="D110" s="70">
        <f>'Entrées'!$C$575/100</f>
        <v/>
      </c>
      <c r="E110" s="23" t="inlineStr">
        <is>
          <t>02/2029</t>
        </is>
      </c>
      <c r="F110" s="61">
        <f>C110*D110</f>
        <v/>
      </c>
      <c r="G110" s="22" t="inlineStr">
        <is>
          <t>F569, F570</t>
        </is>
      </c>
      <c r="H110" s="2" t="n"/>
    </row>
    <row r="111">
      <c r="A111" s="2" t="n"/>
      <c r="B111" s="5" t="inlineStr">
        <is>
          <t>Hybride octobre 2020, tranche résiduelle</t>
        </is>
      </c>
      <c r="C111" s="58">
        <f>'Entrées'!$C$568</f>
        <v/>
      </c>
      <c r="D111" s="70">
        <f>'Entrées'!$C$569/100</f>
        <v/>
      </c>
      <c r="E111" s="23" t="inlineStr">
        <is>
          <t>04/2029</t>
        </is>
      </c>
      <c r="F111" s="61">
        <f>C111*D111</f>
        <v/>
      </c>
      <c r="G111" s="22" t="inlineStr">
        <is>
          <t>F563, F564</t>
        </is>
      </c>
      <c r="H111" s="2" t="n"/>
    </row>
    <row r="112">
      <c r="A112" s="2" t="n"/>
      <c r="B112" s="5" t="inlineStr">
        <is>
          <t>Hybride mai 2025 (hybride vert)</t>
        </is>
      </c>
      <c r="C112" s="58">
        <f>'Entrées'!$C$576</f>
        <v/>
      </c>
      <c r="D112" s="70">
        <f>'Entrées'!$C$577/100</f>
        <v/>
      </c>
      <c r="E112" s="23" t="inlineStr">
        <is>
          <t>08/2030</t>
        </is>
      </c>
      <c r="F112" s="61">
        <f>C112*D112</f>
        <v/>
      </c>
      <c r="G112" s="22" t="inlineStr">
        <is>
          <t>F571, F572</t>
        </is>
      </c>
      <c r="H112" s="2" t="n"/>
    </row>
    <row r="113">
      <c r="A113" s="2" t="n"/>
      <c r="B113" s="5" t="inlineStr">
        <is>
          <t>Hybride septembre 2025</t>
        </is>
      </c>
      <c r="C113" s="58">
        <f>'Entrées'!$C$578</f>
        <v/>
      </c>
      <c r="D113" s="70">
        <f>'Entrées'!$C$579/100</f>
        <v/>
      </c>
      <c r="E113" s="23" t="inlineStr">
        <is>
          <t>01/2033</t>
        </is>
      </c>
      <c r="F113" s="61">
        <f>C113*D113</f>
        <v/>
      </c>
      <c r="G113" s="22" t="inlineStr">
        <is>
          <t>F573, F574</t>
        </is>
      </c>
      <c r="H113" s="2" t="n"/>
    </row>
    <row r="114">
      <c r="A114" s="2" t="n"/>
      <c r="B114" s="20" t="inlineStr">
        <is>
          <t>Somme des tranches</t>
        </is>
      </c>
      <c r="C114" s="42">
        <f>SUM(C108:C113)</f>
        <v/>
      </c>
      <c r="D114" s="22" t="inlineStr">
        <is>
          <t>M EUR</t>
        </is>
      </c>
      <c r="E114" s="22" t="inlineStr"/>
      <c r="F114" s="42">
        <f>SUM(F108:F113)</f>
        <v/>
      </c>
      <c r="G114" s="2" t="n"/>
      <c r="H114" s="2" t="n"/>
    </row>
    <row r="115">
      <c r="A115" s="2" t="n"/>
      <c r="B115" s="5" t="inlineStr">
        <is>
          <t>Encours publié hors coupons</t>
        </is>
      </c>
      <c r="C115" s="61">
        <f>'Entrées'!$C$567*1000</f>
        <v/>
      </c>
      <c r="D115" s="22" t="inlineStr">
        <is>
          <t>M EUR</t>
        </is>
      </c>
      <c r="E115" s="22" t="inlineStr">
        <is>
          <t>F562</t>
        </is>
      </c>
      <c r="F115" s="2" t="n"/>
      <c r="G115" s="2" t="n"/>
      <c r="H115" s="2" t="n"/>
    </row>
    <row r="116">
      <c r="A116" s="2" t="n"/>
      <c r="B116" s="5" t="inlineStr">
        <is>
          <t>Coupon moyen pondéré</t>
        </is>
      </c>
      <c r="C116" s="71">
        <f>F114/C114</f>
        <v/>
      </c>
      <c r="D116" s="22" t="inlineStr">
        <is>
          <t>%</t>
        </is>
      </c>
      <c r="E116" s="22" t="inlineStr">
        <is>
          <t>coupons / nominal</t>
        </is>
      </c>
      <c r="F116" s="2" t="n"/>
      <c r="G116" s="2" t="n"/>
      <c r="H116" s="2" t="n"/>
    </row>
    <row r="117">
      <c r="A117" s="2" t="n"/>
      <c r="B117" s="20" t="inlineStr">
        <is>
          <t>Tranches dont la première réinitialisation tombe avant fin 2027</t>
        </is>
      </c>
      <c r="C117" s="42">
        <f>C108</f>
        <v/>
      </c>
      <c r="D117" s="22" t="inlineStr">
        <is>
          <t>M EUR</t>
        </is>
      </c>
      <c r="E117" s="22" t="inlineStr">
        <is>
          <t>septembre 2026 : 500 M€ à 1,625 %</t>
        </is>
      </c>
      <c r="F117" s="2" t="n"/>
      <c r="G117" s="2" t="n"/>
      <c r="H117" s="2" t="n"/>
    </row>
    <row r="118">
      <c r="A118" s="2" t="n"/>
      <c r="B118" s="20" t="inlineStr">
        <is>
          <t>Si cette tranche est remplacée au coupon de la dernière émission (4,322 %) : coupon annuel en plus</t>
        </is>
      </c>
      <c r="C118" s="42">
        <f>C108*('Entrées'!$C$579-'Entrées'!$C$571)/100</f>
        <v/>
      </c>
      <c r="D118" s="22" t="inlineStr">
        <is>
          <t>M EUR</t>
        </is>
      </c>
      <c r="E118" s="22" t="inlineStr">
        <is>
          <t>nominal × écart de coupon</t>
        </is>
      </c>
      <c r="F118" s="2" t="n"/>
      <c r="G118" s="2" t="n"/>
      <c r="H118" s="2" t="n"/>
    </row>
    <row r="119">
      <c r="A119" s="2" t="n"/>
      <c r="B119" s="20" t="inlineStr">
        <is>
          <t>Si elle est remboursée sans remplacement : levier fin 2027 (définition Veolia) après +500 M€ de dette nette</t>
        </is>
      </c>
      <c r="C119" s="59">
        <f>('Trajectoire'!$D$45+C108)/'Trajectoire'!$D$42</f>
        <v/>
      </c>
      <c r="D119" s="22" t="inlineStr">
        <is>
          <t>x</t>
        </is>
      </c>
      <c r="E119" s="22" t="inlineStr">
        <is>
          <t>DFN + 500 / EBITDA 2027</t>
        </is>
      </c>
      <c r="F119" s="2" t="n"/>
      <c r="G119" s="2" t="n"/>
      <c r="H119" s="2" t="n"/>
    </row>
    <row r="120">
      <c r="A120" s="2" t="n"/>
      <c r="B120" s="5" t="inlineStr">
        <is>
          <t>… et dette ajustée Moody's fin 2027 : +500 de dette, −250 d'hybride comptée à 50 %</t>
        </is>
      </c>
      <c r="C120" s="61">
        <f>'Trajectoire'!$D$55+C108*(1-'Hypothèses'!$J$27)</f>
        <v/>
      </c>
      <c r="D120" s="22" t="inlineStr">
        <is>
          <t>M EUR</t>
        </is>
      </c>
      <c r="E120" s="22" t="inlineStr">
        <is>
          <t>ADJ27 + 500 × (1 − 50 %)</t>
        </is>
      </c>
      <c r="F120" s="2" t="n"/>
      <c r="G120" s="2" t="n"/>
      <c r="H120" s="2" t="n"/>
    </row>
    <row r="121" ht="58" customHeight="1">
      <c r="A121" s="2" t="n"/>
      <c r="B121" s="66" t="inlineStr">
        <is>
          <t>Lecture : 4,1 Md€ d'hybrides en capitaux propres chez Veolia, à moitié en dette chez Moody's. Une seule date tombe dans l'horizon (septembre 2026, 500 M€ à 1,625 %) ; la remplacer coûte une quinzaine de millions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t>
        </is>
      </c>
      <c r="C121" s="2" t="n"/>
      <c r="D121" s="2" t="n"/>
      <c r="E121" s="2" t="n"/>
      <c r="F121" s="2" t="n"/>
      <c r="G121" s="2" t="n"/>
      <c r="H121" s="2" t="n"/>
    </row>
    <row r="122">
      <c r="A122" s="2" t="n"/>
      <c r="B122" s="2" t="n"/>
      <c r="C122" s="2" t="n"/>
      <c r="D122" s="2" t="n"/>
      <c r="E122" s="2" t="n"/>
      <c r="F122" s="2" t="n"/>
      <c r="G122" s="2" t="n"/>
      <c r="H122" s="2" t="n"/>
    </row>
    <row r="123">
      <c r="A123" s="20" t="inlineStr">
        <is>
          <t>C</t>
        </is>
      </c>
      <c r="B123" s="20" t="inlineStr">
        <is>
          <t>Le plafond selon la définition retenue (scénario actif, fin 2027)</t>
        </is>
      </c>
      <c r="C123" s="2" t="n"/>
      <c r="D123" s="2" t="n"/>
      <c r="E123" s="2" t="n"/>
      <c r="F123" s="2" t="n"/>
      <c r="G123" s="2" t="n"/>
      <c r="H123" s="2" t="n"/>
    </row>
    <row r="124">
      <c r="A124" s="19" t="inlineStr"/>
      <c r="B124" s="19" t="inlineStr">
        <is>
          <t>Définition</t>
        </is>
      </c>
      <c r="C124" s="19" t="inlineStr">
        <is>
          <t>Levier 2027</t>
        </is>
      </c>
      <c r="D124" s="19" t="inlineStr">
        <is>
          <t>Marge (M EUR)</t>
        </is>
      </c>
      <c r="E124" s="19" t="inlineStr">
        <is>
          <t>Ce qu'on ajoute à la DFN</t>
        </is>
      </c>
      <c r="F124" s="2" t="n"/>
      <c r="G124" s="2" t="n"/>
      <c r="H124" s="2" t="n"/>
    </row>
    <row r="125">
      <c r="A125" s="2" t="n"/>
      <c r="B125" s="5" t="inlineStr">
        <is>
          <t>Veolia (hybrides en capitaux propres)</t>
        </is>
      </c>
      <c r="C125" s="72">
        <f>('Trajectoire'!$D$45+0)/'Trajectoire'!$D$42</f>
        <v/>
      </c>
      <c r="D125" s="61">
        <f>'Hypothèses'!$J$26*'Trajectoire'!$D$42-('Trajectoire'!$D$45+0)</f>
        <v/>
      </c>
      <c r="E125" s="22" t="inlineStr">
        <is>
          <t>rien</t>
        </is>
      </c>
      <c r="F125" s="2" t="n"/>
      <c r="G125" s="2" t="n"/>
      <c r="H125" s="2" t="n"/>
    </row>
    <row r="126">
      <c r="A126" s="2" t="n"/>
      <c r="B126" s="5" t="inlineStr">
        <is>
          <t>Hybrides comptés à 50 % en dette</t>
        </is>
      </c>
      <c r="C126" s="72">
        <f>('Trajectoire'!$D$45+'Hypothèses'!$J$27*'Entrées'!$C$15*1000)/'Trajectoire'!$D$42</f>
        <v/>
      </c>
      <c r="D126" s="61">
        <f>'Hypothèses'!$J$26*'Trajectoire'!$D$42-('Trajectoire'!$D$45+'Hypothèses'!$J$27*'Entrées'!$C$15*1000)</f>
        <v/>
      </c>
      <c r="E126" s="22" t="inlineStr">
        <is>
          <t>50 % des 4,1 Md€ d'hybrides</t>
        </is>
      </c>
      <c r="F126" s="2" t="n"/>
      <c r="G126" s="2" t="n"/>
      <c r="H126" s="2" t="n"/>
    </row>
    <row r="127">
      <c r="A127" s="2" t="n"/>
      <c r="B127" s="5" t="inlineStr">
        <is>
          <t>Hybrides comptés à 100 % en dette</t>
        </is>
      </c>
      <c r="C127" s="72">
        <f>('Trajectoire'!$D$45+'Entrées'!$C$15*1000)/'Trajectoire'!$D$42</f>
        <v/>
      </c>
      <c r="D127" s="61">
        <f>'Hypothèses'!$J$26*'Trajectoire'!$D$42-('Trajectoire'!$D$45+'Entrées'!$C$15*1000)</f>
        <v/>
      </c>
      <c r="E127" s="22" t="inlineStr">
        <is>
          <t>les 4,1 Md€</t>
        </is>
      </c>
      <c r="F127" s="2" t="n"/>
      <c r="G127" s="2" t="n"/>
      <c r="H127" s="2" t="n"/>
    </row>
    <row r="128">
      <c r="A128" s="2" t="n"/>
      <c r="B128" s="5" t="inlineStr">
        <is>
          <t>Hybrides à 50 % + provisions de fermeture</t>
        </is>
      </c>
      <c r="C128" s="72">
        <f>('Trajectoire'!$D$45+'Hypothèses'!$J$27*'Entrées'!$C$15*1000+'Entrées'!$C$49)/'Trajectoire'!$D$42</f>
        <v/>
      </c>
      <c r="D128" s="61">
        <f>'Hypothèses'!$J$26*'Trajectoire'!$D$42-('Trajectoire'!$D$45+'Hypothèses'!$J$27*'Entrées'!$C$15*1000+'Entrées'!$C$49)</f>
        <v/>
      </c>
      <c r="E128" s="22" t="inlineStr">
        <is>
          <t>lecture « dette élargie » : 50 % des hybrides et 1 290 M€ de provisions</t>
        </is>
      </c>
      <c r="F128" s="2" t="n"/>
      <c r="G128" s="2" t="n"/>
      <c r="H128" s="2" t="n"/>
    </row>
    <row r="129" ht="28" customHeight="1">
      <c r="A129" s="2" t="n"/>
      <c r="B129" s="66" t="inlineStr">
        <is>
          <t>Le plafond de 3x n'a de sens que dans la définition de Veolia. Les lignes suivantes montrent la sensibilité du ratio à la définition : ce ne sont pas des seuils d'agence.</t>
        </is>
      </c>
      <c r="C129" s="2" t="n"/>
      <c r="D129" s="2" t="n"/>
      <c r="E129" s="2" t="n"/>
      <c r="F129" s="2" t="n"/>
      <c r="G129" s="2" t="n"/>
      <c r="H129" s="2" t="n"/>
    </row>
  </sheetData>
  <mergeCells count="6">
    <mergeCell ref="B94:E94"/>
    <mergeCell ref="B121:G121"/>
    <mergeCell ref="B129:E129"/>
    <mergeCell ref="B77:E77"/>
    <mergeCell ref="B104:H104"/>
    <mergeCell ref="B76:E76"/>
  </mergeCells>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E45"/>
  <sheetViews>
    <sheetView showGridLines="0" workbookViewId="0">
      <selection activeCell="A1" sqref="A1"/>
    </sheetView>
  </sheetViews>
  <sheetFormatPr baseColWidth="8" defaultRowHeight="15"/>
  <cols>
    <col width="4" customWidth="1" min="1" max="1"/>
    <col width="56" customWidth="1" min="2" max="2"/>
    <col width="14" customWidth="1" min="3" max="3"/>
    <col width="4" customWidth="1" min="4" max="4"/>
    <col width="58" customWidth="1" min="5" max="5"/>
  </cols>
  <sheetData>
    <row r="1">
      <c r="A1" s="1" t="inlineStr">
        <is>
          <t>Rôles 2 et 3 — D'où vient la dette : ponts publiés et saisonnalité</t>
        </is>
      </c>
      <c r="B1" s="2" t="n"/>
      <c r="C1" s="2" t="n"/>
      <c r="D1" s="2" t="n"/>
      <c r="E1" s="2" t="n"/>
    </row>
    <row r="2">
      <c r="A2" s="3" t="inlineStr">
        <is>
          <t>Signes du tableau de Veolia : un flux négatif augmente la dette.</t>
        </is>
      </c>
      <c r="B2" s="2" t="n"/>
      <c r="C2" s="2" t="n"/>
      <c r="D2" s="2" t="n"/>
      <c r="E2" s="2" t="n"/>
    </row>
    <row r="3">
      <c r="A3" s="2" t="n"/>
      <c r="B3" s="2" t="n"/>
      <c r="C3" s="2" t="n"/>
      <c r="D3" s="2" t="n"/>
      <c r="E3" s="2" t="n"/>
    </row>
    <row r="4">
      <c r="A4" s="20" t="inlineStr">
        <is>
          <t>A</t>
        </is>
      </c>
      <c r="B4" s="20" t="inlineStr">
        <is>
          <t>Pont du S1 2026 (amendement DEU, p.26)</t>
        </is>
      </c>
      <c r="C4" s="2" t="n"/>
      <c r="D4" s="2" t="n"/>
      <c r="E4" s="2" t="n"/>
    </row>
    <row r="5">
      <c r="A5" s="19" t="inlineStr"/>
      <c r="B5" s="19" t="inlineStr">
        <is>
          <t>Flux</t>
        </is>
      </c>
      <c r="C5" s="19" t="inlineStr">
        <is>
          <t>M EUR</t>
        </is>
      </c>
      <c r="D5" s="19" t="inlineStr"/>
      <c r="E5" s="19" t="inlineStr">
        <is>
          <t>Réf.</t>
        </is>
      </c>
    </row>
    <row r="6">
      <c r="A6" s="2" t="n"/>
      <c r="B6" s="5" t="inlineStr">
        <is>
          <t>Dette financière nette au 31/12/2025</t>
        </is>
      </c>
      <c r="C6" s="58">
        <f>'Entrées'!$C$13</f>
        <v/>
      </c>
      <c r="D6" s="22" t="inlineStr"/>
      <c r="E6" s="22" t="inlineStr">
        <is>
          <t>F8</t>
        </is>
      </c>
    </row>
    <row r="7">
      <c r="A7" s="2" t="n"/>
      <c r="B7" s="5" t="inlineStr">
        <is>
          <t xml:space="preserve">   Cash-flow libre net</t>
        </is>
      </c>
      <c r="C7" s="58">
        <f>'Entrées'!$C$33</f>
        <v/>
      </c>
      <c r="D7" s="22" t="inlineStr"/>
      <c r="E7" s="22" t="inlineStr">
        <is>
          <t>F28</t>
        </is>
      </c>
    </row>
    <row r="8">
      <c r="A8" s="2" t="n"/>
      <c r="B8" s="5" t="inlineStr">
        <is>
          <t xml:space="preserve">   Dividendes versés (minoritaires compris)</t>
        </is>
      </c>
      <c r="C8" s="58">
        <f>'Entrées'!$C$77</f>
        <v/>
      </c>
      <c r="D8" s="22" t="inlineStr"/>
      <c r="E8" s="22" t="inlineStr">
        <is>
          <t>F72</t>
        </is>
      </c>
    </row>
    <row r="9">
      <c r="A9" s="2" t="n"/>
      <c r="B9" s="5" t="inlineStr">
        <is>
          <t xml:space="preserve">   Investissements financiers nets des cessions</t>
        </is>
      </c>
      <c r="C9" s="58">
        <f>'Entrées'!$C$80</f>
        <v/>
      </c>
      <c r="D9" s="22" t="inlineStr"/>
      <c r="E9" s="22" t="inlineStr">
        <is>
          <t>F75</t>
        </is>
      </c>
    </row>
    <row r="10">
      <c r="A10" s="2" t="n"/>
      <c r="B10" s="5" t="inlineStr">
        <is>
          <t xml:space="preserve">   Variation des créances et autres actifs financiers</t>
        </is>
      </c>
      <c r="C10" s="58">
        <f>'Entrées'!$C$84</f>
        <v/>
      </c>
      <c r="D10" s="22" t="inlineStr"/>
      <c r="E10" s="22" t="inlineStr">
        <is>
          <t>F79</t>
        </is>
      </c>
    </row>
    <row r="11">
      <c r="A11" s="2" t="n"/>
      <c r="B11" s="5" t="inlineStr">
        <is>
          <t xml:space="preserve">   Émission d'actions</t>
        </is>
      </c>
      <c r="C11" s="58">
        <f>'Entrées'!$C$85</f>
        <v/>
      </c>
      <c r="D11" s="22" t="inlineStr"/>
      <c r="E11" s="22" t="inlineStr">
        <is>
          <t>F80</t>
        </is>
      </c>
    </row>
    <row r="12">
      <c r="A12" s="2" t="n"/>
      <c r="B12" s="5" t="inlineStr">
        <is>
          <t xml:space="preserve">   Effet de change et de juste valeur</t>
        </is>
      </c>
      <c r="C12" s="58">
        <f>'Entrées'!$C$83</f>
        <v/>
      </c>
      <c r="D12" s="22" t="inlineStr"/>
      <c r="E12" s="22" t="inlineStr">
        <is>
          <t>F78</t>
        </is>
      </c>
    </row>
    <row r="13">
      <c r="A13" s="2" t="n"/>
      <c r="B13" s="5" t="inlineStr">
        <is>
          <t xml:space="preserve">   Autres mouvements</t>
        </is>
      </c>
      <c r="C13" s="58">
        <f>'Entrées'!$C$86</f>
        <v/>
      </c>
      <c r="D13" s="22" t="inlineStr"/>
      <c r="E13" s="22" t="inlineStr">
        <is>
          <t>F81</t>
        </is>
      </c>
    </row>
    <row r="14">
      <c r="A14" s="2" t="n"/>
      <c r="B14" s="20" t="inlineStr">
        <is>
          <t>Somme des flux</t>
        </is>
      </c>
      <c r="C14" s="42">
        <f>SUM(C7:C13)</f>
        <v/>
      </c>
      <c r="D14" s="22" t="inlineStr"/>
      <c r="E14" s="22" t="inlineStr"/>
    </row>
    <row r="15">
      <c r="A15" s="2" t="n"/>
      <c r="B15" s="5" t="inlineStr">
        <is>
          <t>Retraitement des passifs financiers (PPA Suez)</t>
        </is>
      </c>
      <c r="C15" s="58">
        <f>'Entrées'!$C$87</f>
        <v/>
      </c>
      <c r="D15" s="22" t="inlineStr"/>
      <c r="E15" s="22" t="inlineStr">
        <is>
          <t>F82</t>
        </is>
      </c>
    </row>
    <row r="16">
      <c r="A16" s="2" t="n"/>
      <c r="B16" s="20" t="inlineStr">
        <is>
          <t>Dette au 30/06/2026 recalculée</t>
        </is>
      </c>
      <c r="C16" s="42">
        <f>C6-C14-C15</f>
        <v/>
      </c>
      <c r="D16" s="22" t="inlineStr"/>
      <c r="E16" s="22" t="inlineStr">
        <is>
          <t>ouverture − flux − retraitement</t>
        </is>
      </c>
    </row>
    <row r="17">
      <c r="A17" s="2" t="n"/>
      <c r="B17" s="5" t="inlineStr">
        <is>
          <t>Dette au 30/06/2026 publiée</t>
        </is>
      </c>
      <c r="C17" s="58">
        <f>'Entrées'!$C$16</f>
        <v/>
      </c>
      <c r="D17" s="22" t="inlineStr"/>
      <c r="E17" s="22" t="inlineStr">
        <is>
          <t>F11</t>
        </is>
      </c>
    </row>
    <row r="18">
      <c r="A18" s="2" t="n"/>
      <c r="B18" s="5" t="inlineStr">
        <is>
          <t xml:space="preserve">   dont Clean Earth dans les investissements financiers</t>
        </is>
      </c>
      <c r="C18" s="58">
        <f>'Entrées'!$C$81</f>
        <v/>
      </c>
      <c r="D18" s="22" t="inlineStr"/>
      <c r="E18" s="22" t="inlineStr">
        <is>
          <t>F76</t>
        </is>
      </c>
    </row>
    <row r="19">
      <c r="A19" s="2" t="n"/>
      <c r="B19" s="5" t="inlineStr">
        <is>
          <t xml:space="preserve">   dont Enviropacific</t>
        </is>
      </c>
      <c r="C19" s="58">
        <f>'Entrées'!$C$82</f>
        <v/>
      </c>
      <c r="D19" s="22" t="inlineStr"/>
      <c r="E19" s="22" t="inlineStr">
        <is>
          <t>F77</t>
        </is>
      </c>
    </row>
    <row r="20">
      <c r="A20" s="2" t="n"/>
      <c r="B20" s="20" t="inlineStr">
        <is>
          <t xml:space="preserve">   Clean Earth : effet sur la dette moins prix payé</t>
        </is>
      </c>
      <c r="C20" s="42">
        <f>-C18-'Entrées'!$C$46</f>
        <v/>
      </c>
      <c r="D20" s="22" t="inlineStr"/>
      <c r="E20" s="22" t="inlineStr">
        <is>
          <t>F76 − F41 : écart non expliqué dans les documents</t>
        </is>
      </c>
    </row>
    <row r="21">
      <c r="A21" s="2" t="n"/>
      <c r="B21" s="2" t="n"/>
      <c r="C21" s="2" t="n"/>
      <c r="D21" s="2" t="n"/>
      <c r="E21" s="2" t="n"/>
    </row>
    <row r="22">
      <c r="A22" s="20" t="inlineStr">
        <is>
          <t>B</t>
        </is>
      </c>
      <c r="B22" s="20" t="inlineStr">
        <is>
          <t>Pont 2025 (communiqué annuel, p.14-15)</t>
        </is>
      </c>
      <c r="C22" s="2" t="n"/>
      <c r="D22" s="2" t="n"/>
      <c r="E22" s="2" t="n"/>
    </row>
    <row r="23">
      <c r="A23" s="19" t="inlineStr"/>
      <c r="B23" s="19" t="inlineStr">
        <is>
          <t>Flux</t>
        </is>
      </c>
      <c r="C23" s="19" t="inlineStr">
        <is>
          <t>M EUR</t>
        </is>
      </c>
      <c r="D23" s="19" t="inlineStr"/>
      <c r="E23" s="19" t="inlineStr">
        <is>
          <t>Réf.</t>
        </is>
      </c>
    </row>
    <row r="24">
      <c r="A24" s="2" t="n"/>
      <c r="B24" s="5" t="inlineStr">
        <is>
          <t>Dette financière nette au 31/12/2024</t>
        </is>
      </c>
      <c r="C24" s="58">
        <f>'Entrées'!$C$28</f>
        <v/>
      </c>
      <c r="D24" s="22" t="inlineStr"/>
      <c r="E24" s="22" t="inlineStr">
        <is>
          <t>F23</t>
        </is>
      </c>
    </row>
    <row r="25">
      <c r="A25" s="2" t="n"/>
      <c r="B25" s="5" t="inlineStr">
        <is>
          <t xml:space="preserve">   Cash-flow libre net</t>
        </is>
      </c>
      <c r="C25" s="58">
        <f>'Entrées'!$C$34</f>
        <v/>
      </c>
      <c r="D25" s="22" t="inlineStr"/>
      <c r="E25" s="22" t="inlineStr">
        <is>
          <t>F29</t>
        </is>
      </c>
    </row>
    <row r="26">
      <c r="A26" s="2" t="n"/>
      <c r="B26" s="5" t="inlineStr">
        <is>
          <t xml:space="preserve">   Investissements financiers nets des cessions</t>
        </is>
      </c>
      <c r="C26" s="58">
        <f>'Entrées'!$C$69</f>
        <v/>
      </c>
      <c r="D26" s="22" t="inlineStr"/>
      <c r="E26" s="22" t="inlineStr">
        <is>
          <t>F64</t>
        </is>
      </c>
    </row>
    <row r="27">
      <c r="A27" s="2" t="n"/>
      <c r="B27" s="5" t="inlineStr">
        <is>
          <t xml:space="preserve">   Dividendes versés aux actionnaires</t>
        </is>
      </c>
      <c r="C27" s="58">
        <f>'Entrées'!$C$70</f>
        <v/>
      </c>
      <c r="D27" s="22" t="inlineStr"/>
      <c r="E27" s="22" t="inlineStr">
        <is>
          <t>F65</t>
        </is>
      </c>
    </row>
    <row r="28">
      <c r="A28" s="2" t="n"/>
      <c r="B28" s="5" t="inlineStr">
        <is>
          <t xml:space="preserve">   Hybride verte (nette)</t>
        </is>
      </c>
      <c r="C28" s="58">
        <f>'Entrées'!$C$71</f>
        <v/>
      </c>
      <c r="D28" s="22" t="inlineStr"/>
      <c r="E28" s="22" t="inlineStr">
        <is>
          <t>F66</t>
        </is>
      </c>
    </row>
    <row r="29">
      <c r="A29" s="2" t="n"/>
      <c r="B29" s="5" t="inlineStr">
        <is>
          <t xml:space="preserve">   Augmentation de capital Sequoia</t>
        </is>
      </c>
      <c r="C29" s="58">
        <f>'Entrées'!$C$72</f>
        <v/>
      </c>
      <c r="D29" s="22" t="inlineStr"/>
      <c r="E29" s="22" t="inlineStr">
        <is>
          <t>F67</t>
        </is>
      </c>
    </row>
    <row r="30">
      <c r="A30" s="2" t="n"/>
      <c r="B30" s="5" t="inlineStr">
        <is>
          <t xml:space="preserve">   Annulation d'actions rachetées</t>
        </is>
      </c>
      <c r="C30" s="58">
        <f>'Entrées'!$C$73</f>
        <v/>
      </c>
      <c r="D30" s="22" t="inlineStr"/>
      <c r="E30" s="22" t="inlineStr">
        <is>
          <t>F68</t>
        </is>
      </c>
    </row>
    <row r="31">
      <c r="A31" s="2" t="n"/>
      <c r="B31" s="5" t="inlineStr">
        <is>
          <t xml:space="preserve">   Change et juste valeur</t>
        </is>
      </c>
      <c r="C31" s="58">
        <f>'Entrées'!$C$74</f>
        <v/>
      </c>
      <c r="D31" s="22" t="inlineStr"/>
      <c r="E31" s="22" t="inlineStr">
        <is>
          <t>F69</t>
        </is>
      </c>
    </row>
    <row r="32">
      <c r="A32" s="2" t="n"/>
      <c r="B32" s="20" t="inlineStr">
        <is>
          <t>Somme des flux détaillés</t>
        </is>
      </c>
      <c r="C32" s="42">
        <f>SUM(C25:C31)</f>
        <v/>
      </c>
      <c r="D32" s="22" t="inlineStr"/>
      <c r="E32" s="22" t="inlineStr"/>
    </row>
    <row r="33">
      <c r="A33" s="2" t="n"/>
      <c r="B33" s="5" t="inlineStr">
        <is>
          <t>Dette au 31/12/2025 par les seuls flux détaillés</t>
        </is>
      </c>
      <c r="C33" s="61">
        <f>C24-C32</f>
        <v/>
      </c>
      <c r="D33" s="22" t="inlineStr"/>
      <c r="E33" s="22" t="inlineStr"/>
    </row>
    <row r="34">
      <c r="A34" s="2" t="n"/>
      <c r="B34" s="5" t="inlineStr">
        <is>
          <t>Dette au 31/12/2025 publiée</t>
        </is>
      </c>
      <c r="C34" s="58">
        <f>'Entrées'!$C$13</f>
        <v/>
      </c>
      <c r="D34" s="22" t="inlineStr"/>
      <c r="E34" s="22" t="inlineStr">
        <is>
          <t>F8</t>
        </is>
      </c>
    </row>
    <row r="35">
      <c r="A35" s="2" t="n"/>
      <c r="B35" s="20" t="inlineStr">
        <is>
          <t>Flux non détaillés dans le communiqué</t>
        </is>
      </c>
      <c r="C35" s="42">
        <f>C34-C33</f>
        <v/>
      </c>
      <c r="D35" s="22" t="inlineStr"/>
      <c r="E35" s="22" t="inlineStr">
        <is>
          <t>à expliquer au rôle 3</t>
        </is>
      </c>
    </row>
    <row r="36">
      <c r="A36" s="2" t="n"/>
      <c r="B36" s="5" t="inlineStr">
        <is>
          <t xml:space="preserve">   dont au moins : dividendes aux minoritaires du S1 2025</t>
        </is>
      </c>
      <c r="C36" s="61">
        <f>-'Entrées'!$C$78+'Entrées'!$C$70</f>
        <v/>
      </c>
      <c r="D36" s="22" t="inlineStr"/>
      <c r="E36" s="22" t="inlineStr">
        <is>
          <t>−F73 + F65</t>
        </is>
      </c>
    </row>
    <row r="37">
      <c r="A37" s="2" t="n"/>
      <c r="B37" s="2" t="n"/>
      <c r="C37" s="2" t="n"/>
      <c r="D37" s="2" t="n"/>
      <c r="E37" s="2" t="n"/>
    </row>
    <row r="38">
      <c r="A38" s="20" t="inlineStr">
        <is>
          <t>C</t>
        </is>
      </c>
      <c r="B38" s="20" t="inlineStr">
        <is>
          <t>Saisonnalité : pourquoi juin n'est pas décembre</t>
        </is>
      </c>
      <c r="C38" s="2" t="n"/>
      <c r="D38" s="2" t="n"/>
      <c r="E38" s="2" t="n"/>
    </row>
    <row r="39">
      <c r="A39" s="2" t="n"/>
      <c r="B39" s="5" t="inlineStr">
        <is>
          <t>Cash-flow libre net S1 2025</t>
        </is>
      </c>
      <c r="C39" s="58">
        <f>'Entrées'!$C$75</f>
        <v/>
      </c>
      <c r="D39" s="22" t="inlineStr"/>
      <c r="E39" s="22" t="inlineStr">
        <is>
          <t>F70</t>
        </is>
      </c>
    </row>
    <row r="40">
      <c r="A40" s="2" t="n"/>
      <c r="B40" s="20" t="inlineStr">
        <is>
          <t>Cash-flow libre net S2 2025 (année − S1)</t>
        </is>
      </c>
      <c r="C40" s="42">
        <f>'Entrées'!$C$34-'Entrées'!$C$75</f>
        <v/>
      </c>
      <c r="D40" s="22" t="inlineStr"/>
      <c r="E40" s="22" t="inlineStr">
        <is>
          <t>F29 − F70</t>
        </is>
      </c>
    </row>
    <row r="41">
      <c r="A41" s="2" t="n"/>
      <c r="B41" s="5" t="inlineStr">
        <is>
          <t>Variation du BFR S1 2025</t>
        </is>
      </c>
      <c r="C41" s="58">
        <f>'Entrées'!$C$89</f>
        <v/>
      </c>
      <c r="D41" s="22" t="inlineStr"/>
      <c r="E41" s="22" t="inlineStr">
        <is>
          <t>F84</t>
        </is>
      </c>
    </row>
    <row r="42">
      <c r="A42" s="2" t="n"/>
      <c r="B42" s="5" t="inlineStr">
        <is>
          <t>Variation du BFR S1 2026</t>
        </is>
      </c>
      <c r="C42" s="58">
        <f>'Entrées'!$C$88</f>
        <v/>
      </c>
      <c r="D42" s="22" t="inlineStr"/>
      <c r="E42" s="22" t="inlineStr">
        <is>
          <t>F83</t>
        </is>
      </c>
    </row>
    <row r="43">
      <c r="A43" s="2" t="n"/>
      <c r="B43" s="5" t="inlineStr">
        <is>
          <t>Dette au 30/06/2025</t>
        </is>
      </c>
      <c r="C43" s="58">
        <f>'Entrées'!$C$76</f>
        <v/>
      </c>
      <c r="D43" s="22" t="inlineStr"/>
      <c r="E43" s="22" t="inlineStr">
        <is>
          <t>F71</t>
        </is>
      </c>
    </row>
    <row r="44">
      <c r="A44" s="2" t="n"/>
      <c r="B44" s="5" t="inlineStr">
        <is>
          <t>Dette au 31/12/2025</t>
        </is>
      </c>
      <c r="C44" s="58">
        <f>'Entrées'!$C$13</f>
        <v/>
      </c>
      <c r="D44" s="22" t="inlineStr"/>
      <c r="E44" s="22" t="inlineStr">
        <is>
          <t>F8</t>
        </is>
      </c>
    </row>
    <row r="45">
      <c r="A45" s="2" t="n"/>
      <c r="B45" s="20" t="inlineStr">
        <is>
          <t>Baisse de la dette au S2 2025</t>
        </is>
      </c>
      <c r="C45" s="42">
        <f>C43-C44</f>
        <v/>
      </c>
      <c r="D45" s="22" t="inlineStr"/>
      <c r="E45" s="22" t="inlineStr"/>
    </row>
  </sheetData>
  <pageMargins left="0.75" right="0.75" top="1" bottom="1"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L4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14" customWidth="1" min="3" max="3"/>
    <col width="14" customWidth="1" min="4" max="4"/>
    <col width="14" customWidth="1" min="5" max="5"/>
    <col width="14" customWidth="1" min="6" max="6"/>
    <col width="14" customWidth="1" min="7" max="7"/>
    <col width="11" customWidth="1" min="8" max="8"/>
    <col width="13" customWidth="1" min="9" max="9"/>
    <col width="14" customWidth="1" min="10" max="10"/>
    <col width="10" customWidth="1" min="11" max="11"/>
    <col width="40" customWidth="1" min="12" max="12"/>
  </cols>
  <sheetData>
    <row r="1">
      <c r="A1" s="1" t="inlineStr">
        <is>
          <t>Rôle 2 — Échéancier de la dette : le mur de refinancement face aux liquidités et au cash-flow</t>
        </is>
      </c>
      <c r="B1" s="2" t="n"/>
      <c r="C1" s="2" t="n"/>
      <c r="D1" s="2" t="n"/>
      <c r="E1" s="2" t="n"/>
      <c r="F1" s="2" t="n"/>
      <c r="G1" s="2" t="n"/>
      <c r="H1" s="2" t="n"/>
      <c r="I1" s="2" t="n"/>
      <c r="J1" s="2" t="n"/>
      <c r="K1" s="2" t="n"/>
      <c r="L1" s="2" t="n"/>
    </row>
    <row r="2">
      <c r="A2" s="3" t="inlineStr">
        <is>
          <t>DEU 2025, note 8.1.1 (p.405-409) et note 8.3.2 (p.421-422). Les flux contractuels non actualisés comprennent le principal et les intérêts, tels que Veolia les publie.</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20" t="inlineStr">
        <is>
          <t>A</t>
        </is>
      </c>
      <c r="B4" s="20" t="inlineStr">
        <is>
          <t>Flux contractuels par année au 31/12/2025 (note 8.3.2.1, p.421)</t>
        </is>
      </c>
      <c r="C4" s="2" t="n"/>
      <c r="D4" s="2" t="n"/>
      <c r="E4" s="2" t="n"/>
      <c r="F4" s="2" t="n"/>
      <c r="G4" s="2" t="n"/>
      <c r="H4" s="2" t="n"/>
      <c r="I4" s="2" t="n"/>
      <c r="J4" s="2" t="n"/>
      <c r="K4" s="2" t="n"/>
      <c r="L4" s="2" t="n"/>
    </row>
    <row r="5">
      <c r="A5" s="19" t="inlineStr"/>
      <c r="B5" s="19" t="inlineStr">
        <is>
          <t>Instrument</t>
        </is>
      </c>
      <c r="C5" s="19" t="inlineStr">
        <is>
          <t>2026</t>
        </is>
      </c>
      <c r="D5" s="19" t="inlineStr">
        <is>
          <t>2027</t>
        </is>
      </c>
      <c r="E5" s="19" t="inlineStr">
        <is>
          <t>2028</t>
        </is>
      </c>
      <c r="F5" s="19" t="inlineStr">
        <is>
          <t>2029</t>
        </is>
      </c>
      <c r="G5" s="19" t="inlineStr">
        <is>
          <t>2030</t>
        </is>
      </c>
      <c r="H5" s="19" t="inlineStr">
        <is>
          <t>&gt; 5 ans</t>
        </is>
      </c>
      <c r="I5" s="19" t="inlineStr">
        <is>
          <t>Total publié</t>
        </is>
      </c>
      <c r="J5" s="19" t="inlineStr">
        <is>
          <t>Somme des années</t>
        </is>
      </c>
      <c r="K5" s="19" t="inlineStr">
        <is>
          <t>Écart</t>
        </is>
      </c>
      <c r="L5" s="19" t="inlineStr">
        <is>
          <t>Réf.</t>
        </is>
      </c>
    </row>
    <row r="6">
      <c r="A6" s="2" t="n"/>
      <c r="B6" s="5" t="inlineStr">
        <is>
          <t>Emprunts obligataires</t>
        </is>
      </c>
      <c r="C6" s="58">
        <f>'Entrées'!$C$411</f>
        <v/>
      </c>
      <c r="D6" s="58">
        <f>'Entrées'!$C$354</f>
        <v/>
      </c>
      <c r="E6" s="58">
        <f>'Entrées'!$C$355</f>
        <v/>
      </c>
      <c r="F6" s="58">
        <f>'Entrées'!$C$356</f>
        <v/>
      </c>
      <c r="G6" s="58">
        <f>'Entrées'!$C$357</f>
        <v/>
      </c>
      <c r="H6" s="58">
        <f>'Entrées'!$C$358</f>
        <v/>
      </c>
      <c r="I6" s="58">
        <f>'Entrées'!$C$410</f>
        <v/>
      </c>
      <c r="J6" s="61">
        <f>SUM(C6:H6)</f>
        <v/>
      </c>
      <c r="K6" s="73">
        <f>J6-I6</f>
        <v/>
      </c>
      <c r="L6" s="22" t="inlineStr">
        <is>
          <t>F405</t>
        </is>
      </c>
    </row>
    <row r="7">
      <c r="A7" s="2" t="n"/>
      <c r="B7" s="5" t="inlineStr">
        <is>
          <t>Autres passifs et découverts bancaires</t>
        </is>
      </c>
      <c r="C7" s="58">
        <f>'Entrées'!$C$360</f>
        <v/>
      </c>
      <c r="D7" s="58">
        <f>'Entrées'!$C$361</f>
        <v/>
      </c>
      <c r="E7" s="58">
        <f>'Entrées'!$C$362</f>
        <v/>
      </c>
      <c r="F7" s="58">
        <f>'Entrées'!$C$363</f>
        <v/>
      </c>
      <c r="G7" s="58">
        <f>'Entrées'!$C$364</f>
        <v/>
      </c>
      <c r="H7" s="58">
        <f>'Entrées'!$C$365</f>
        <v/>
      </c>
      <c r="I7" s="58">
        <f>'Entrées'!$C$359</f>
        <v/>
      </c>
      <c r="J7" s="61">
        <f>SUM(C7:H7)</f>
        <v/>
      </c>
      <c r="K7" s="73">
        <f>J7-I7</f>
        <v/>
      </c>
      <c r="L7" s="22" t="inlineStr">
        <is>
          <t>F354</t>
        </is>
      </c>
    </row>
    <row r="8">
      <c r="A8" s="2" t="n"/>
      <c r="B8" s="5" t="inlineStr">
        <is>
          <t>Dette de loyers IFRS 16</t>
        </is>
      </c>
      <c r="C8" s="58">
        <f>'Entrées'!$C$367</f>
        <v/>
      </c>
      <c r="D8" s="58">
        <f>'Entrées'!$C$368</f>
        <v/>
      </c>
      <c r="E8" s="58">
        <f>'Entrées'!$C$369</f>
        <v/>
      </c>
      <c r="F8" s="58">
        <f>'Entrées'!$C$370</f>
        <v/>
      </c>
      <c r="G8" s="58">
        <f>'Entrées'!$C$371</f>
        <v/>
      </c>
      <c r="H8" s="58">
        <f>'Entrées'!$C$372</f>
        <v/>
      </c>
      <c r="I8" s="58">
        <f>'Entrées'!$C$366</f>
        <v/>
      </c>
      <c r="J8" s="61">
        <f>SUM(C8:H8)</f>
        <v/>
      </c>
      <c r="K8" s="73">
        <f>J8-I8</f>
        <v/>
      </c>
      <c r="L8" s="22" t="inlineStr">
        <is>
          <t>F361</t>
        </is>
      </c>
    </row>
    <row r="9">
      <c r="A9" s="2" t="n"/>
      <c r="B9" s="20" t="inlineStr">
        <is>
          <t>Somme des trois instruments</t>
        </is>
      </c>
      <c r="C9" s="42">
        <f>SUM(C6:C8)</f>
        <v/>
      </c>
      <c r="D9" s="42">
        <f>SUM(D6:D8)</f>
        <v/>
      </c>
      <c r="E9" s="42">
        <f>SUM(E6:E8)</f>
        <v/>
      </c>
      <c r="F9" s="42">
        <f>SUM(F6:F8)</f>
        <v/>
      </c>
      <c r="G9" s="42">
        <f>SUM(G6:G8)</f>
        <v/>
      </c>
      <c r="H9" s="42">
        <f>SUM(H6:H8)</f>
        <v/>
      </c>
      <c r="I9" s="42">
        <f>SUM(I6:I8)</f>
        <v/>
      </c>
      <c r="J9" s="2" t="n"/>
      <c r="K9" s="2" t="n"/>
      <c r="L9" s="2" t="n"/>
    </row>
    <row r="10">
      <c r="A10" s="2" t="n"/>
      <c r="B10" s="20" t="inlineStr">
        <is>
          <t>Passifs financiers bruts publiés</t>
        </is>
      </c>
      <c r="C10" s="58">
        <f>'Entrées'!$C$413</f>
        <v/>
      </c>
      <c r="D10" s="58">
        <f>'Entrées'!$C$373</f>
        <v/>
      </c>
      <c r="E10" s="58">
        <f>'Entrées'!$C$374</f>
        <v/>
      </c>
      <c r="F10" s="58">
        <f>'Entrées'!$C$375</f>
        <v/>
      </c>
      <c r="G10" s="58">
        <f>'Entrées'!$C$376</f>
        <v/>
      </c>
      <c r="H10" s="58">
        <f>'Entrées'!$C$377</f>
        <v/>
      </c>
      <c r="I10" s="58">
        <f>'Entrées'!$C$412</f>
        <v/>
      </c>
      <c r="J10" s="61">
        <f>SUM(C10:H10)</f>
        <v/>
      </c>
      <c r="K10" s="73">
        <f>J10-I10</f>
        <v/>
      </c>
      <c r="L10" s="22" t="inlineStr">
        <is>
          <t>F407</t>
        </is>
      </c>
    </row>
    <row r="11">
      <c r="A11" s="2" t="n"/>
      <c r="B11" s="22" t="inlineStr">
        <is>
          <t>Écart somme recalculée − publié</t>
        </is>
      </c>
      <c r="C11" s="73">
        <f>C9-C10</f>
        <v/>
      </c>
      <c r="D11" s="73">
        <f>D9-D10</f>
        <v/>
      </c>
      <c r="E11" s="73">
        <f>E9-E10</f>
        <v/>
      </c>
      <c r="F11" s="73">
        <f>F9-F10</f>
        <v/>
      </c>
      <c r="G11" s="73">
        <f>G9-G10</f>
        <v/>
      </c>
      <c r="H11" s="73">
        <f>H9-H10</f>
        <v/>
      </c>
      <c r="I11" s="73">
        <f>I9-I10</f>
        <v/>
      </c>
      <c r="J11" s="2" t="n"/>
      <c r="K11" s="2" t="n"/>
      <c r="L11" s="2" t="n"/>
    </row>
    <row r="12">
      <c r="A12" s="2" t="n"/>
      <c r="B12" s="22" t="inlineStr">
        <is>
          <t>Part de l'année dans le total</t>
        </is>
      </c>
      <c r="C12" s="74">
        <f>C10/$I$10</f>
        <v/>
      </c>
      <c r="D12" s="74">
        <f>D10/$I$10</f>
        <v/>
      </c>
      <c r="E12" s="74">
        <f>E10/$I$10</f>
        <v/>
      </c>
      <c r="F12" s="74">
        <f>F10/$I$10</f>
        <v/>
      </c>
      <c r="G12" s="74">
        <f>G10/$I$10</f>
        <v/>
      </c>
      <c r="H12" s="74">
        <f>H10/$I$10</f>
        <v/>
      </c>
      <c r="I12" s="2" t="n"/>
      <c r="J12" s="2" t="n"/>
      <c r="K12" s="2" t="n"/>
      <c r="L12" s="2" t="n"/>
    </row>
    <row r="13">
      <c r="A13" s="2" t="n"/>
      <c r="B13" s="5" t="inlineStr">
        <is>
          <t xml:space="preserve">   dont, en 2026 : billets de trésorerie, renouvelés en continu (p.408)</t>
        </is>
      </c>
      <c r="C13" s="58">
        <f>'Entrées'!$C$301</f>
        <v/>
      </c>
      <c r="D13" s="2" t="n"/>
      <c r="E13" s="2" t="n"/>
      <c r="F13" s="2" t="n"/>
      <c r="G13" s="2" t="n"/>
      <c r="H13" s="2" t="n"/>
      <c r="I13" s="2" t="n"/>
      <c r="J13" s="2" t="n"/>
      <c r="K13" s="2" t="n"/>
      <c r="L13" s="22" t="inlineStr">
        <is>
          <t>F296</t>
        </is>
      </c>
    </row>
    <row r="14">
      <c r="A14" s="2" t="n"/>
      <c r="B14" s="5" t="inlineStr">
        <is>
          <t xml:space="preserve">   dont, en 2026 : hybride dont le remboursement est notifié, payé le 09/02/2026 (p.408)</t>
        </is>
      </c>
      <c r="C14" s="58">
        <f>'Entrées'!$C$302</f>
        <v/>
      </c>
      <c r="D14" s="2" t="n"/>
      <c r="E14" s="2" t="n"/>
      <c r="F14" s="2" t="n"/>
      <c r="G14" s="2" t="n"/>
      <c r="H14" s="2" t="n"/>
      <c r="I14" s="2" t="n"/>
      <c r="J14" s="2" t="n"/>
      <c r="K14" s="2" t="n"/>
      <c r="L14" s="22" t="inlineStr">
        <is>
          <t>F297</t>
        </is>
      </c>
    </row>
    <row r="15">
      <c r="A15" s="2" t="n"/>
      <c r="B15" s="20" t="inlineStr">
        <is>
          <t>Flux 2026 hors billets de trésorerie et hybride notifié</t>
        </is>
      </c>
      <c r="C15" s="42">
        <f>C10-C13-C14</f>
        <v/>
      </c>
      <c r="D15" s="2" t="n"/>
      <c r="E15" s="2" t="n"/>
      <c r="F15" s="2" t="n"/>
      <c r="G15" s="2" t="n"/>
      <c r="H15" s="2" t="n"/>
      <c r="I15" s="2" t="n"/>
      <c r="J15" s="2" t="n"/>
      <c r="K15" s="2" t="n"/>
      <c r="L15" s="2" t="n"/>
    </row>
    <row r="16">
      <c r="A16" s="2" t="n"/>
      <c r="B16" s="5" t="inlineStr">
        <is>
          <t>Pour mémoire : obligations à moins d'un an en valeur comptable (p.406) — les flux 2026 les dépassent car ils comprennent les intérêts</t>
        </is>
      </c>
      <c r="C16" s="58">
        <f>'Entrées'!$C$272</f>
        <v/>
      </c>
      <c r="D16" s="2" t="n"/>
      <c r="E16" s="2" t="n"/>
      <c r="F16" s="2" t="n"/>
      <c r="G16" s="2" t="n"/>
      <c r="H16" s="2" t="n"/>
      <c r="I16" s="2" t="n"/>
      <c r="J16" s="2" t="n"/>
      <c r="K16" s="2" t="n"/>
      <c r="L16" s="22" t="inlineStr">
        <is>
          <t>F267-af42</t>
        </is>
      </c>
    </row>
    <row r="17">
      <c r="A17" s="2" t="n"/>
      <c r="B17" s="2" t="n"/>
      <c r="C17" s="2" t="n"/>
      <c r="D17" s="2" t="n"/>
      <c r="E17" s="2" t="n"/>
      <c r="F17" s="2" t="n"/>
      <c r="G17" s="2" t="n"/>
      <c r="H17" s="2" t="n"/>
      <c r="I17" s="2" t="n"/>
      <c r="J17" s="2" t="n"/>
      <c r="K17" s="2" t="n"/>
      <c r="L17" s="2" t="n"/>
    </row>
    <row r="18">
      <c r="A18" s="20" t="inlineStr">
        <is>
          <t>B</t>
        </is>
      </c>
      <c r="B18" s="20" t="inlineStr">
        <is>
          <t>Principal des souches euro par année (p.406-407) et coût de leur refinancement</t>
        </is>
      </c>
      <c r="C18" s="2" t="n"/>
      <c r="D18" s="2" t="n"/>
      <c r="E18" s="2" t="n"/>
      <c r="F18" s="2" t="n"/>
      <c r="G18" s="2" t="n"/>
      <c r="H18" s="2" t="n"/>
      <c r="I18" s="2" t="n"/>
      <c r="J18" s="2" t="n"/>
      <c r="K18" s="2" t="n"/>
      <c r="L18" s="2" t="n"/>
    </row>
    <row r="19">
      <c r="A19" s="19" t="inlineStr"/>
      <c r="B19" s="19" t="inlineStr">
        <is>
          <t>Année</t>
        </is>
      </c>
      <c r="C19" s="19" t="inlineStr">
        <is>
          <t>Nominal à échéance</t>
        </is>
      </c>
      <c r="D19" s="19" t="inlineStr">
        <is>
          <t>Taux facial moyen pondéré</t>
        </is>
      </c>
      <c r="E19" s="19" t="inlineStr">
        <is>
          <t>Taux de l'émission de juin 2025 (7 ans)</t>
        </is>
      </c>
      <c r="F19" s="19" t="inlineStr">
        <is>
          <t>Surcoût d'intérêts annuel si refinancé à ce taux</t>
        </is>
      </c>
      <c r="G19" s="19" t="inlineStr">
        <is>
          <t>Souches (registre)</t>
        </is>
      </c>
      <c r="H19" s="2" t="n"/>
      <c r="I19" s="2" t="n"/>
      <c r="J19" s="2" t="n"/>
      <c r="K19" s="2" t="n"/>
      <c r="L19" s="2" t="n"/>
    </row>
    <row r="20">
      <c r="A20" s="2" t="n"/>
      <c r="B20" s="23" t="inlineStr">
        <is>
          <t>2026</t>
        </is>
      </c>
      <c r="C20" s="65">
        <f>'Entrées'!$C$276+'Entrées'!$C$277</f>
        <v/>
      </c>
      <c r="D20" s="50" t="inlineStr">
        <is>
          <t>—</t>
        </is>
      </c>
      <c r="E20" s="50" t="inlineStr">
        <is>
          <t>—</t>
        </is>
      </c>
      <c r="F20" s="50" t="inlineStr">
        <is>
          <t>—</t>
        </is>
      </c>
      <c r="G20" s="22" t="inlineStr">
        <is>
          <t>F271-543e, F272-40a3</t>
        </is>
      </c>
      <c r="H20" s="2" t="n"/>
      <c r="I20" s="2" t="n"/>
      <c r="J20" s="2" t="n"/>
      <c r="K20" s="2" t="n"/>
      <c r="L20" s="2" t="n"/>
    </row>
    <row r="21">
      <c r="A21" s="2" t="n"/>
      <c r="B21" s="23" t="inlineStr">
        <is>
          <t>2027</t>
        </is>
      </c>
      <c r="C21" s="65">
        <f>'Entrées'!$C$284+'Entrées'!$C$286+'Entrées'!$C$288+'Entrées'!$C$290</f>
        <v/>
      </c>
      <c r="D21" s="71">
        <f>('Entrées'!$C$284*'Entrées'!$C$285+'Entrées'!$C$286*'Entrées'!$C$287+'Entrées'!$C$288*'Entrées'!$C$289+'Entrées'!$C$290*'Entrées'!$C$291)/C21/100</f>
        <v/>
      </c>
      <c r="E21" s="70">
        <f>'Entrées'!$C$281/100</f>
        <v/>
      </c>
      <c r="F21" s="42">
        <f>C21*(E21-D21)</f>
        <v/>
      </c>
      <c r="G21" s="22" t="inlineStr">
        <is>
          <t>F279, F281, F283, F285</t>
        </is>
      </c>
      <c r="H21" s="2" t="n"/>
      <c r="I21" s="2" t="n"/>
      <c r="J21" s="2" t="n"/>
      <c r="K21" s="2" t="n"/>
      <c r="L21" s="2" t="n"/>
    </row>
    <row r="22">
      <c r="A22" s="2" t="n"/>
      <c r="B22" s="23" t="inlineStr">
        <is>
          <t>2028</t>
        </is>
      </c>
      <c r="C22" s="65">
        <f>'Entrées'!$C$292+'Entrées'!$C$382+'Entrées'!$C$384</f>
        <v/>
      </c>
      <c r="D22" s="71">
        <f>('Entrées'!$C$292*'Entrées'!$C$293+'Entrées'!$C$382*'Entrées'!$C$383+'Entrées'!$C$384*'Entrées'!$C$385)/C22/100</f>
        <v/>
      </c>
      <c r="E22" s="70">
        <f>'Entrées'!$C$281/100</f>
        <v/>
      </c>
      <c r="F22" s="42">
        <f>C22*(E22-D22)</f>
        <v/>
      </c>
      <c r="G22" s="22" t="inlineStr">
        <is>
          <t>F287, F377, F379</t>
        </is>
      </c>
      <c r="H22" s="2" t="n"/>
      <c r="I22" s="2" t="n"/>
      <c r="J22" s="2" t="n"/>
      <c r="K22" s="2" t="n"/>
      <c r="L22" s="2" t="n"/>
    </row>
    <row r="23">
      <c r="A23" s="2" t="n"/>
      <c r="B23" s="23" t="inlineStr">
        <is>
          <t>2029</t>
        </is>
      </c>
      <c r="C23" s="65">
        <f>'Entrées'!$C$386+'Entrées'!$C$387+'Entrées'!$C$388</f>
        <v/>
      </c>
      <c r="D23" s="50" t="inlineStr">
        <is>
          <t>—</t>
        </is>
      </c>
      <c r="E23" s="50" t="inlineStr">
        <is>
          <t>—</t>
        </is>
      </c>
      <c r="F23" s="50" t="inlineStr">
        <is>
          <t>—</t>
        </is>
      </c>
      <c r="G23" s="22" t="inlineStr">
        <is>
          <t>F381, F382, F383</t>
        </is>
      </c>
      <c r="H23" s="2" t="n"/>
      <c r="I23" s="2" t="n"/>
      <c r="J23" s="2" t="n"/>
      <c r="K23" s="2" t="n"/>
      <c r="L23" s="2" t="n"/>
    </row>
    <row r="24">
      <c r="A24" s="2" t="n"/>
      <c r="B24" s="23" t="inlineStr">
        <is>
          <t>2030</t>
        </is>
      </c>
      <c r="C24" s="65">
        <f>'Entrées'!$C$389+'Entrées'!$C$390+'Entrées'!$C$391+'Entrées'!$C$294</f>
        <v/>
      </c>
      <c r="D24" s="50" t="inlineStr">
        <is>
          <t>—</t>
        </is>
      </c>
      <c r="E24" s="50" t="inlineStr">
        <is>
          <t>—</t>
        </is>
      </c>
      <c r="F24" s="50" t="inlineStr">
        <is>
          <t>—</t>
        </is>
      </c>
      <c r="G24" s="22" t="inlineStr">
        <is>
          <t>F384, F385, F386, F289</t>
        </is>
      </c>
      <c r="H24" s="2" t="n"/>
      <c r="I24" s="2" t="n"/>
      <c r="J24" s="2" t="n"/>
      <c r="K24" s="2" t="n"/>
      <c r="L24" s="2" t="n"/>
    </row>
    <row r="25">
      <c r="A25" s="2" t="n"/>
      <c r="B25" s="5" t="inlineStr">
        <is>
          <t>Souches 2027-2030 listées ci-dessus, en part du nominal EMTN total (p.407)</t>
        </is>
      </c>
      <c r="C25" s="63">
        <f>SUM(C21:C24)/'Entrées'!$C$295</f>
        <v/>
      </c>
      <c r="D25" s="2" t="n"/>
      <c r="E25" s="2" t="n"/>
      <c r="F25" s="2" t="n"/>
      <c r="G25" s="22" t="inlineStr">
        <is>
          <t>F290</t>
        </is>
      </c>
      <c r="H25" s="2" t="n"/>
      <c r="I25" s="2" t="n"/>
      <c r="J25" s="2" t="n"/>
      <c r="K25" s="2" t="n"/>
      <c r="L25" s="2" t="n"/>
    </row>
    <row r="26">
      <c r="A26" s="2" t="n"/>
      <c r="B26" s="20" t="inlineStr">
        <is>
          <t>Surcoût d'intérêts annuel, en régime, si les souches 2027 et 2028 sont refinancées au taux de juin 2025</t>
        </is>
      </c>
      <c r="C26" s="42">
        <f>F21+F22</f>
        <v/>
      </c>
      <c r="D26" s="2" t="n"/>
      <c r="E26" s="2" t="n"/>
      <c r="F26" s="2" t="n"/>
      <c r="G26" s="2" t="n"/>
      <c r="H26" s="2" t="n"/>
      <c r="I26" s="2" t="n"/>
      <c r="J26" s="2" t="n"/>
      <c r="K26" s="2" t="n"/>
      <c r="L26" s="2" t="n"/>
    </row>
    <row r="27">
      <c r="A27" s="2" t="n"/>
      <c r="B27" s="22" t="inlineStr">
        <is>
          <t xml:space="preserve">   en % du FFO 2025 publié par Moody's</t>
        </is>
      </c>
      <c r="C27" s="74">
        <f>C26/'Entrées'!$C$249</f>
        <v/>
      </c>
      <c r="D27" s="2" t="n"/>
      <c r="E27" s="2" t="n"/>
      <c r="F27" s="2" t="n"/>
      <c r="G27" s="22" t="inlineStr">
        <is>
          <t>F261</t>
        </is>
      </c>
      <c r="H27" s="2" t="n"/>
      <c r="I27" s="2" t="n"/>
      <c r="J27" s="2" t="n"/>
      <c r="K27" s="2" t="n"/>
      <c r="L27" s="2" t="n"/>
    </row>
    <row r="28" ht="44" customHeight="1">
      <c r="A28" s="2" t="n"/>
      <c r="B28" s="66" t="inlineStr">
        <is>
          <t>Lecture : la dette qui tombe en 2027-2028 porte les coupons des années de taux bas (0 % à 1,6 %, une souche à 4,6 %). Refinancée au taux de juin 2025, elle coûte quelques dizaines de millions d'intérêts de plus par an : l'effet passe par le FFO que regardent les agences, pas par la dette nette. Le mur lui-même est petit face aux liquidités (§C).</t>
        </is>
      </c>
      <c r="C28" s="2" t="n"/>
      <c r="D28" s="2" t="n"/>
      <c r="E28" s="2" t="n"/>
      <c r="F28" s="2" t="n"/>
      <c r="G28" s="2" t="n"/>
      <c r="H28" s="2" t="n"/>
      <c r="I28" s="2" t="n"/>
      <c r="J28" s="2" t="n"/>
      <c r="K28" s="2" t="n"/>
      <c r="L28" s="2" t="n"/>
    </row>
    <row r="29">
      <c r="A29" s="2" t="n"/>
      <c r="B29" s="2" t="n"/>
      <c r="C29" s="2" t="n"/>
      <c r="D29" s="2" t="n"/>
      <c r="E29" s="2" t="n"/>
      <c r="F29" s="2" t="n"/>
      <c r="G29" s="2" t="n"/>
      <c r="H29" s="2" t="n"/>
      <c r="I29" s="2" t="n"/>
      <c r="J29" s="2" t="n"/>
      <c r="K29" s="2" t="n"/>
      <c r="L29" s="2" t="n"/>
    </row>
    <row r="30">
      <c r="A30" s="20" t="inlineStr">
        <is>
          <t>C</t>
        </is>
      </c>
      <c r="B30" s="20" t="inlineStr">
        <is>
          <t>Les liquidités face au mur (note 8.3.2.2, p.421-422)</t>
        </is>
      </c>
      <c r="C30" s="2" t="n"/>
      <c r="D30" s="2" t="n"/>
      <c r="E30" s="2" t="n"/>
      <c r="F30" s="2" t="n"/>
      <c r="G30" s="2" t="n"/>
      <c r="H30" s="2" t="n"/>
      <c r="I30" s="2" t="n"/>
      <c r="J30" s="2" t="n"/>
      <c r="K30" s="2" t="n"/>
      <c r="L30" s="2" t="n"/>
    </row>
    <row r="31">
      <c r="A31" s="19" t="inlineStr"/>
      <c r="B31" s="19" t="inlineStr">
        <is>
          <t>Libellé</t>
        </is>
      </c>
      <c r="C31" s="19" t="inlineStr">
        <is>
          <t>Valeur</t>
        </is>
      </c>
      <c r="D31" s="19" t="inlineStr">
        <is>
          <t>Unité</t>
        </is>
      </c>
      <c r="E31" s="19" t="inlineStr">
        <is>
          <t>Réf. / calcul</t>
        </is>
      </c>
      <c r="F31" s="2" t="n"/>
      <c r="G31" s="2" t="n"/>
      <c r="H31" s="2" t="n"/>
      <c r="I31" s="2" t="n"/>
      <c r="J31" s="2" t="n"/>
      <c r="K31" s="2" t="n"/>
      <c r="L31" s="2" t="n"/>
    </row>
    <row r="32">
      <c r="A32" s="2" t="n"/>
      <c r="B32" s="5" t="inlineStr">
        <is>
          <t>Ligne syndiquée non tirée, prolongée jusqu'en 2030</t>
        </is>
      </c>
      <c r="C32" s="58">
        <f>'Entrées'!$C$378</f>
        <v/>
      </c>
      <c r="D32" s="22" t="inlineStr">
        <is>
          <t>M EUR</t>
        </is>
      </c>
      <c r="E32" s="22" t="inlineStr">
        <is>
          <t>F373</t>
        </is>
      </c>
      <c r="F32" s="2" t="n"/>
      <c r="G32" s="2" t="n"/>
      <c r="H32" s="2" t="n"/>
      <c r="I32" s="2" t="n"/>
      <c r="J32" s="2" t="n"/>
      <c r="K32" s="2" t="n"/>
      <c r="L32" s="2" t="n"/>
    </row>
    <row r="33">
      <c r="A33" s="2" t="n"/>
      <c r="B33" s="5" t="inlineStr">
        <is>
          <t>Lignes bilatérales MT non tirées (Veolia Environnement)</t>
        </is>
      </c>
      <c r="C33" s="58">
        <f>'Entrées'!$C$379</f>
        <v/>
      </c>
      <c r="D33" s="22" t="inlineStr">
        <is>
          <t>M EUR</t>
        </is>
      </c>
      <c r="E33" s="22" t="inlineStr">
        <is>
          <t>F374</t>
        </is>
      </c>
      <c r="F33" s="2" t="n"/>
      <c r="G33" s="2" t="n"/>
      <c r="H33" s="2" t="n"/>
      <c r="I33" s="2" t="n"/>
      <c r="J33" s="2" t="n"/>
      <c r="K33" s="2" t="n"/>
      <c r="L33" s="2" t="n"/>
    </row>
    <row r="34">
      <c r="A34" s="2" t="n"/>
      <c r="B34" s="5" t="inlineStr">
        <is>
          <t>Trésorerie, actifs liquides et de financement (Veolia Environnement)</t>
        </is>
      </c>
      <c r="C34" s="58">
        <f>'Entrées'!$C$380</f>
        <v/>
      </c>
      <c r="D34" s="22" t="inlineStr">
        <is>
          <t>M EUR</t>
        </is>
      </c>
      <c r="E34" s="22" t="inlineStr">
        <is>
          <t>F375</t>
        </is>
      </c>
      <c r="F34" s="2" t="n"/>
      <c r="G34" s="2" t="n"/>
      <c r="H34" s="2" t="n"/>
      <c r="I34" s="2" t="n"/>
      <c r="J34" s="2" t="n"/>
      <c r="K34" s="2" t="n"/>
      <c r="L34" s="2" t="n"/>
    </row>
    <row r="35">
      <c r="A35" s="2" t="n"/>
      <c r="B35" s="5" t="inlineStr">
        <is>
          <t>Lignes bilatérales des filiales</t>
        </is>
      </c>
      <c r="C35" s="58">
        <f>'Entrées'!$C$381</f>
        <v/>
      </c>
      <c r="D35" s="22" t="inlineStr">
        <is>
          <t>M EUR</t>
        </is>
      </c>
      <c r="E35" s="22" t="inlineStr">
        <is>
          <t>F376</t>
        </is>
      </c>
      <c r="F35" s="2" t="n"/>
      <c r="G35" s="2" t="n"/>
      <c r="H35" s="2" t="n"/>
      <c r="I35" s="2" t="n"/>
      <c r="J35" s="2" t="n"/>
      <c r="K35" s="2" t="n"/>
      <c r="L35" s="2" t="n"/>
    </row>
    <row r="36">
      <c r="A36" s="2" t="n"/>
      <c r="B36" s="5" t="inlineStr">
        <is>
          <t>Trésorerie, actifs liquides et de financement (filiales)</t>
        </is>
      </c>
      <c r="C36" s="58">
        <f>'Entrées'!$C$414</f>
        <v/>
      </c>
      <c r="D36" s="22" t="inlineStr">
        <is>
          <t>M EUR</t>
        </is>
      </c>
      <c r="E36" s="22" t="inlineStr">
        <is>
          <t>F409</t>
        </is>
      </c>
      <c r="F36" s="2" t="n"/>
      <c r="G36" s="2" t="n"/>
      <c r="H36" s="2" t="n"/>
      <c r="I36" s="2" t="n"/>
      <c r="J36" s="2" t="n"/>
      <c r="K36" s="2" t="n"/>
      <c r="L36" s="2" t="n"/>
    </row>
    <row r="37">
      <c r="A37" s="2" t="n"/>
      <c r="B37" s="20" t="inlineStr">
        <is>
          <t>Liquidités totales recalculées</t>
        </is>
      </c>
      <c r="C37" s="42">
        <f>SUM(C32:C36)</f>
        <v/>
      </c>
      <c r="D37" s="22" t="inlineStr">
        <is>
          <t>M EUR</t>
        </is>
      </c>
      <c r="E37" s="22" t="inlineStr">
        <is>
          <t>somme</t>
        </is>
      </c>
      <c r="F37" s="2" t="n"/>
      <c r="G37" s="2" t="n"/>
      <c r="H37" s="2" t="n"/>
      <c r="I37" s="2" t="n"/>
      <c r="J37" s="2" t="n"/>
      <c r="K37" s="2" t="n"/>
      <c r="L37" s="2" t="n"/>
    </row>
    <row r="38">
      <c r="A38" s="2" t="n"/>
      <c r="B38" s="5" t="inlineStr">
        <is>
          <t>Liquidités totales publiées</t>
        </is>
      </c>
      <c r="C38" s="58">
        <f>'Entrées'!$C$422</f>
        <v/>
      </c>
      <c r="D38" s="22" t="inlineStr">
        <is>
          <t>M EUR</t>
        </is>
      </c>
      <c r="E38" s="22" t="inlineStr">
        <is>
          <t>F417</t>
        </is>
      </c>
      <c r="F38" s="2" t="n"/>
      <c r="G38" s="2" t="n"/>
      <c r="H38" s="2" t="n"/>
      <c r="I38" s="2" t="n"/>
      <c r="J38" s="2" t="n"/>
      <c r="K38" s="2" t="n"/>
      <c r="L38" s="2" t="n"/>
    </row>
    <row r="39">
      <c r="A39" s="2" t="n"/>
      <c r="B39" s="5" t="inlineStr">
        <is>
          <t xml:space="preserve">   dont lignes confirmées non tirées</t>
        </is>
      </c>
      <c r="C39" s="61">
        <f>C32+C33+C35</f>
        <v/>
      </c>
      <c r="D39" s="22" t="inlineStr">
        <is>
          <t>M EUR</t>
        </is>
      </c>
      <c r="E39" s="22" t="inlineStr">
        <is>
          <t>syndiquée + bilatérales</t>
        </is>
      </c>
      <c r="F39" s="2" t="n"/>
      <c r="G39" s="2" t="n"/>
      <c r="H39" s="2" t="n"/>
      <c r="I39" s="2" t="n"/>
      <c r="J39" s="2" t="n"/>
      <c r="K39" s="2" t="n"/>
      <c r="L39" s="2" t="n"/>
    </row>
    <row r="40">
      <c r="A40" s="2" t="n"/>
      <c r="B40" s="5" t="inlineStr">
        <is>
          <t xml:space="preserve">   dont trésorerie et actifs liquides</t>
        </is>
      </c>
      <c r="C40" s="61">
        <f>C34+C36</f>
        <v/>
      </c>
      <c r="D40" s="22" t="inlineStr">
        <is>
          <t>M EUR</t>
        </is>
      </c>
      <c r="E40" s="22" t="inlineStr"/>
      <c r="F40" s="2" t="n"/>
      <c r="G40" s="2" t="n"/>
      <c r="H40" s="2" t="n"/>
      <c r="I40" s="2" t="n"/>
      <c r="J40" s="2" t="n"/>
      <c r="K40" s="2" t="n"/>
      <c r="L40" s="2" t="n"/>
    </row>
    <row r="41">
      <c r="A41" s="2" t="n"/>
      <c r="B41" s="20" t="inlineStr">
        <is>
          <t>Liquidités / flux contractuels 2026</t>
        </is>
      </c>
      <c r="C41" s="59">
        <f>C38/C10</f>
        <v/>
      </c>
      <c r="D41" s="22" t="inlineStr">
        <is>
          <t>x</t>
        </is>
      </c>
      <c r="E41" s="22" t="inlineStr">
        <is>
          <t>le mur de 2026 est couvert … fois</t>
        </is>
      </c>
      <c r="F41" s="2" t="n"/>
      <c r="G41" s="2" t="n"/>
      <c r="H41" s="2" t="n"/>
      <c r="I41" s="2" t="n"/>
      <c r="J41" s="2" t="n"/>
      <c r="K41" s="2" t="n"/>
      <c r="L41" s="2" t="n"/>
    </row>
    <row r="42">
      <c r="A42" s="2" t="n"/>
      <c r="B42" s="20" t="inlineStr">
        <is>
          <t>Liquidités / flux 2026 hors billets de trésorerie et hybride notifié</t>
        </is>
      </c>
      <c r="C42" s="59">
        <f>C38/C15</f>
        <v/>
      </c>
      <c r="D42" s="22" t="inlineStr">
        <is>
          <t>x</t>
        </is>
      </c>
      <c r="E42" s="22" t="inlineStr"/>
      <c r="F42" s="2" t="n"/>
      <c r="G42" s="2" t="n"/>
      <c r="H42" s="2" t="n"/>
      <c r="I42" s="2" t="n"/>
      <c r="J42" s="2" t="n"/>
      <c r="K42" s="2" t="n"/>
      <c r="L42" s="2" t="n"/>
    </row>
    <row r="43">
      <c r="A43" s="2" t="n"/>
      <c r="B43" s="5" t="inlineStr">
        <is>
          <t>Liquidités / flux contractuels 2026 + 2027</t>
        </is>
      </c>
      <c r="C43" s="72">
        <f>C38/(C10+D10)</f>
        <v/>
      </c>
      <c r="D43" s="22" t="inlineStr">
        <is>
          <t>x</t>
        </is>
      </c>
      <c r="E43" s="22" t="inlineStr"/>
      <c r="F43" s="2" t="n"/>
      <c r="G43" s="2" t="n"/>
      <c r="H43" s="2" t="n"/>
      <c r="I43" s="2" t="n"/>
      <c r="J43" s="2" t="n"/>
      <c r="K43" s="2" t="n"/>
      <c r="L43" s="2" t="n"/>
    </row>
    <row r="44">
      <c r="A44" s="2" t="n"/>
      <c r="B44" s="5" t="inlineStr">
        <is>
          <t>(Liquidités + cash-flow libre net 2027 du modèle) / flux 2026 + 2027</t>
        </is>
      </c>
      <c r="C44" s="72">
        <f>(C38+'Trajectoire'!$D$43)/(C10+D10)</f>
        <v/>
      </c>
      <c r="D44" s="22" t="inlineStr">
        <is>
          <t>x</t>
        </is>
      </c>
      <c r="E44" s="22" t="inlineStr">
        <is>
          <t>FCF 2027 : Trajectoire, scénario actif</t>
        </is>
      </c>
      <c r="F44" s="2" t="n"/>
      <c r="G44" s="2" t="n"/>
      <c r="H44" s="2" t="n"/>
      <c r="I44" s="2" t="n"/>
      <c r="J44" s="2" t="n"/>
      <c r="K44" s="2" t="n"/>
      <c r="L44" s="2" t="n"/>
    </row>
    <row r="45">
      <c r="A45" s="2" t="n"/>
      <c r="B45" s="5" t="inlineStr">
        <is>
          <t>Maturité moyenne de la dette nette</t>
        </is>
      </c>
      <c r="C45" s="62">
        <f>'Entrées'!$C$132</f>
        <v/>
      </c>
      <c r="D45" s="22" t="inlineStr">
        <is>
          <t>années</t>
        </is>
      </c>
      <c r="E45" s="22" t="inlineStr">
        <is>
          <t>F144</t>
        </is>
      </c>
      <c r="F45" s="2" t="n"/>
      <c r="G45" s="2" t="n"/>
      <c r="H45" s="2" t="n"/>
      <c r="I45" s="2" t="n"/>
      <c r="J45" s="2" t="n"/>
      <c r="K45" s="2" t="n"/>
      <c r="L45" s="2" t="n"/>
    </row>
    <row r="46" ht="30" customHeight="1">
      <c r="A46" s="2" t="n"/>
      <c r="B46" s="66" t="inlineStr">
        <is>
          <t>Covenants : la documentation des financements bancaires et obligataires de Veolia Environnement ne contient aucun covenant financier (p.422). Des covenants existent sur certains financements de filiales ; le groupe les déclare respectés au 31/12/2025.</t>
        </is>
      </c>
      <c r="C46" s="2" t="n"/>
      <c r="D46" s="2" t="n"/>
      <c r="E46" s="2" t="n"/>
      <c r="F46" s="2" t="n"/>
      <c r="G46" s="2" t="n"/>
      <c r="H46" s="2" t="n"/>
      <c r="I46" s="2" t="n"/>
      <c r="J46" s="2" t="n"/>
      <c r="K46" s="2" t="n"/>
      <c r="L46" s="2" t="n"/>
    </row>
  </sheetData>
  <mergeCells count="2">
    <mergeCell ref="B28:L28"/>
    <mergeCell ref="B46:L46"/>
  </mergeCells>
  <pageMargins left="0.75" right="0.75"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E118"/>
  <sheetViews>
    <sheetView showGridLines="0" workbookViewId="0">
      <selection activeCell="A1" sqref="A1"/>
    </sheetView>
  </sheetViews>
  <sheetFormatPr baseColWidth="8" defaultRowHeight="15"/>
  <cols>
    <col width="4" customWidth="1" min="1" max="1"/>
    <col width="60" customWidth="1" min="2" max="2"/>
    <col width="16" customWidth="1" min="3" max="3"/>
    <col width="14" customWidth="1" min="4" max="4"/>
    <col width="50" customWidth="1" min="5" max="5"/>
  </cols>
  <sheetData>
    <row r="1">
      <c r="A1" s="1" t="inlineStr">
        <is>
          <t>Rôles 1 et 3 — L'enveloppe : brute ou nette ? Le programme de cessions et son calendrier</t>
        </is>
      </c>
      <c r="B1" s="2" t="n"/>
      <c r="C1" s="2" t="n"/>
      <c r="D1" s="2" t="n"/>
      <c r="E1" s="2" t="n"/>
    </row>
    <row r="2">
      <c r="A2" s="3" t="inlineStr">
        <is>
          <t>GreenUp, allocation du capital 2024-2027 (p.63) ; amendement DEU S1 2026 (p.29) ; présentation S1 2026 (p.4, p.14).</t>
        </is>
      </c>
      <c r="B2" s="2" t="n"/>
      <c r="C2" s="2" t="n"/>
      <c r="D2" s="2" t="n"/>
      <c r="E2" s="2" t="n"/>
    </row>
    <row r="3">
      <c r="A3" s="2" t="n"/>
      <c r="B3" s="2" t="n"/>
      <c r="C3" s="2" t="n"/>
      <c r="D3" s="2" t="n"/>
      <c r="E3" s="2" t="n"/>
    </row>
    <row r="4">
      <c r="A4" s="20" t="inlineStr">
        <is>
          <t>A</t>
        </is>
      </c>
      <c r="B4" s="20" t="inlineStr">
        <is>
          <t>Veolia annonce des enveloppes nettes</t>
        </is>
      </c>
      <c r="C4" s="2" t="n"/>
      <c r="D4" s="2" t="n"/>
      <c r="E4" s="2" t="n"/>
    </row>
    <row r="5">
      <c r="A5" s="19" t="inlineStr"/>
      <c r="B5" s="19" t="inlineStr">
        <is>
          <t>Composante</t>
        </is>
      </c>
      <c r="C5" s="19" t="inlineStr">
        <is>
          <t>Md EUR / an</t>
        </is>
      </c>
      <c r="D5" s="19" t="inlineStr"/>
      <c r="E5" s="19" t="inlineStr">
        <is>
          <t>Réf.</t>
        </is>
      </c>
    </row>
    <row r="6">
      <c r="A6" s="2" t="n"/>
      <c r="B6" s="5" t="inlineStr">
        <is>
          <t>Maintenance</t>
        </is>
      </c>
      <c r="C6" s="75">
        <f>'Entrées'!$C$95</f>
        <v/>
      </c>
      <c r="D6" s="22" t="inlineStr"/>
      <c r="E6" s="22" t="inlineStr">
        <is>
          <t>F90</t>
        </is>
      </c>
    </row>
    <row r="7">
      <c r="A7" s="2" t="n"/>
      <c r="B7" s="5" t="inlineStr">
        <is>
          <t>+ Croissance sur contrats existants</t>
        </is>
      </c>
      <c r="C7" s="75">
        <f>'Entrées'!$C$96</f>
        <v/>
      </c>
      <c r="D7" s="22" t="inlineStr"/>
      <c r="E7" s="22" t="inlineStr">
        <is>
          <t>F91</t>
        </is>
      </c>
    </row>
    <row r="8">
      <c r="A8" s="2" t="n"/>
      <c r="B8" s="5" t="inlineStr">
        <is>
          <t>− Cessions industrielles (au plus)</t>
        </is>
      </c>
      <c r="C8" s="76">
        <f>-'Entrées'!$C$97</f>
        <v/>
      </c>
      <c r="D8" s="22" t="inlineStr"/>
      <c r="E8" s="22" t="inlineStr">
        <is>
          <t>F92</t>
        </is>
      </c>
    </row>
    <row r="9">
      <c r="A9" s="2" t="n"/>
      <c r="B9" s="20" t="inlineStr">
        <is>
          <t>Investissements nets recalculés (somme)</t>
        </is>
      </c>
      <c r="C9" s="48">
        <f>SUM(C6:C8)</f>
        <v/>
      </c>
      <c r="D9" s="22" t="inlineStr"/>
      <c r="E9" s="22" t="inlineStr"/>
    </row>
    <row r="10">
      <c r="A10" s="2" t="n"/>
      <c r="B10" s="5" t="inlineStr">
        <is>
          <t>Investissements nets annoncés</t>
        </is>
      </c>
      <c r="C10" s="75">
        <f>'Entrées'!$C$12</f>
        <v/>
      </c>
      <c r="D10" s="22" t="inlineStr"/>
      <c r="E10" s="22" t="inlineStr">
        <is>
          <t>F7</t>
        </is>
      </c>
    </row>
    <row r="11">
      <c r="A11" s="2" t="n"/>
      <c r="B11" s="2" t="n"/>
      <c r="C11" s="2" t="n"/>
      <c r="D11" s="2" t="n"/>
      <c r="E11" s="2" t="n"/>
    </row>
    <row r="12">
      <c r="A12" s="2" t="n"/>
      <c r="B12" s="5" t="inlineStr">
        <is>
          <t>Tuck-ins, bas de fourchette</t>
        </is>
      </c>
      <c r="C12" s="75">
        <f>'Entrées'!$C$10</f>
        <v/>
      </c>
      <c r="D12" s="22" t="inlineStr"/>
      <c r="E12" s="22" t="inlineStr">
        <is>
          <t>F5</t>
        </is>
      </c>
    </row>
    <row r="13">
      <c r="A13" s="2" t="n"/>
      <c r="B13" s="5" t="inlineStr">
        <is>
          <t>Tuck-ins, haut de fourchette</t>
        </is>
      </c>
      <c r="C13" s="75">
        <f>'Entrées'!$C$26</f>
        <v/>
      </c>
      <c r="D13" s="22" t="inlineStr"/>
      <c r="E13" s="22" t="inlineStr">
        <is>
          <t>F21</t>
        </is>
      </c>
    </row>
    <row r="14">
      <c r="A14" s="2" t="n"/>
      <c r="B14" s="5" t="inlineStr">
        <is>
          <t>Cessions d'actifs non stratégiques (~)</t>
        </is>
      </c>
      <c r="C14" s="75">
        <f>'Entrées'!$C$23</f>
        <v/>
      </c>
      <c r="D14" s="22" t="inlineStr"/>
      <c r="E14" s="22" t="inlineStr">
        <is>
          <t>F18</t>
        </is>
      </c>
    </row>
    <row r="15">
      <c r="A15" s="2" t="n"/>
      <c r="B15" s="5" t="inlineStr">
        <is>
          <t>Rotation nette implicite, bas (tuck-ins bas − cessions)</t>
        </is>
      </c>
      <c r="C15" s="76">
        <f>C12-C14</f>
        <v/>
      </c>
      <c r="D15" s="22" t="inlineStr"/>
      <c r="E15" s="22" t="inlineStr"/>
    </row>
    <row r="16">
      <c r="A16" s="2" t="n"/>
      <c r="B16" s="20" t="inlineStr">
        <is>
          <t>Rotation nette implicite, haut (tuck-ins haut − cessions)</t>
        </is>
      </c>
      <c r="C16" s="48">
        <f>C13-C14</f>
        <v/>
      </c>
      <c r="D16" s="22" t="inlineStr"/>
      <c r="E16" s="22" t="inlineStr"/>
    </row>
    <row r="17">
      <c r="A17" s="2" t="n"/>
      <c r="B17" s="5" t="inlineStr">
        <is>
          <t>Rotation nette annoncée (~)</t>
        </is>
      </c>
      <c r="C17" s="75">
        <f>'Entrées'!$C$7</f>
        <v/>
      </c>
      <c r="D17" s="22" t="inlineStr"/>
      <c r="E17" s="22" t="inlineStr">
        <is>
          <t>F2</t>
        </is>
      </c>
    </row>
    <row r="18" ht="42" customHeight="1">
      <c r="A18" s="2" t="n"/>
      <c r="B18" s="66" t="inlineStr">
        <is>
          <t>Lecture : les ~0,5 Md€/an annoncés sont la rotation NETTE des cessions ; ils correspondent au haut de la fourchette de tuck-ins (1,0 Md€ brut) moins ~0,5 Md€ de cessions. La même convention vaut pour les investissements industriels (3,1 Md€ nets).</t>
        </is>
      </c>
      <c r="C18" s="2" t="n"/>
      <c r="D18" s="2" t="n"/>
      <c r="E18" s="2" t="n"/>
    </row>
    <row r="19">
      <c r="A19" s="2" t="n"/>
      <c r="B19" s="2" t="n"/>
      <c r="C19" s="2" t="n"/>
      <c r="D19" s="2" t="n"/>
      <c r="E19" s="2" t="n"/>
    </row>
    <row r="20">
      <c r="A20" s="20" t="inlineStr">
        <is>
          <t>B</t>
        </is>
      </c>
      <c r="B20" s="20" t="inlineStr">
        <is>
          <t>Clean Earth face à l'enveloppe</t>
        </is>
      </c>
      <c r="C20" s="2" t="n"/>
      <c r="D20" s="2" t="n"/>
      <c r="E20" s="2" t="n"/>
    </row>
    <row r="21">
      <c r="A21" s="2" t="n"/>
      <c r="B21" s="5" t="inlineStr">
        <is>
          <t>Clean Earth : effet sur la dette</t>
        </is>
      </c>
      <c r="C21" s="76">
        <f>-'Entrées'!$C$81/1000</f>
        <v/>
      </c>
      <c r="D21" s="22" t="inlineStr">
        <is>
          <t>Md EUR</t>
        </is>
      </c>
      <c r="E21" s="22" t="inlineStr">
        <is>
          <t>F76</t>
        </is>
      </c>
    </row>
    <row r="22">
      <c r="A22" s="2" t="n"/>
      <c r="B22" s="5" t="inlineStr">
        <is>
          <t>Enveloppe nette sur 4 ans (2024-2027)</t>
        </is>
      </c>
      <c r="C22" s="76">
        <f>$C$17*4</f>
        <v/>
      </c>
      <c r="D22" s="22" t="inlineStr">
        <is>
          <t>Md EUR</t>
        </is>
      </c>
      <c r="E22" s="22" t="inlineStr">
        <is>
          <t>rotation nette annoncée × 4</t>
        </is>
      </c>
    </row>
    <row r="23">
      <c r="A23" s="2" t="n"/>
      <c r="B23" s="20" t="inlineStr">
        <is>
          <t>Clean Earth en années d'enveloppe nette</t>
        </is>
      </c>
      <c r="C23" s="77">
        <f>C21/$C$17</f>
        <v/>
      </c>
      <c r="D23" s="22" t="inlineStr">
        <is>
          <t>ans</t>
        </is>
      </c>
      <c r="E23" s="22" t="inlineStr"/>
    </row>
    <row r="24">
      <c r="A24" s="2" t="n"/>
      <c r="B24" s="5" t="inlineStr">
        <is>
          <t>Programme de cessions à réaliser d'ici mi-2028 (au moins)</t>
        </is>
      </c>
      <c r="C24" s="75">
        <f>'Entrées'!$C$30</f>
        <v/>
      </c>
      <c r="D24" s="22" t="inlineStr">
        <is>
          <t>Md EUR</t>
        </is>
      </c>
      <c r="E24" s="22" t="inlineStr">
        <is>
          <t>F25</t>
        </is>
      </c>
    </row>
    <row r="25">
      <c r="A25" s="2" t="n"/>
      <c r="B25" s="20" t="inlineStr">
        <is>
          <t>Clean Earth net du programme</t>
        </is>
      </c>
      <c r="C25" s="48">
        <f>C21-C24</f>
        <v/>
      </c>
      <c r="D25" s="22" t="inlineStr">
        <is>
          <t>Md EUR</t>
        </is>
      </c>
      <c r="E25" s="22" t="inlineStr"/>
    </row>
    <row r="26">
      <c r="A26" s="2" t="n"/>
      <c r="B26" s="5" t="inlineStr">
        <is>
          <t>… soit, en années d'enveloppe nette</t>
        </is>
      </c>
      <c r="C26" s="78">
        <f>C25/$C$17</f>
        <v/>
      </c>
      <c r="D26" s="22" t="inlineStr">
        <is>
          <t>ans</t>
        </is>
      </c>
      <c r="E26" s="22" t="inlineStr"/>
    </row>
    <row r="27">
      <c r="A27" s="2" t="n"/>
      <c r="B27" s="5" t="inlineStr">
        <is>
          <t>Pour mémoire : « plus de 8 Md€ de rotation d'actifs en 4 ans » (brut)</t>
        </is>
      </c>
      <c r="C27" s="75">
        <f>'Entrées'!$C$37</f>
        <v/>
      </c>
      <c r="D27" s="22" t="inlineStr">
        <is>
          <t>Md EUR</t>
        </is>
      </c>
      <c r="E27" s="22" t="inlineStr">
        <is>
          <t>F32</t>
        </is>
      </c>
    </row>
    <row r="28" ht="42" customHeight="1">
      <c r="A28" s="2" t="n"/>
      <c r="B28" s="66" t="inlineStr">
        <is>
          <t>Lecture : Clean Earth sort de l'enveloppe nette ; c'est le programme de cessions &gt; 2 Md€, lancé en 2026, qui le ramène à peu près dedans. Les 8 Md€ sont un chiffre brut (achats + ventes) : à ne pas comparer aux 0,5 Md€ nets.</t>
        </is>
      </c>
      <c r="C28" s="2" t="n"/>
      <c r="D28" s="2" t="n"/>
      <c r="E28" s="2" t="n"/>
    </row>
    <row r="29">
      <c r="A29" s="2" t="n"/>
      <c r="B29" s="2" t="n"/>
      <c r="C29" s="2" t="n"/>
      <c r="D29" s="2" t="n"/>
      <c r="E29" s="2" t="n"/>
    </row>
    <row r="30">
      <c r="A30" s="20" t="inlineStr">
        <is>
          <t>C</t>
        </is>
      </c>
      <c r="B30" s="20" t="inlineStr">
        <is>
          <t>Calendrier du programme (scénario central)</t>
        </is>
      </c>
      <c r="C30" s="2" t="n"/>
      <c r="D30" s="2" t="n"/>
      <c r="E30" s="2" t="n"/>
    </row>
    <row r="31">
      <c r="A31" s="19" t="inlineStr"/>
      <c r="B31" s="19" t="inlineStr">
        <is>
          <t>Période</t>
        </is>
      </c>
      <c r="C31" s="19" t="inlineStr">
        <is>
          <t>Encaissé (Md EUR)</t>
        </is>
      </c>
      <c r="D31" s="19" t="inlineStr">
        <is>
          <t>Cumul</t>
        </is>
      </c>
      <c r="E31" s="19" t="inlineStr">
        <is>
          <t>Réf. / hypothèse</t>
        </is>
      </c>
    </row>
    <row r="32">
      <c r="A32" s="2" t="n"/>
      <c r="B32" s="5" t="inlineStr">
        <is>
          <t>S1 2026 — réalisé (Mexique, Belgique)</t>
        </is>
      </c>
      <c r="C32" s="75">
        <f>'Entrées'!$C$35</f>
        <v/>
      </c>
      <c r="D32" s="76">
        <f>C32</f>
        <v/>
      </c>
      <c r="E32" s="22" t="inlineStr">
        <is>
          <t>F30</t>
        </is>
      </c>
    </row>
    <row r="33">
      <c r="A33" s="2" t="n"/>
      <c r="B33" s="5" t="inlineStr">
        <is>
          <t>S2 2026 — part des signatures 2026</t>
        </is>
      </c>
      <c r="C33" s="76">
        <f>'Entrées'!$C$36*'Hypothèses'!$J$12</f>
        <v/>
      </c>
      <c r="D33" s="76">
        <f>D32+C33</f>
        <v/>
      </c>
      <c r="E33" s="22" t="inlineStr">
        <is>
          <t>F31 × hypothèse s26</t>
        </is>
      </c>
    </row>
    <row r="34">
      <c r="A34" s="2" t="n"/>
      <c r="B34" s="5" t="inlineStr">
        <is>
          <t>2027 — solde des signatures 2026 + part du reste</t>
        </is>
      </c>
      <c r="C34" s="76">
        <f>'Entrées'!$C$36*(1-'Hypothèses'!$J$12)+MAX(0,'Entrées'!$C$30-'Entrées'!$C$35-'Entrées'!$C$36)*'Hypothèses'!$J$13</f>
        <v/>
      </c>
      <c r="D34" s="76">
        <f>D33+C34</f>
        <v/>
      </c>
      <c r="E34" s="22" t="inlineStr">
        <is>
          <t>hypothèses s26, s27</t>
        </is>
      </c>
    </row>
    <row r="35">
      <c r="A35" s="2" t="n"/>
      <c r="B35" s="5" t="inlineStr">
        <is>
          <t>S1 2028 — solde du programme</t>
        </is>
      </c>
      <c r="C35" s="76">
        <f>MAX(0,'Entrées'!$C$30-D34)</f>
        <v/>
      </c>
      <c r="D35" s="76">
        <f>D34+C35</f>
        <v/>
      </c>
      <c r="E35" s="22" t="inlineStr">
        <is>
          <t>pour atteindre le minimum annoncé</t>
        </is>
      </c>
    </row>
    <row r="36">
      <c r="A36" s="2" t="n"/>
      <c r="B36" s="20" t="inlineStr">
        <is>
          <t>EBITDA perdu par les cessions 2026-2027 (au multiple central)</t>
        </is>
      </c>
      <c r="C36" s="42">
        <f>(C33+C34)*1000/'Hypothèses'!$J$14</f>
        <v/>
      </c>
      <c r="D36" s="22" t="inlineStr">
        <is>
          <t>M EUR</t>
        </is>
      </c>
      <c r="E36" s="22" t="inlineStr">
        <is>
          <t>encaissements / multiple</t>
        </is>
      </c>
    </row>
    <row r="37">
      <c r="A37" s="2" t="n"/>
      <c r="B37" s="2" t="n"/>
      <c r="C37" s="2" t="n"/>
      <c r="D37" s="2" t="n"/>
      <c r="E37" s="2" t="n"/>
    </row>
    <row r="38">
      <c r="A38" s="20" t="inlineStr">
        <is>
          <t>D</t>
        </is>
      </c>
      <c r="B38" s="20" t="inlineStr">
        <is>
          <t>Ce qui a été dépensé face aux enveloppes annoncées</t>
        </is>
      </c>
      <c r="C38" s="2" t="n"/>
      <c r="D38" s="2" t="n"/>
      <c r="E38" s="2" t="n"/>
    </row>
    <row r="39">
      <c r="A39" s="19" t="inlineStr"/>
      <c r="B39" s="19" t="inlineStr">
        <is>
          <t>Flux</t>
        </is>
      </c>
      <c r="C39" s="19" t="inlineStr">
        <is>
          <t>Md EUR</t>
        </is>
      </c>
      <c r="D39" s="19" t="inlineStr"/>
      <c r="E39" s="19" t="inlineStr">
        <is>
          <t>Réf.</t>
        </is>
      </c>
    </row>
    <row r="40">
      <c r="A40" s="2" t="n"/>
      <c r="B40" s="5" t="inlineStr">
        <is>
          <t>Enveloppe GreenUp : investissements NETS de croissance dans les boosters</t>
        </is>
      </c>
      <c r="C40" s="75">
        <f>'Entrées'!$C$117</f>
        <v/>
      </c>
      <c r="D40" s="22" t="inlineStr"/>
      <c r="E40" s="22" t="inlineStr">
        <is>
          <t>F129</t>
        </is>
      </c>
    </row>
    <row r="41">
      <c r="A41" s="2" t="n"/>
      <c r="B41" s="5" t="inlineStr">
        <is>
          <t>Enveloppe GreenUp : strongholds</t>
        </is>
      </c>
      <c r="C41" s="75">
        <f>'Entrées'!$C$118</f>
        <v/>
      </c>
      <c r="D41" s="22" t="inlineStr"/>
      <c r="E41" s="22" t="inlineStr">
        <is>
          <t>F130</t>
        </is>
      </c>
    </row>
    <row r="42">
      <c r="A42" s="2" t="n"/>
      <c r="B42" s="5" t="inlineStr">
        <is>
          <t>Sorties nettes 2024 (achats − cessions, pont de dette)</t>
        </is>
      </c>
      <c r="C42" s="76">
        <f>-'Entrées'!$C$126/1000</f>
        <v/>
      </c>
      <c r="D42" s="22" t="inlineStr"/>
      <c r="E42" s="22" t="inlineStr">
        <is>
          <t>−F138 ; deck Clean Earth : F136</t>
        </is>
      </c>
    </row>
    <row r="43">
      <c r="A43" s="2" t="n"/>
      <c r="B43" s="5" t="inlineStr">
        <is>
          <t>Sorties nettes 2025</t>
        </is>
      </c>
      <c r="C43" s="76">
        <f>-'Entrées'!$C$69/1000</f>
        <v/>
      </c>
      <c r="D43" s="22" t="inlineStr"/>
      <c r="E43" s="22" t="inlineStr">
        <is>
          <t>−F64 ; deck : F137</t>
        </is>
      </c>
    </row>
    <row r="44">
      <c r="A44" s="2" t="n"/>
      <c r="B44" s="5" t="inlineStr">
        <is>
          <t>Sorties nettes S1 2026 (Clean Earth, Enviropacific)</t>
        </is>
      </c>
      <c r="C44" s="76">
        <f>-'Entrées'!$C$80/1000</f>
        <v/>
      </c>
      <c r="D44" s="22" t="inlineStr"/>
      <c r="E44" s="22" t="inlineStr">
        <is>
          <t>−F75</t>
        </is>
      </c>
    </row>
    <row r="45">
      <c r="A45" s="2" t="n"/>
      <c r="B45" s="20" t="inlineStr">
        <is>
          <t>Sorties nettes cumulées depuis le début de GreenUp</t>
        </is>
      </c>
      <c r="C45" s="48">
        <f>SUM(C42:C44)</f>
        <v/>
      </c>
      <c r="D45" s="22" t="inlineStr"/>
      <c r="E45" s="22" t="inlineStr">
        <is>
          <t>achats nets des cessions, 2024 → 30/06/2026</t>
        </is>
      </c>
    </row>
    <row r="46">
      <c r="A46" s="2" t="n"/>
      <c r="B46" s="20" t="inlineStr">
        <is>
          <t>… face à l'enveloppe boosters de 4 Md€</t>
        </is>
      </c>
      <c r="C46" s="48">
        <f>C45-C40</f>
        <v/>
      </c>
      <c r="D46" s="22" t="inlineStr"/>
      <c r="E46" s="22" t="inlineStr">
        <is>
          <t>positif = enveloppe nette déjà dépassée</t>
        </is>
      </c>
    </row>
    <row r="47">
      <c r="A47" s="2" t="n"/>
      <c r="B47" s="5" t="inlineStr">
        <is>
          <t>Rotation déjà réalisée selon Veolia (brut, achats + ventes)</t>
        </is>
      </c>
      <c r="C47" s="75">
        <f>'Entrées'!$C$119</f>
        <v/>
      </c>
      <c r="D47" s="22" t="inlineStr"/>
      <c r="E47" s="22" t="inlineStr">
        <is>
          <t>F131</t>
        </is>
      </c>
    </row>
    <row r="48">
      <c r="A48" s="2" t="n"/>
      <c r="B48" s="5" t="inlineStr">
        <is>
          <t>Rotation totale prévue avec Clean Earth et le plan de cessions (brut)</t>
        </is>
      </c>
      <c r="C48" s="75">
        <f>'Entrées'!$C$121</f>
        <v/>
      </c>
      <c r="D48" s="22" t="inlineStr"/>
      <c r="E48" s="22" t="inlineStr">
        <is>
          <t>F133</t>
        </is>
      </c>
    </row>
    <row r="49">
      <c r="A49" s="2" t="n"/>
      <c r="B49" s="5" t="inlineStr">
        <is>
          <t>Part des acquisitions dans les boosters</t>
        </is>
      </c>
      <c r="C49" s="63">
        <f>'Entrées'!$C$122/100</f>
        <v/>
      </c>
      <c r="D49" s="22" t="inlineStr">
        <is>
          <t>%</t>
        </is>
      </c>
      <c r="E49" s="22" t="inlineStr">
        <is>
          <t>F134</t>
        </is>
      </c>
    </row>
    <row r="50">
      <c r="A50" s="2" t="n"/>
      <c r="B50" s="5" t="inlineStr">
        <is>
          <t>Part des acquisitions hors d'Europe</t>
        </is>
      </c>
      <c r="C50" s="63">
        <f>'Entrées'!$C$123/100</f>
        <v/>
      </c>
      <c r="D50" s="22" t="inlineStr">
        <is>
          <t>%</t>
        </is>
      </c>
      <c r="E50" s="22" t="inlineStr">
        <is>
          <t>F135</t>
        </is>
      </c>
    </row>
    <row r="51" ht="42" customHeight="1">
      <c r="A51" s="2" t="n"/>
      <c r="B51" s="66" t="inlineStr">
        <is>
          <t>Lecture : la diapositive GreenUp p.44 dit elle-même « net growth investments » : les 4 Md€ sont nets des cessions. Les sorties nettes cumulées dépassent déjà cette enveloppe au 30 juin 2026 ; c'est le programme de cessions qui doit les y ramener.</t>
        </is>
      </c>
      <c r="C51" s="2" t="n"/>
      <c r="D51" s="2" t="n"/>
      <c r="E51" s="2" t="n"/>
    </row>
    <row r="52">
      <c r="A52" s="2" t="n"/>
      <c r="B52" s="2" t="n"/>
      <c r="C52" s="2" t="n"/>
      <c r="D52" s="2" t="n"/>
      <c r="E52" s="2" t="n"/>
    </row>
    <row r="53">
      <c r="A53" s="20" t="inlineStr">
        <is>
          <t>E</t>
        </is>
      </c>
      <c r="B53" s="20" t="inlineStr">
        <is>
          <t>L'univers des cessions : ce que Veolia peut vendre, et à quel rythme elle a vendu</t>
        </is>
      </c>
      <c r="C53" s="2" t="n"/>
      <c r="D53" s="2" t="n"/>
      <c r="E53" s="2" t="n"/>
    </row>
    <row r="54" ht="42" customHeight="1">
      <c r="A54" s="2" t="n"/>
      <c r="B54" s="66" t="inlineStr">
        <is>
          <t>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is>
      </c>
      <c r="C54" s="2" t="n"/>
      <c r="D54" s="2" t="n"/>
      <c r="E54" s="2" t="n"/>
    </row>
    <row r="55">
      <c r="A55" s="19" t="inlineStr"/>
      <c r="B55" s="19" t="inlineStr">
        <is>
          <t>E1. Chiffre d'affaires par pays (DEU 2025, p.375)</t>
        </is>
      </c>
      <c r="C55" s="19" t="inlineStr">
        <is>
          <t>CA 2025</t>
        </is>
      </c>
      <c r="D55" s="19" t="inlineStr">
        <is>
          <t>Part du groupe</t>
        </is>
      </c>
      <c r="E55" s="19" t="inlineStr">
        <is>
          <t>Réf.</t>
        </is>
      </c>
    </row>
    <row r="56">
      <c r="A56" s="2" t="n"/>
      <c r="B56" s="5" t="inlineStr">
        <is>
          <t>France</t>
        </is>
      </c>
      <c r="C56" s="58">
        <f>'Entrées'!$C$455</f>
        <v/>
      </c>
      <c r="D56" s="63">
        <f>C56/'Entrées'!$C$453</f>
        <v/>
      </c>
      <c r="E56" s="22" t="inlineStr">
        <is>
          <t>F450</t>
        </is>
      </c>
    </row>
    <row r="57">
      <c r="A57" s="2" t="n"/>
      <c r="B57" s="5" t="inlineStr">
        <is>
          <t>États-Unis</t>
        </is>
      </c>
      <c r="C57" s="58">
        <f>'Entrées'!$C$456</f>
        <v/>
      </c>
      <c r="D57" s="63">
        <f>C57/'Entrées'!$C$453</f>
        <v/>
      </c>
      <c r="E57" s="22" t="inlineStr">
        <is>
          <t>F451</t>
        </is>
      </c>
    </row>
    <row r="58">
      <c r="A58" s="2" t="n"/>
      <c r="B58" s="5" t="inlineStr">
        <is>
          <t>Allemagne</t>
        </is>
      </c>
      <c r="C58" s="58">
        <f>'Entrées'!$C$457</f>
        <v/>
      </c>
      <c r="D58" s="63">
        <f>C58/'Entrées'!$C$453</f>
        <v/>
      </c>
      <c r="E58" s="22" t="inlineStr">
        <is>
          <t>F452</t>
        </is>
      </c>
    </row>
    <row r="59">
      <c r="A59" s="2" t="n"/>
      <c r="B59" s="5" t="inlineStr">
        <is>
          <t>Espagne</t>
        </is>
      </c>
      <c r="C59" s="58">
        <f>'Entrées'!$C$458</f>
        <v/>
      </c>
      <c r="D59" s="63">
        <f>C59/'Entrées'!$C$453</f>
        <v/>
      </c>
      <c r="E59" s="22" t="inlineStr">
        <is>
          <t>F453</t>
        </is>
      </c>
    </row>
    <row r="60">
      <c r="A60" s="2" t="n"/>
      <c r="B60" s="5" t="inlineStr">
        <is>
          <t>Pologne</t>
        </is>
      </c>
      <c r="C60" s="58">
        <f>'Entrées'!$C$459</f>
        <v/>
      </c>
      <c r="D60" s="63">
        <f>C60/'Entrées'!$C$453</f>
        <v/>
      </c>
      <c r="E60" s="22" t="inlineStr">
        <is>
          <t>F454</t>
        </is>
      </c>
    </row>
    <row r="61">
      <c r="A61" s="2" t="n"/>
      <c r="B61" s="5" t="inlineStr">
        <is>
          <t>Royaume-Uni</t>
        </is>
      </c>
      <c r="C61" s="58">
        <f>'Entrées'!$C$460</f>
        <v/>
      </c>
      <c r="D61" s="63">
        <f>C61/'Entrées'!$C$453</f>
        <v/>
      </c>
      <c r="E61" s="22" t="inlineStr">
        <is>
          <t>F455</t>
        </is>
      </c>
    </row>
    <row r="62">
      <c r="A62" s="2" t="n"/>
      <c r="B62" s="5" t="inlineStr">
        <is>
          <t>République tchèque</t>
        </is>
      </c>
      <c r="C62" s="58">
        <f>'Entrées'!$C$461</f>
        <v/>
      </c>
      <c r="D62" s="63">
        <f>C62/'Entrées'!$C$453</f>
        <v/>
      </c>
      <c r="E62" s="22" t="inlineStr">
        <is>
          <t>F456</t>
        </is>
      </c>
    </row>
    <row r="63">
      <c r="A63" s="2" t="n"/>
      <c r="B63" s="5" t="inlineStr">
        <is>
          <t>Australie</t>
        </is>
      </c>
      <c r="C63" s="58">
        <f>'Entrées'!$C$462</f>
        <v/>
      </c>
      <c r="D63" s="63">
        <f>C63/'Entrées'!$C$453</f>
        <v/>
      </c>
      <c r="E63" s="22" t="inlineStr">
        <is>
          <t>F457</t>
        </is>
      </c>
    </row>
    <row r="64">
      <c r="A64" s="2" t="n"/>
      <c r="B64" s="5" t="inlineStr">
        <is>
          <t>Italie</t>
        </is>
      </c>
      <c r="C64" s="58">
        <f>'Entrées'!$C$463</f>
        <v/>
      </c>
      <c r="D64" s="63">
        <f>C64/'Entrées'!$C$453</f>
        <v/>
      </c>
      <c r="E64" s="22" t="inlineStr">
        <is>
          <t>F458</t>
        </is>
      </c>
    </row>
    <row r="65">
      <c r="A65" s="2" t="n"/>
      <c r="B65" s="5" t="inlineStr">
        <is>
          <t>Belgique</t>
        </is>
      </c>
      <c r="C65" s="58">
        <f>'Entrées'!$C$464</f>
        <v/>
      </c>
      <c r="D65" s="63">
        <f>C65/'Entrées'!$C$453</f>
        <v/>
      </c>
      <c r="E65" s="22" t="inlineStr">
        <is>
          <t>F459</t>
        </is>
      </c>
    </row>
    <row r="66">
      <c r="A66" s="2" t="n"/>
      <c r="B66" s="5" t="inlineStr">
        <is>
          <t>Hongrie</t>
        </is>
      </c>
      <c r="C66" s="58">
        <f>'Entrées'!$C$466</f>
        <v/>
      </c>
      <c r="D66" s="63">
        <f>C66/'Entrées'!$C$453</f>
        <v/>
      </c>
      <c r="E66" s="22" t="inlineStr">
        <is>
          <t>F461</t>
        </is>
      </c>
    </row>
    <row r="67">
      <c r="A67" s="2" t="n"/>
      <c r="B67" s="5" t="inlineStr">
        <is>
          <t>Maroc</t>
        </is>
      </c>
      <c r="C67" s="58">
        <f>'Entrées'!$C$468</f>
        <v/>
      </c>
      <c r="D67" s="63">
        <f>C67/'Entrées'!$C$453</f>
        <v/>
      </c>
      <c r="E67" s="22" t="inlineStr">
        <is>
          <t>F463</t>
        </is>
      </c>
    </row>
    <row r="68">
      <c r="A68" s="2" t="n"/>
      <c r="B68" s="5" t="inlineStr">
        <is>
          <t>Chine</t>
        </is>
      </c>
      <c r="C68" s="58">
        <f>'Entrées'!$C$470</f>
        <v/>
      </c>
      <c r="D68" s="63">
        <f>C68/'Entrées'!$C$453</f>
        <v/>
      </c>
      <c r="E68" s="22" t="inlineStr">
        <is>
          <t>F465</t>
        </is>
      </c>
    </row>
    <row r="69">
      <c r="A69" s="2" t="n"/>
      <c r="B69" s="5" t="inlineStr">
        <is>
          <t>Chili</t>
        </is>
      </c>
      <c r="C69" s="58">
        <f>'Entrées'!$C$471</f>
        <v/>
      </c>
      <c r="D69" s="63">
        <f>C69/'Entrées'!$C$453</f>
        <v/>
      </c>
      <c r="E69" s="22" t="inlineStr">
        <is>
          <t>F466</t>
        </is>
      </c>
    </row>
    <row r="70">
      <c r="A70" s="2" t="n"/>
      <c r="B70" s="5" t="inlineStr">
        <is>
          <t>Japon</t>
        </is>
      </c>
      <c r="C70" s="58">
        <f>'Entrées'!$C$472</f>
        <v/>
      </c>
      <c r="D70" s="63">
        <f>C70/'Entrées'!$C$453</f>
        <v/>
      </c>
      <c r="E70" s="22" t="inlineStr">
        <is>
          <t>F467</t>
        </is>
      </c>
    </row>
    <row r="71">
      <c r="A71" s="2" t="n"/>
      <c r="B71" s="5" t="inlineStr">
        <is>
          <t>Hong Kong</t>
        </is>
      </c>
      <c r="C71" s="58">
        <f>'Entrées'!$C$473</f>
        <v/>
      </c>
      <c r="D71" s="63">
        <f>C71/'Entrées'!$C$453</f>
        <v/>
      </c>
      <c r="E71" s="22" t="inlineStr">
        <is>
          <t>F468</t>
        </is>
      </c>
    </row>
    <row r="72">
      <c r="A72" s="2" t="n"/>
      <c r="B72" s="5" t="inlineStr">
        <is>
          <t>Slovaquie</t>
        </is>
      </c>
      <c r="C72" s="58">
        <f>'Entrées'!$C$474</f>
        <v/>
      </c>
      <c r="D72" s="63">
        <f>C72/'Entrées'!$C$453</f>
        <v/>
      </c>
      <c r="E72" s="22" t="inlineStr">
        <is>
          <t>F469</t>
        </is>
      </c>
    </row>
    <row r="73">
      <c r="A73" s="2" t="n"/>
      <c r="B73" s="5" t="inlineStr">
        <is>
          <t>autres pays (moins de 500 M EUR chacun)</t>
        </is>
      </c>
      <c r="C73" s="58">
        <f>'Entrées'!$C$475</f>
        <v/>
      </c>
      <c r="D73" s="63">
        <f>C73/'Entrées'!$C$453</f>
        <v/>
      </c>
      <c r="E73" s="22" t="inlineStr">
        <is>
          <t>F470</t>
        </is>
      </c>
    </row>
    <row r="74">
      <c r="A74" s="2" t="n"/>
      <c r="B74" s="20" t="inlineStr">
        <is>
          <t>Somme des pays</t>
        </is>
      </c>
      <c r="C74" s="42">
        <f>SUM(C56:C73)</f>
        <v/>
      </c>
      <c r="D74" s="22" t="inlineStr">
        <is>
          <t>M EUR</t>
        </is>
      </c>
      <c r="E74" s="22" t="inlineStr"/>
    </row>
    <row r="75">
      <c r="A75" s="2" t="n"/>
      <c r="B75" s="5" t="inlineStr">
        <is>
          <t>Chiffre d'affaires du groupe publié (IFRS 8.33)</t>
        </is>
      </c>
      <c r="C75" s="58">
        <f>'Entrées'!$C$453</f>
        <v/>
      </c>
      <c r="D75" s="22" t="inlineStr">
        <is>
          <t>M EUR</t>
        </is>
      </c>
      <c r="E75" s="22" t="inlineStr">
        <is>
          <t>F448</t>
        </is>
      </c>
    </row>
    <row r="76">
      <c r="A76" s="2" t="n"/>
      <c r="B76" s="5" t="inlineStr">
        <is>
          <t>Pour mémoire : Maroc 2024, avant la cession de Lydec (2025 : 932)</t>
        </is>
      </c>
      <c r="C76" s="58">
        <f>'Entrées'!$C$469</f>
        <v/>
      </c>
      <c r="D76" s="22" t="inlineStr">
        <is>
          <t>M EUR</t>
        </is>
      </c>
      <c r="E76" s="22" t="inlineStr">
        <is>
          <t>F464</t>
        </is>
      </c>
    </row>
    <row r="77">
      <c r="A77" s="2" t="n"/>
      <c r="B77" s="2" t="n"/>
      <c r="C77" s="2" t="n"/>
      <c r="D77" s="2" t="n"/>
      <c r="E77" s="2" t="n"/>
    </row>
    <row r="78">
      <c r="A78" s="19" t="inlineStr"/>
      <c r="B78" s="19" t="inlineStr">
        <is>
          <t>E2. Le programme face au périmètre mature</t>
        </is>
      </c>
      <c r="C78" s="19" t="inlineStr">
        <is>
          <t>Valeur</t>
        </is>
      </c>
      <c r="D78" s="19" t="inlineStr">
        <is>
          <t>Unité</t>
        </is>
      </c>
      <c r="E78" s="19" t="inlineStr">
        <is>
          <t>Réf. / calcul</t>
        </is>
      </c>
    </row>
    <row r="79">
      <c r="A79" s="2" t="n"/>
      <c r="B79" s="5" t="inlineStr">
        <is>
          <t>Programme de cessions, minimum annoncé</t>
        </is>
      </c>
      <c r="C79" s="61">
        <f>'Entrées'!$C$30*1000</f>
        <v/>
      </c>
      <c r="D79" s="22" t="inlineStr">
        <is>
          <t>M EUR</t>
        </is>
      </c>
      <c r="E79" s="22" t="inlineStr">
        <is>
          <t>F25</t>
        </is>
      </c>
    </row>
    <row r="80">
      <c r="A80" s="2" t="n"/>
      <c r="B80" s="20" t="inlineStr">
        <is>
          <t>EBITDA cédé au multiple central (hypothèse mDisp)</t>
        </is>
      </c>
      <c r="C80" s="42">
        <f>'Cessions'!$C$79/'Hypothèses'!$J$14</f>
        <v/>
      </c>
      <c r="D80" s="22" t="inlineStr">
        <is>
          <t>M EUR</t>
        </is>
      </c>
      <c r="E80" s="22" t="inlineStr">
        <is>
          <t>programme / multiple</t>
        </is>
      </c>
    </row>
    <row r="81">
      <c r="A81" s="2" t="n"/>
      <c r="B81" s="5" t="inlineStr">
        <is>
          <t>Chiffre d'affaires cédé si la marge est celle du groupe</t>
        </is>
      </c>
      <c r="C81" s="61">
        <f>'Cessions'!$C$80/('Entrées'!$C$431/100)</f>
        <v/>
      </c>
      <c r="D81" s="22" t="inlineStr">
        <is>
          <t>M EUR</t>
        </is>
      </c>
      <c r="E81" s="22" t="inlineStr">
        <is>
          <t>EBITDA cédé / F426</t>
        </is>
      </c>
    </row>
    <row r="82">
      <c r="A82" s="2" t="n"/>
      <c r="B82" s="20" t="inlineStr">
        <is>
          <t>… en part du chiffre d'affaires du groupe</t>
        </is>
      </c>
      <c r="C82" s="38">
        <f>'Cessions'!$C$81/'Entrées'!$C$453</f>
        <v/>
      </c>
      <c r="D82" s="22" t="inlineStr">
        <is>
          <t>%</t>
        </is>
      </c>
      <c r="E82" s="22" t="inlineStr"/>
    </row>
    <row r="83">
      <c r="A83" s="2" t="n"/>
      <c r="B83" s="5" t="inlineStr">
        <is>
          <t>EBITDA des strongholds 2025</t>
        </is>
      </c>
      <c r="C83" s="58">
        <f>'Entrées'!$C$436</f>
        <v/>
      </c>
      <c r="D83" s="22" t="inlineStr">
        <is>
          <t>M EUR</t>
        </is>
      </c>
      <c r="E83" s="22" t="inlineStr">
        <is>
          <t>F431</t>
        </is>
      </c>
    </row>
    <row r="84">
      <c r="A84" s="2" t="n"/>
      <c r="B84" s="5" t="inlineStr">
        <is>
          <t xml:space="preserve">   dont déchets solides</t>
        </is>
      </c>
      <c r="C84" s="58">
        <f>'Entrées'!$C$446</f>
        <v/>
      </c>
      <c r="D84" s="22" t="inlineStr">
        <is>
          <t>M EUR</t>
        </is>
      </c>
      <c r="E84" s="22" t="inlineStr">
        <is>
          <t>F441</t>
        </is>
      </c>
    </row>
    <row r="85">
      <c r="A85" s="2" t="n"/>
      <c r="B85" s="5" t="inlineStr">
        <is>
          <t xml:space="preserve">   dont eau municipale</t>
        </is>
      </c>
      <c r="C85" s="58">
        <f>'Entrées'!$C$440</f>
        <v/>
      </c>
      <c r="D85" s="22" t="inlineStr">
        <is>
          <t>M EUR</t>
        </is>
      </c>
      <c r="E85" s="22" t="inlineStr">
        <is>
          <t>F435</t>
        </is>
      </c>
    </row>
    <row r="86">
      <c r="A86" s="2" t="n"/>
      <c r="B86" s="5" t="inlineStr">
        <is>
          <t xml:space="preserve">   dont réseaux de chaleur et de froid</t>
        </is>
      </c>
      <c r="C86" s="58">
        <f>'Entrées'!$C$443</f>
        <v/>
      </c>
      <c r="D86" s="22" t="inlineStr">
        <is>
          <t>M EUR</t>
        </is>
      </c>
      <c r="E86" s="22" t="inlineStr">
        <is>
          <t>F438</t>
        </is>
      </c>
    </row>
    <row r="87">
      <c r="A87" s="2" t="n"/>
      <c r="B87" s="20" t="inlineStr">
        <is>
          <t>EBITDA cédé en part des strongholds</t>
        </is>
      </c>
      <c r="C87" s="38">
        <f>'Cessions'!$C$80/'Cessions'!$C$83</f>
        <v/>
      </c>
      <c r="D87" s="22" t="inlineStr">
        <is>
          <t>%</t>
        </is>
      </c>
      <c r="E87" s="22" t="inlineStr"/>
    </row>
    <row r="88">
      <c r="A88" s="2" t="n"/>
      <c r="B88" s="20" t="inlineStr">
        <is>
          <t>EBITDA cédé en part des seuls déchets solides</t>
        </is>
      </c>
      <c r="C88" s="38">
        <f>'Cessions'!$C$80/'Cessions'!$C$84</f>
        <v/>
      </c>
      <c r="D88" s="22" t="inlineStr">
        <is>
          <t>%</t>
        </is>
      </c>
      <c r="E88" s="22" t="inlineStr"/>
    </row>
    <row r="89">
      <c r="A89" s="2" t="n"/>
      <c r="B89" s="2" t="n"/>
      <c r="C89" s="2" t="n"/>
      <c r="D89" s="2" t="n"/>
      <c r="E89" s="2" t="n"/>
    </row>
    <row r="90">
      <c r="A90" s="19" t="inlineStr"/>
      <c r="B90" s="19" t="inlineStr">
        <is>
          <t>E3. Cessions réalisées par Veolia depuis 2022 (deals.csv, produit de cession publié)</t>
        </is>
      </c>
      <c r="C90" s="19" t="inlineStr">
        <is>
          <t>Produit (M EUR)</t>
        </is>
      </c>
      <c r="D90" s="19" t="inlineStr">
        <is>
          <t>Année</t>
        </is>
      </c>
      <c r="E90" s="19" t="inlineStr">
        <is>
          <t>Opération, source</t>
        </is>
      </c>
    </row>
    <row r="91">
      <c r="A91" s="2" t="n"/>
      <c r="B91" s="5" t="inlineStr">
        <is>
          <t>Actifs Osis Grand Paris (SARP), 8 sites</t>
        </is>
      </c>
      <c r="C91" s="79" t="n">
        <v>32</v>
      </c>
      <c r="D91" s="50" t="inlineStr">
        <is>
          <t>n/d</t>
        </is>
      </c>
      <c r="E91" s="22" t="inlineStr">
        <is>
          <t>D24 — ve_urd_2022_en.pdf, p.330</t>
        </is>
      </c>
    </row>
    <row r="92">
      <c r="A92" s="2" t="n"/>
      <c r="B92" s="5" t="inlineStr">
        <is>
          <t>Actifs d'Integrated Waste Services (IWS)</t>
        </is>
      </c>
      <c r="C92" s="79" t="n">
        <v>102</v>
      </c>
      <c r="D92" s="23" t="n">
        <v>2022</v>
      </c>
      <c r="E92" s="22" t="inlineStr">
        <is>
          <t>D23 — ve_urd_2022_en.pdf, p.330</t>
        </is>
      </c>
    </row>
    <row r="93">
      <c r="A93" s="2" t="n"/>
      <c r="B93" s="5" t="inlineStr">
        <is>
          <t>Lanzhou Water</t>
        </is>
      </c>
      <c r="C93" s="79" t="n">
        <v>141</v>
      </c>
      <c r="D93" s="23" t="n">
        <v>2022</v>
      </c>
      <c r="E93" s="22" t="inlineStr">
        <is>
          <t>D25 — ve_urd_2022_en.pdf, p.373</t>
        </is>
      </c>
    </row>
    <row r="94">
      <c r="A94" s="2" t="n"/>
      <c r="B94" s="5" t="inlineStr">
        <is>
          <t>Huancheng Puxi</t>
        </is>
      </c>
      <c r="C94" s="79" t="n">
        <v>27</v>
      </c>
      <c r="D94" s="23" t="n">
        <v>2022</v>
      </c>
      <c r="E94" s="22" t="inlineStr">
        <is>
          <t>D26 — ve_urd_2022_en.pdf, p.373</t>
        </is>
      </c>
    </row>
    <row r="95">
      <c r="A95" s="2" t="n"/>
      <c r="B95" s="5" t="inlineStr">
        <is>
          <t>Dernières activités déchets dangereux cédées à Suez (SARPI)</t>
        </is>
      </c>
      <c r="C95" s="79" t="n">
        <v>49</v>
      </c>
      <c r="D95" s="23" t="n">
        <v>2023</v>
      </c>
      <c r="E95" s="22" t="inlineStr">
        <is>
          <t>D10 — finance_consolidated_financial_statement, p.16</t>
        </is>
      </c>
    </row>
    <row r="96">
      <c r="A96" s="2" t="n"/>
      <c r="B96" s="5" t="inlineStr">
        <is>
          <t>Activités O&amp;M eau industrielle de WTS</t>
        </is>
      </c>
      <c r="C96" s="79" t="n">
        <v>15</v>
      </c>
      <c r="D96" s="23" t="n">
        <v>2023</v>
      </c>
      <c r="E96" s="22" t="inlineStr">
        <is>
          <t>D15 — finance_consolidated_financial_statement, p.16</t>
        </is>
      </c>
    </row>
    <row r="97">
      <c r="A97" s="2" t="n"/>
      <c r="B97" s="5" t="inlineStr">
        <is>
          <t>Advanced Solutions (filiales opérationnelles)</t>
        </is>
      </c>
      <c r="C97" s="79" t="n">
        <v>84</v>
      </c>
      <c r="D97" s="23" t="n">
        <v>2023</v>
      </c>
      <c r="E97" s="22" t="inlineStr">
        <is>
          <t>D18 — finance_consolidated_financial_statement, p.16</t>
        </is>
      </c>
    </row>
    <row r="98">
      <c r="A98" s="2" t="n"/>
      <c r="B98" s="5" t="inlineStr">
        <is>
          <t>Concessions d'eau italiennes (Latium, Sicile)</t>
        </is>
      </c>
      <c r="C98" s="79" t="n">
        <v>74</v>
      </c>
      <c r="D98" s="23" t="n">
        <v>2023</v>
      </c>
      <c r="E98" s="22" t="inlineStr">
        <is>
          <t>D7 — finance_consolidated_financial_statement, p.16</t>
        </is>
      </c>
    </row>
    <row r="99">
      <c r="A99" s="2" t="n"/>
      <c r="B99" s="5" t="inlineStr">
        <is>
          <t>Lydec</t>
        </is>
      </c>
      <c r="C99" s="79" t="n">
        <v>149</v>
      </c>
      <c r="D99" s="23" t="n">
        <v>2024</v>
      </c>
      <c r="E99" s="22" t="inlineStr">
        <is>
          <t>D16 — finance_consolidated_financial_statement, p.16</t>
        </is>
      </c>
    </row>
    <row r="100">
      <c r="A100" s="2" t="n"/>
      <c r="B100" s="5" t="inlineStr">
        <is>
          <t>Veolia North America Regeneration Services</t>
        </is>
      </c>
      <c r="C100" s="79" t="n">
        <v>580</v>
      </c>
      <c r="D100" s="23" t="n">
        <v>2024</v>
      </c>
      <c r="E100" s="22" t="inlineStr">
        <is>
          <t>D17 — finance_consolidated_financial_statement, p.16</t>
        </is>
      </c>
    </row>
    <row r="101">
      <c r="A101" s="2" t="n"/>
      <c r="B101" s="5" t="inlineStr">
        <is>
          <t>SADE</t>
        </is>
      </c>
      <c r="C101" s="79" t="n">
        <v>198</v>
      </c>
      <c r="D101" s="23" t="n">
        <v>2024</v>
      </c>
      <c r="E101" s="22" t="inlineStr">
        <is>
          <t>D8 — finance_consolidated_financial_statement, p.16</t>
        </is>
      </c>
    </row>
    <row r="102">
      <c r="A102" s="2" t="n"/>
      <c r="B102" s="5" t="inlineStr">
        <is>
          <t>Concession d'eau de Haikou</t>
        </is>
      </c>
      <c r="C102" s="79" t="n">
        <v>79</v>
      </c>
      <c r="D102" s="23" t="n">
        <v>2024</v>
      </c>
      <c r="E102" s="22" t="inlineStr">
        <is>
          <t>D9 — finance_consolidated_financial_statement, p.16</t>
        </is>
      </c>
    </row>
    <row r="103">
      <c r="A103" s="2" t="n"/>
      <c r="B103" s="5" t="inlineStr">
        <is>
          <t>Participations du Groupe en France</t>
        </is>
      </c>
      <c r="C103" s="79" t="n">
        <v>14</v>
      </c>
      <c r="D103" s="23" t="n">
        <v>2026</v>
      </c>
      <c r="E103" s="22" t="inlineStr">
        <is>
          <t>D3 — veolia-amendement-deu-2025-s1-2026.pdf, p.27</t>
        </is>
      </c>
    </row>
    <row r="104">
      <c r="A104" s="2" t="n"/>
      <c r="B104" s="5" t="inlineStr">
        <is>
          <t>Participations du Groupe au Belux</t>
        </is>
      </c>
      <c r="C104" s="79" t="n">
        <v>41</v>
      </c>
      <c r="D104" s="23" t="n">
        <v>2026</v>
      </c>
      <c r="E104" s="22" t="inlineStr">
        <is>
          <t>D5 — veolia-amendement-deu-2025-s1-2026.pdf, p.27</t>
        </is>
      </c>
    </row>
    <row r="105">
      <c r="A105" s="2" t="n"/>
      <c r="B105" s="20" t="inlineStr">
        <is>
          <t>Produits de cession cumulés 2022 → S1 2026</t>
        </is>
      </c>
      <c r="C105" s="42">
        <f>SUM(C91:C104)</f>
        <v/>
      </c>
      <c r="D105" s="22" t="inlineStr">
        <is>
          <t>M EUR</t>
        </is>
      </c>
      <c r="E105" s="22" t="inlineStr">
        <is>
          <t>14 opérations à produit publié</t>
        </is>
      </c>
    </row>
    <row r="106">
      <c r="A106" s="2" t="n"/>
      <c r="B106" s="5" t="inlineStr">
        <is>
          <t>Nombre d'opérations</t>
        </is>
      </c>
      <c r="C106" s="80">
        <f>COUNT(C91:C104)</f>
        <v/>
      </c>
      <c r="D106" s="22" t="inlineStr"/>
      <c r="E106" s="22" t="inlineStr"/>
    </row>
    <row r="107">
      <c r="A107" s="2" t="n"/>
      <c r="B107" s="5" t="inlineStr">
        <is>
          <t>Taille moyenne</t>
        </is>
      </c>
      <c r="C107" s="61">
        <f>AVERAGE(C91:C104)</f>
        <v/>
      </c>
      <c r="D107" s="22" t="inlineStr">
        <is>
          <t>M EUR</t>
        </is>
      </c>
      <c r="E107" s="22" t="inlineStr"/>
    </row>
    <row r="108">
      <c r="A108" s="2" t="n"/>
      <c r="B108" s="5" t="inlineStr">
        <is>
          <t>La plus grande (régénération d'acide, États-Unis, 2024)</t>
        </is>
      </c>
      <c r="C108" s="61">
        <f>MAX(C91:C104)</f>
        <v/>
      </c>
      <c r="D108" s="22" t="inlineStr">
        <is>
          <t>M EUR</t>
        </is>
      </c>
      <c r="E108" s="22" t="inlineStr"/>
    </row>
    <row r="109">
      <c r="A109" s="2" t="n"/>
      <c r="B109" s="20" t="inlineStr">
        <is>
          <t>Rythme passé : produits par an (cumul / 4 ans, 2022-2025)</t>
        </is>
      </c>
      <c r="C109" s="42">
        <f>SUMIFS(C91:C104,D91:D104,"&lt;2026")/4</f>
        <v/>
      </c>
      <c r="D109" s="22" t="inlineStr">
        <is>
          <t>M EUR</t>
        </is>
      </c>
      <c r="E109" s="22" t="inlineStr">
        <is>
          <t>hors 2026</t>
        </is>
      </c>
    </row>
    <row r="110">
      <c r="A110" s="2" t="n"/>
      <c r="B110" s="20" t="inlineStr">
        <is>
          <t>Opérations de taille moyenne nécessaires pour le programme</t>
        </is>
      </c>
      <c r="C110" s="48">
        <f>'Cessions'!$C$79/'Cessions'!$C$107</f>
        <v/>
      </c>
      <c r="D110" s="22" t="inlineStr"/>
      <c r="E110" s="22" t="inlineStr">
        <is>
          <t>programme / taille moyenne</t>
        </is>
      </c>
    </row>
    <row r="111">
      <c r="A111" s="2" t="n"/>
      <c r="B111" s="5" t="inlineStr">
        <is>
          <t>… de la taille de la plus grande</t>
        </is>
      </c>
      <c r="C111" s="76">
        <f>'Cessions'!$C$79/'Cessions'!$C$108</f>
        <v/>
      </c>
      <c r="D111" s="22" t="inlineStr"/>
      <c r="E111" s="22" t="inlineStr"/>
    </row>
    <row r="112">
      <c r="A112" s="2" t="n"/>
      <c r="B112" s="20" t="inlineStr">
        <is>
          <t>Années nécessaires au rythme passé</t>
        </is>
      </c>
      <c r="C112" s="48">
        <f>'Cessions'!$C$79/'Cessions'!$C$109</f>
        <v/>
      </c>
      <c r="D112" s="22" t="inlineStr">
        <is>
          <t>années</t>
        </is>
      </c>
      <c r="E112" s="22" t="inlineStr">
        <is>
          <t>programme / rythme ; Veolia se donne deux ans</t>
        </is>
      </c>
    </row>
    <row r="113">
      <c r="A113" s="2" t="n"/>
      <c r="B113" s="2" t="n"/>
      <c r="C113" s="2" t="n"/>
      <c r="D113" s="2" t="n"/>
      <c r="E113" s="2" t="n"/>
    </row>
    <row r="114">
      <c r="A114" s="19" t="inlineStr"/>
      <c r="B114" s="19" t="inlineStr">
        <is>
          <t>E4. Ce que rapporte 1 Md EUR vendu, selon le multiple</t>
        </is>
      </c>
      <c r="C114" s="19" t="inlineStr">
        <is>
          <t>EBITDA cédé</t>
        </is>
      </c>
      <c r="D114" s="19" t="inlineStr">
        <is>
          <t>Capacité de dette perdue</t>
        </is>
      </c>
      <c r="E114" s="19" t="inlineStr">
        <is>
          <t>Marge nette gagnée</t>
        </is>
      </c>
    </row>
    <row r="115">
      <c r="A115" s="2" t="n"/>
      <c r="B115" s="5" t="inlineStr">
        <is>
          <t>Cession de 1 000 M EUR à 8x l'EBITDA</t>
        </is>
      </c>
      <c r="C115" s="61">
        <f>1000/8</f>
        <v/>
      </c>
      <c r="D115" s="61">
        <f>'Hypothèses'!$J$26*C115</f>
        <v/>
      </c>
      <c r="E115" s="42">
        <f>1000-D115</f>
        <v/>
      </c>
    </row>
    <row r="116">
      <c r="A116" s="2" t="n"/>
      <c r="B116" s="5" t="inlineStr">
        <is>
          <t>Cession de 1 000 M EUR à 10x l'EBITDA</t>
        </is>
      </c>
      <c r="C116" s="61">
        <f>1000/10</f>
        <v/>
      </c>
      <c r="D116" s="61">
        <f>'Hypothèses'!$J$26*C116</f>
        <v/>
      </c>
      <c r="E116" s="42">
        <f>1000-D116</f>
        <v/>
      </c>
    </row>
    <row r="117">
      <c r="A117" s="2" t="n"/>
      <c r="B117" s="5" t="inlineStr">
        <is>
          <t>Cession de 1 000 M EUR à 12x l'EBITDA</t>
        </is>
      </c>
      <c r="C117" s="61">
        <f>1000/12</f>
        <v/>
      </c>
      <c r="D117" s="61">
        <f>'Hypothèses'!$J$26*C117</f>
        <v/>
      </c>
      <c r="E117" s="42">
        <f>1000-D117</f>
        <v/>
      </c>
    </row>
    <row r="118" ht="58" customHeight="1">
      <c r="A118" s="2" t="n"/>
      <c r="B118" s="66" t="inlineStr">
        <is>
          <t>Lecture : il y a de quoi vendre — au multiple central, le programme retire moins de 4 % de l'EBITDA des strongholds et 3 % du chiffre d'affaires du groupe, dans un portefeuille de 17 pays à plus de 500 M€. Le risque n'est pas l'existence des actifs mais le rythme : depuis 2022, Veolia a cédé une quinzaine d'activités de taille modeste ; 2 Md€ en deux ans, c'est plusieurs fois le rythme passé. C'est pour cela que s26 et s27 sont les hypothèses qui comptent, et que la question du calendrier est posée le 16 octobre.</t>
        </is>
      </c>
      <c r="C118" s="2" t="n"/>
      <c r="D118" s="2" t="n"/>
      <c r="E118" s="2" t="n"/>
    </row>
  </sheetData>
  <mergeCells count="5">
    <mergeCell ref="B18:E18"/>
    <mergeCell ref="B118:E118"/>
    <mergeCell ref="B54:E54"/>
    <mergeCell ref="B51:E51"/>
    <mergeCell ref="B28:E28"/>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AF6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54"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3" customWidth="1" min="31" max="31"/>
    <col width="13" customWidth="1" min="32" max="32"/>
  </cols>
  <sheetData>
    <row r="1">
      <c r="A1" s="1" t="inlineStr">
        <is>
          <t>Rôles 3 et 6 — Trajectoire 2026-2027 et marge de manœuvre sous 3x</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c r="A2" s="3" t="inlineStr">
        <is>
          <t>Colonne D = scénario actif (Hypothèses, colonne Actif ; base partout par défaut). Chaque colonne suivante change UNE hypothèse (cellule saumon). Les deux dernières combinent tous les bas défavorables, puis tous les hauts favorables.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row>
    <row r="4" ht="30" customHeight="1">
      <c r="A4" s="2" t="n"/>
      <c r="B4" s="20" t="inlineStr">
        <is>
          <t>Scénario</t>
        </is>
      </c>
      <c r="C4" s="2" t="n"/>
      <c r="D4" s="81" t="inlineStr">
        <is>
          <t>Scénario actif</t>
        </is>
      </c>
      <c r="E4" s="81" t="inlineStr">
        <is>
          <t>g26 bas</t>
        </is>
      </c>
      <c r="F4" s="81" t="inlineStr">
        <is>
          <t>g26 haut</t>
        </is>
      </c>
      <c r="G4" s="81" t="inlineStr">
        <is>
          <t>g27 bas</t>
        </is>
      </c>
      <c r="H4" s="81" t="inlineStr">
        <is>
          <t>g27 haut</t>
        </is>
      </c>
      <c r="I4" s="81" t="inlineStr">
        <is>
          <t>ceEb bas</t>
        </is>
      </c>
      <c r="J4" s="81" t="inlineStr">
        <is>
          <t>ceEb haut</t>
        </is>
      </c>
      <c r="K4" s="81" t="inlineStr">
        <is>
          <t>syn bas</t>
        </is>
      </c>
      <c r="L4" s="81" t="inlineStr">
        <is>
          <t>syn haut</t>
        </is>
      </c>
      <c r="M4" s="81" t="inlineStr">
        <is>
          <t>fcfH2 bas</t>
        </is>
      </c>
      <c r="N4" s="81" t="inlineStr">
        <is>
          <t>fcfH2 haut</t>
        </is>
      </c>
      <c r="O4" s="81" t="inlineStr">
        <is>
          <t>conv bas</t>
        </is>
      </c>
      <c r="P4" s="81" t="inlineStr">
        <is>
          <t>conv haut</t>
        </is>
      </c>
      <c r="Q4" s="81" t="inlineStr">
        <is>
          <t>gDiv bas</t>
        </is>
      </c>
      <c r="R4" s="81" t="inlineStr">
        <is>
          <t>gDiv haut</t>
        </is>
      </c>
      <c r="S4" s="81" t="inlineStr">
        <is>
          <t>s26 bas</t>
        </is>
      </c>
      <c r="T4" s="81" t="inlineStr">
        <is>
          <t>s26 haut</t>
        </is>
      </c>
      <c r="U4" s="81" t="inlineStr">
        <is>
          <t>s27 bas</t>
        </is>
      </c>
      <c r="V4" s="81" t="inlineStr">
        <is>
          <t>s27 haut</t>
        </is>
      </c>
      <c r="W4" s="81" t="inlineStr">
        <is>
          <t>mDisp bas</t>
        </is>
      </c>
      <c r="X4" s="81" t="inlineStr">
        <is>
          <t>mDisp haut</t>
        </is>
      </c>
      <c r="Y4" s="81" t="inlineStr">
        <is>
          <t>tuck bas</t>
        </is>
      </c>
      <c r="Z4" s="81" t="inlineStr">
        <is>
          <t>tuck haut</t>
        </is>
      </c>
      <c r="AA4" s="81" t="inlineStr">
        <is>
          <t>ffo bas</t>
        </is>
      </c>
      <c r="AB4" s="81" t="inlineStr">
        <is>
          <t>ffo haut</t>
        </is>
      </c>
      <c r="AC4" s="81" t="inlineStr">
        <is>
          <t>mTuck bas</t>
        </is>
      </c>
      <c r="AD4" s="81" t="inlineStr">
        <is>
          <t>mTuck haut</t>
        </is>
      </c>
      <c r="AE4" s="81" t="inlineStr">
        <is>
          <t>Défavorable combiné</t>
        </is>
      </c>
      <c r="AF4" s="81" t="inlineStr">
        <is>
          <t>Favorable combiné</t>
        </is>
      </c>
    </row>
    <row r="5">
      <c r="A5" s="2" t="n"/>
      <c r="B5" s="20" t="inlineStr">
        <is>
          <t>Hypothèses</t>
        </is>
      </c>
      <c r="C5" s="2" t="n"/>
      <c r="D5" s="2" t="n"/>
      <c r="E5" s="2" t="n"/>
      <c r="F5" s="2" t="n"/>
      <c r="G5" s="2" t="n"/>
      <c r="H5" s="2" t="n"/>
      <c r="I5" s="2" t="n"/>
      <c r="J5" s="2" t="n"/>
      <c r="K5" s="2" t="n"/>
      <c r="L5" s="2" t="n"/>
      <c r="M5" s="2" t="n"/>
      <c r="N5" s="2" t="n"/>
      <c r="O5" s="2" t="n"/>
      <c r="P5" s="2" t="n"/>
      <c r="Q5" s="2" t="n"/>
      <c r="R5" s="2" t="n"/>
      <c r="S5" s="2" t="n"/>
      <c r="T5" s="2" t="n"/>
      <c r="U5" s="2" t="n"/>
      <c r="V5" s="2" t="n"/>
      <c r="W5" s="2" t="n"/>
      <c r="X5" s="2" t="n"/>
      <c r="Y5" s="2" t="n"/>
      <c r="Z5" s="2" t="n"/>
      <c r="AA5" s="2" t="n"/>
      <c r="AB5" s="2" t="n"/>
      <c r="AC5" s="2" t="n"/>
      <c r="AD5" s="2" t="n"/>
      <c r="AE5" s="2" t="n"/>
      <c r="AF5" s="2" t="n"/>
    </row>
    <row r="6">
      <c r="A6" s="22" t="inlineStr">
        <is>
          <t>g26</t>
        </is>
      </c>
      <c r="B6" s="5" t="inlineStr">
        <is>
          <t>Croissance organique de l'EBITDA en 2026</t>
        </is>
      </c>
      <c r="C6" s="22" t="inlineStr">
        <is>
          <t>%</t>
        </is>
      </c>
      <c r="D6" s="69">
        <f>'Hypothèses'!$J$5</f>
        <v/>
      </c>
      <c r="E6" s="82">
        <f>'Hypothèses'!$D$5</f>
        <v/>
      </c>
      <c r="F6" s="82">
        <f>'Hypothèses'!$E$5</f>
        <v/>
      </c>
      <c r="G6" s="63">
        <f>$D6</f>
        <v/>
      </c>
      <c r="H6" s="63">
        <f>$D6</f>
        <v/>
      </c>
      <c r="I6" s="63">
        <f>$D6</f>
        <v/>
      </c>
      <c r="J6" s="63">
        <f>$D6</f>
        <v/>
      </c>
      <c r="K6" s="63">
        <f>$D6</f>
        <v/>
      </c>
      <c r="L6" s="63">
        <f>$D6</f>
        <v/>
      </c>
      <c r="M6" s="63">
        <f>$D6</f>
        <v/>
      </c>
      <c r="N6" s="63">
        <f>$D6</f>
        <v/>
      </c>
      <c r="O6" s="63">
        <f>$D6</f>
        <v/>
      </c>
      <c r="P6" s="63">
        <f>$D6</f>
        <v/>
      </c>
      <c r="Q6" s="63">
        <f>$D6</f>
        <v/>
      </c>
      <c r="R6" s="63">
        <f>$D6</f>
        <v/>
      </c>
      <c r="S6" s="63">
        <f>$D6</f>
        <v/>
      </c>
      <c r="T6" s="63">
        <f>$D6</f>
        <v/>
      </c>
      <c r="U6" s="63">
        <f>$D6</f>
        <v/>
      </c>
      <c r="V6" s="63">
        <f>$D6</f>
        <v/>
      </c>
      <c r="W6" s="63">
        <f>$D6</f>
        <v/>
      </c>
      <c r="X6" s="63">
        <f>$D6</f>
        <v/>
      </c>
      <c r="Y6" s="63">
        <f>$D6</f>
        <v/>
      </c>
      <c r="Z6" s="63">
        <f>$D6</f>
        <v/>
      </c>
      <c r="AA6" s="63">
        <f>$D6</f>
        <v/>
      </c>
      <c r="AB6" s="63">
        <f>$D6</f>
        <v/>
      </c>
      <c r="AC6" s="63">
        <f>$D6</f>
        <v/>
      </c>
      <c r="AD6" s="63">
        <f>$D6</f>
        <v/>
      </c>
      <c r="AE6" s="83">
        <f>IF($E$47&lt;=$F$47,'Hypothèses'!$D$5,'Hypothèses'!$E$5)</f>
        <v/>
      </c>
      <c r="AF6" s="83">
        <f>IF($E$47&gt;$F$47,'Hypothèses'!$D$5,'Hypothèses'!$E$5)</f>
        <v/>
      </c>
    </row>
    <row r="7">
      <c r="A7" s="22" t="inlineStr">
        <is>
          <t>g27</t>
        </is>
      </c>
      <c r="B7" s="5" t="inlineStr">
        <is>
          <t>Croissance organique de l'EBITDA en 2027</t>
        </is>
      </c>
      <c r="C7" s="22" t="inlineStr">
        <is>
          <t>%</t>
        </is>
      </c>
      <c r="D7" s="69">
        <f>'Hypothèses'!$J$6</f>
        <v/>
      </c>
      <c r="E7" s="63">
        <f>$D7</f>
        <v/>
      </c>
      <c r="F7" s="63">
        <f>$D7</f>
        <v/>
      </c>
      <c r="G7" s="82">
        <f>'Hypothèses'!$D$6</f>
        <v/>
      </c>
      <c r="H7" s="82">
        <f>'Hypothèses'!$E$6</f>
        <v/>
      </c>
      <c r="I7" s="63">
        <f>$D7</f>
        <v/>
      </c>
      <c r="J7" s="63">
        <f>$D7</f>
        <v/>
      </c>
      <c r="K7" s="63">
        <f>$D7</f>
        <v/>
      </c>
      <c r="L7" s="63">
        <f>$D7</f>
        <v/>
      </c>
      <c r="M7" s="63">
        <f>$D7</f>
        <v/>
      </c>
      <c r="N7" s="63">
        <f>$D7</f>
        <v/>
      </c>
      <c r="O7" s="63">
        <f>$D7</f>
        <v/>
      </c>
      <c r="P7" s="63">
        <f>$D7</f>
        <v/>
      </c>
      <c r="Q7" s="63">
        <f>$D7</f>
        <v/>
      </c>
      <c r="R7" s="63">
        <f>$D7</f>
        <v/>
      </c>
      <c r="S7" s="63">
        <f>$D7</f>
        <v/>
      </c>
      <c r="T7" s="63">
        <f>$D7</f>
        <v/>
      </c>
      <c r="U7" s="63">
        <f>$D7</f>
        <v/>
      </c>
      <c r="V7" s="63">
        <f>$D7</f>
        <v/>
      </c>
      <c r="W7" s="63">
        <f>$D7</f>
        <v/>
      </c>
      <c r="X7" s="63">
        <f>$D7</f>
        <v/>
      </c>
      <c r="Y7" s="63">
        <f>$D7</f>
        <v/>
      </c>
      <c r="Z7" s="63">
        <f>$D7</f>
        <v/>
      </c>
      <c r="AA7" s="63">
        <f>$D7</f>
        <v/>
      </c>
      <c r="AB7" s="63">
        <f>$D7</f>
        <v/>
      </c>
      <c r="AC7" s="63">
        <f>$D7</f>
        <v/>
      </c>
      <c r="AD7" s="63">
        <f>$D7</f>
        <v/>
      </c>
      <c r="AE7" s="83">
        <f>IF($G$47&lt;=$H$47,'Hypothèses'!$D$6,'Hypothèses'!$E$6)</f>
        <v/>
      </c>
      <c r="AF7" s="83">
        <f>IF($G$47&gt;$H$47,'Hypothèses'!$D$6,'Hypothèses'!$E$6)</f>
        <v/>
      </c>
    </row>
    <row r="8">
      <c r="A8" s="22" t="inlineStr">
        <is>
          <t>ceEb</t>
        </is>
      </c>
      <c r="B8" s="5" t="inlineStr">
        <is>
          <t>EBITDA de Clean Earth en année pleine</t>
        </is>
      </c>
      <c r="C8" s="22" t="inlineStr">
        <is>
          <t>M USD</t>
        </is>
      </c>
      <c r="D8" s="58">
        <f>'Hypothèses'!$J$7</f>
        <v/>
      </c>
      <c r="E8" s="61">
        <f>$D8</f>
        <v/>
      </c>
      <c r="F8" s="61">
        <f>$D8</f>
        <v/>
      </c>
      <c r="G8" s="61">
        <f>$D8</f>
        <v/>
      </c>
      <c r="H8" s="61">
        <f>$D8</f>
        <v/>
      </c>
      <c r="I8" s="84">
        <f>'Hypothèses'!$D$7</f>
        <v/>
      </c>
      <c r="J8" s="84">
        <f>'Hypothèses'!$E$7</f>
        <v/>
      </c>
      <c r="K8" s="61">
        <f>$D8</f>
        <v/>
      </c>
      <c r="L8" s="61">
        <f>$D8</f>
        <v/>
      </c>
      <c r="M8" s="61">
        <f>$D8</f>
        <v/>
      </c>
      <c r="N8" s="61">
        <f>$D8</f>
        <v/>
      </c>
      <c r="O8" s="61">
        <f>$D8</f>
        <v/>
      </c>
      <c r="P8" s="61">
        <f>$D8</f>
        <v/>
      </c>
      <c r="Q8" s="61">
        <f>$D8</f>
        <v/>
      </c>
      <c r="R8" s="61">
        <f>$D8</f>
        <v/>
      </c>
      <c r="S8" s="61">
        <f>$D8</f>
        <v/>
      </c>
      <c r="T8" s="61">
        <f>$D8</f>
        <v/>
      </c>
      <c r="U8" s="61">
        <f>$D8</f>
        <v/>
      </c>
      <c r="V8" s="61">
        <f>$D8</f>
        <v/>
      </c>
      <c r="W8" s="61">
        <f>$D8</f>
        <v/>
      </c>
      <c r="X8" s="61">
        <f>$D8</f>
        <v/>
      </c>
      <c r="Y8" s="61">
        <f>$D8</f>
        <v/>
      </c>
      <c r="Z8" s="61">
        <f>$D8</f>
        <v/>
      </c>
      <c r="AA8" s="61">
        <f>$D8</f>
        <v/>
      </c>
      <c r="AB8" s="61">
        <f>$D8</f>
        <v/>
      </c>
      <c r="AC8" s="61">
        <f>$D8</f>
        <v/>
      </c>
      <c r="AD8" s="61">
        <f>$D8</f>
        <v/>
      </c>
      <c r="AE8" s="85">
        <f>IF($I$47&lt;=$J$47,'Hypothèses'!$D$7,'Hypothèses'!$E$7)</f>
        <v/>
      </c>
      <c r="AF8" s="85">
        <f>IF($I$47&gt;$J$47,'Hypothèses'!$D$7,'Hypothèses'!$E$7)</f>
        <v/>
      </c>
    </row>
    <row r="9">
      <c r="A9" s="22" t="inlineStr">
        <is>
          <t>syn</t>
        </is>
      </c>
      <c r="B9" s="5" t="inlineStr">
        <is>
          <t>Part des synergies réalisée en 2027</t>
        </is>
      </c>
      <c r="C9" s="22" t="inlineStr">
        <is>
          <t>%</t>
        </is>
      </c>
      <c r="D9" s="69">
        <f>'Hypothèses'!$J$8</f>
        <v/>
      </c>
      <c r="E9" s="63">
        <f>$D9</f>
        <v/>
      </c>
      <c r="F9" s="63">
        <f>$D9</f>
        <v/>
      </c>
      <c r="G9" s="63">
        <f>$D9</f>
        <v/>
      </c>
      <c r="H9" s="63">
        <f>$D9</f>
        <v/>
      </c>
      <c r="I9" s="63">
        <f>$D9</f>
        <v/>
      </c>
      <c r="J9" s="63">
        <f>$D9</f>
        <v/>
      </c>
      <c r="K9" s="82">
        <f>'Hypothèses'!$D$8</f>
        <v/>
      </c>
      <c r="L9" s="82">
        <f>'Hypothèses'!$E$8</f>
        <v/>
      </c>
      <c r="M9" s="63">
        <f>$D9</f>
        <v/>
      </c>
      <c r="N9" s="63">
        <f>$D9</f>
        <v/>
      </c>
      <c r="O9" s="63">
        <f>$D9</f>
        <v/>
      </c>
      <c r="P9" s="63">
        <f>$D9</f>
        <v/>
      </c>
      <c r="Q9" s="63">
        <f>$D9</f>
        <v/>
      </c>
      <c r="R9" s="63">
        <f>$D9</f>
        <v/>
      </c>
      <c r="S9" s="63">
        <f>$D9</f>
        <v/>
      </c>
      <c r="T9" s="63">
        <f>$D9</f>
        <v/>
      </c>
      <c r="U9" s="63">
        <f>$D9</f>
        <v/>
      </c>
      <c r="V9" s="63">
        <f>$D9</f>
        <v/>
      </c>
      <c r="W9" s="63">
        <f>$D9</f>
        <v/>
      </c>
      <c r="X9" s="63">
        <f>$D9</f>
        <v/>
      </c>
      <c r="Y9" s="63">
        <f>$D9</f>
        <v/>
      </c>
      <c r="Z9" s="63">
        <f>$D9</f>
        <v/>
      </c>
      <c r="AA9" s="63">
        <f>$D9</f>
        <v/>
      </c>
      <c r="AB9" s="63">
        <f>$D9</f>
        <v/>
      </c>
      <c r="AC9" s="63">
        <f>$D9</f>
        <v/>
      </c>
      <c r="AD9" s="63">
        <f>$D9</f>
        <v/>
      </c>
      <c r="AE9" s="83">
        <f>IF($K$47&lt;=$L$47,'Hypothèses'!$D$8,'Hypothèses'!$E$8)</f>
        <v/>
      </c>
      <c r="AF9" s="83">
        <f>IF($K$47&gt;$L$47,'Hypothèses'!$D$8,'Hypothèses'!$E$8)</f>
        <v/>
      </c>
    </row>
    <row r="10">
      <c r="A10" s="22" t="inlineStr">
        <is>
          <t>fcfH2</t>
        </is>
      </c>
      <c r="B10" s="5" t="inlineStr">
        <is>
          <t>Cash-flow libre net du S2 2026</t>
        </is>
      </c>
      <c r="C10" s="22" t="inlineStr">
        <is>
          <t>M EUR</t>
        </is>
      </c>
      <c r="D10" s="58">
        <f>'Hypothèses'!$J$9</f>
        <v/>
      </c>
      <c r="E10" s="61">
        <f>$D10</f>
        <v/>
      </c>
      <c r="F10" s="61">
        <f>$D10</f>
        <v/>
      </c>
      <c r="G10" s="61">
        <f>$D10</f>
        <v/>
      </c>
      <c r="H10" s="61">
        <f>$D10</f>
        <v/>
      </c>
      <c r="I10" s="61">
        <f>$D10</f>
        <v/>
      </c>
      <c r="J10" s="61">
        <f>$D10</f>
        <v/>
      </c>
      <c r="K10" s="61">
        <f>$D10</f>
        <v/>
      </c>
      <c r="L10" s="61">
        <f>$D10</f>
        <v/>
      </c>
      <c r="M10" s="84">
        <f>'Hypothèses'!$D$9</f>
        <v/>
      </c>
      <c r="N10" s="84">
        <f>'Hypothèses'!$E$9</f>
        <v/>
      </c>
      <c r="O10" s="61">
        <f>$D10</f>
        <v/>
      </c>
      <c r="P10" s="61">
        <f>$D10</f>
        <v/>
      </c>
      <c r="Q10" s="61">
        <f>$D10</f>
        <v/>
      </c>
      <c r="R10" s="61">
        <f>$D10</f>
        <v/>
      </c>
      <c r="S10" s="61">
        <f>$D10</f>
        <v/>
      </c>
      <c r="T10" s="61">
        <f>$D10</f>
        <v/>
      </c>
      <c r="U10" s="61">
        <f>$D10</f>
        <v/>
      </c>
      <c r="V10" s="61">
        <f>$D10</f>
        <v/>
      </c>
      <c r="W10" s="61">
        <f>$D10</f>
        <v/>
      </c>
      <c r="X10" s="61">
        <f>$D10</f>
        <v/>
      </c>
      <c r="Y10" s="61">
        <f>$D10</f>
        <v/>
      </c>
      <c r="Z10" s="61">
        <f>$D10</f>
        <v/>
      </c>
      <c r="AA10" s="61">
        <f>$D10</f>
        <v/>
      </c>
      <c r="AB10" s="61">
        <f>$D10</f>
        <v/>
      </c>
      <c r="AC10" s="61">
        <f>$D10</f>
        <v/>
      </c>
      <c r="AD10" s="61">
        <f>$D10</f>
        <v/>
      </c>
      <c r="AE10" s="85">
        <f>IF($M$47&lt;=$N$47,'Hypothèses'!$D$9,'Hypothèses'!$E$9)</f>
        <v/>
      </c>
      <c r="AF10" s="85">
        <f>IF($M$47&gt;$N$47,'Hypothèses'!$D$9,'Hypothèses'!$E$9)</f>
        <v/>
      </c>
    </row>
    <row r="11">
      <c r="A11" s="22" t="inlineStr">
        <is>
          <t>conv</t>
        </is>
      </c>
      <c r="B11" s="5" t="inlineStr">
        <is>
          <t>Conversion cash-flow libre net / EBITDA en 2027</t>
        </is>
      </c>
      <c r="C11" s="22" t="inlineStr">
        <is>
          <t>%</t>
        </is>
      </c>
      <c r="D11" s="69">
        <f>'Hypothèses'!$J$10</f>
        <v/>
      </c>
      <c r="E11" s="63">
        <f>$D11</f>
        <v/>
      </c>
      <c r="F11" s="63">
        <f>$D11</f>
        <v/>
      </c>
      <c r="G11" s="63">
        <f>$D11</f>
        <v/>
      </c>
      <c r="H11" s="63">
        <f>$D11</f>
        <v/>
      </c>
      <c r="I11" s="63">
        <f>$D11</f>
        <v/>
      </c>
      <c r="J11" s="63">
        <f>$D11</f>
        <v/>
      </c>
      <c r="K11" s="63">
        <f>$D11</f>
        <v/>
      </c>
      <c r="L11" s="63">
        <f>$D11</f>
        <v/>
      </c>
      <c r="M11" s="63">
        <f>$D11</f>
        <v/>
      </c>
      <c r="N11" s="63">
        <f>$D11</f>
        <v/>
      </c>
      <c r="O11" s="82">
        <f>'Hypothèses'!$D$10</f>
        <v/>
      </c>
      <c r="P11" s="82">
        <f>'Hypothèses'!$E$10</f>
        <v/>
      </c>
      <c r="Q11" s="63">
        <f>$D11</f>
        <v/>
      </c>
      <c r="R11" s="63">
        <f>$D11</f>
        <v/>
      </c>
      <c r="S11" s="63">
        <f>$D11</f>
        <v/>
      </c>
      <c r="T11" s="63">
        <f>$D11</f>
        <v/>
      </c>
      <c r="U11" s="63">
        <f>$D11</f>
        <v/>
      </c>
      <c r="V11" s="63">
        <f>$D11</f>
        <v/>
      </c>
      <c r="W11" s="63">
        <f>$D11</f>
        <v/>
      </c>
      <c r="X11" s="63">
        <f>$D11</f>
        <v/>
      </c>
      <c r="Y11" s="63">
        <f>$D11</f>
        <v/>
      </c>
      <c r="Z11" s="63">
        <f>$D11</f>
        <v/>
      </c>
      <c r="AA11" s="63">
        <f>$D11</f>
        <v/>
      </c>
      <c r="AB11" s="63">
        <f>$D11</f>
        <v/>
      </c>
      <c r="AC11" s="63">
        <f>$D11</f>
        <v/>
      </c>
      <c r="AD11" s="63">
        <f>$D11</f>
        <v/>
      </c>
      <c r="AE11" s="83">
        <f>IF($O$47&lt;=$P$47,'Hypothèses'!$D$10,'Hypothèses'!$E$10)</f>
        <v/>
      </c>
      <c r="AF11" s="83">
        <f>IF($O$47&gt;$P$47,'Hypothèses'!$D$10,'Hypothèses'!$E$10)</f>
        <v/>
      </c>
    </row>
    <row r="12">
      <c r="A12" s="22" t="inlineStr">
        <is>
          <t>gDiv</t>
        </is>
      </c>
      <c r="B12" s="5" t="inlineStr">
        <is>
          <t>Croissance du dividende versé en 2027</t>
        </is>
      </c>
      <c r="C12" s="22" t="inlineStr">
        <is>
          <t>%</t>
        </is>
      </c>
      <c r="D12" s="69">
        <f>'Hypothèses'!$J$11</f>
        <v/>
      </c>
      <c r="E12" s="63">
        <f>$D12</f>
        <v/>
      </c>
      <c r="F12" s="63">
        <f>$D12</f>
        <v/>
      </c>
      <c r="G12" s="63">
        <f>$D12</f>
        <v/>
      </c>
      <c r="H12" s="63">
        <f>$D12</f>
        <v/>
      </c>
      <c r="I12" s="63">
        <f>$D12</f>
        <v/>
      </c>
      <c r="J12" s="63">
        <f>$D12</f>
        <v/>
      </c>
      <c r="K12" s="63">
        <f>$D12</f>
        <v/>
      </c>
      <c r="L12" s="63">
        <f>$D12</f>
        <v/>
      </c>
      <c r="M12" s="63">
        <f>$D12</f>
        <v/>
      </c>
      <c r="N12" s="63">
        <f>$D12</f>
        <v/>
      </c>
      <c r="O12" s="63">
        <f>$D12</f>
        <v/>
      </c>
      <c r="P12" s="63">
        <f>$D12</f>
        <v/>
      </c>
      <c r="Q12" s="82">
        <f>'Hypothèses'!$D$11</f>
        <v/>
      </c>
      <c r="R12" s="82">
        <f>'Hypothèses'!$E$11</f>
        <v/>
      </c>
      <c r="S12" s="63">
        <f>$D12</f>
        <v/>
      </c>
      <c r="T12" s="63">
        <f>$D12</f>
        <v/>
      </c>
      <c r="U12" s="63">
        <f>$D12</f>
        <v/>
      </c>
      <c r="V12" s="63">
        <f>$D12</f>
        <v/>
      </c>
      <c r="W12" s="63">
        <f>$D12</f>
        <v/>
      </c>
      <c r="X12" s="63">
        <f>$D12</f>
        <v/>
      </c>
      <c r="Y12" s="63">
        <f>$D12</f>
        <v/>
      </c>
      <c r="Z12" s="63">
        <f>$D12</f>
        <v/>
      </c>
      <c r="AA12" s="63">
        <f>$D12</f>
        <v/>
      </c>
      <c r="AB12" s="63">
        <f>$D12</f>
        <v/>
      </c>
      <c r="AC12" s="63">
        <f>$D12</f>
        <v/>
      </c>
      <c r="AD12" s="63">
        <f>$D12</f>
        <v/>
      </c>
      <c r="AE12" s="83">
        <f>IF($Q$47&lt;=$R$47,'Hypothèses'!$D$11,'Hypothèses'!$E$11)</f>
        <v/>
      </c>
      <c r="AF12" s="83">
        <f>IF($Q$47&gt;$R$47,'Hypothèses'!$D$11,'Hypothèses'!$E$11)</f>
        <v/>
      </c>
    </row>
    <row r="13">
      <c r="A13" s="22" t="inlineStr">
        <is>
          <t>s26</t>
        </is>
      </c>
      <c r="B13" s="5" t="inlineStr">
        <is>
          <t>Part des signatures 2026 encaissée avant le 31/12/2026</t>
        </is>
      </c>
      <c r="C13" s="22" t="inlineStr">
        <is>
          <t>%</t>
        </is>
      </c>
      <c r="D13" s="69">
        <f>'Hypothèses'!$J$12</f>
        <v/>
      </c>
      <c r="E13" s="63">
        <f>$D13</f>
        <v/>
      </c>
      <c r="F13" s="63">
        <f>$D13</f>
        <v/>
      </c>
      <c r="G13" s="63">
        <f>$D13</f>
        <v/>
      </c>
      <c r="H13" s="63">
        <f>$D13</f>
        <v/>
      </c>
      <c r="I13" s="63">
        <f>$D13</f>
        <v/>
      </c>
      <c r="J13" s="63">
        <f>$D13</f>
        <v/>
      </c>
      <c r="K13" s="63">
        <f>$D13</f>
        <v/>
      </c>
      <c r="L13" s="63">
        <f>$D13</f>
        <v/>
      </c>
      <c r="M13" s="63">
        <f>$D13</f>
        <v/>
      </c>
      <c r="N13" s="63">
        <f>$D13</f>
        <v/>
      </c>
      <c r="O13" s="63">
        <f>$D13</f>
        <v/>
      </c>
      <c r="P13" s="63">
        <f>$D13</f>
        <v/>
      </c>
      <c r="Q13" s="63">
        <f>$D13</f>
        <v/>
      </c>
      <c r="R13" s="63">
        <f>$D13</f>
        <v/>
      </c>
      <c r="S13" s="82">
        <f>'Hypothèses'!$D$12</f>
        <v/>
      </c>
      <c r="T13" s="82">
        <f>'Hypothèses'!$E$12</f>
        <v/>
      </c>
      <c r="U13" s="63">
        <f>$D13</f>
        <v/>
      </c>
      <c r="V13" s="63">
        <f>$D13</f>
        <v/>
      </c>
      <c r="W13" s="63">
        <f>$D13</f>
        <v/>
      </c>
      <c r="X13" s="63">
        <f>$D13</f>
        <v/>
      </c>
      <c r="Y13" s="63">
        <f>$D13</f>
        <v/>
      </c>
      <c r="Z13" s="63">
        <f>$D13</f>
        <v/>
      </c>
      <c r="AA13" s="63">
        <f>$D13</f>
        <v/>
      </c>
      <c r="AB13" s="63">
        <f>$D13</f>
        <v/>
      </c>
      <c r="AC13" s="63">
        <f>$D13</f>
        <v/>
      </c>
      <c r="AD13" s="63">
        <f>$D13</f>
        <v/>
      </c>
      <c r="AE13" s="83">
        <f>IF($S$47&lt;=$T$47,'Hypothèses'!$D$12,'Hypothèses'!$E$12)</f>
        <v/>
      </c>
      <c r="AF13" s="83">
        <f>IF($S$47&gt;$T$47,'Hypothèses'!$D$12,'Hypothèses'!$E$12)</f>
        <v/>
      </c>
    </row>
    <row r="14">
      <c r="A14" s="22" t="inlineStr">
        <is>
          <t>s27</t>
        </is>
      </c>
      <c r="B14" s="5" t="inlineStr">
        <is>
          <t>Part du reste du programme encaissée en 2027</t>
        </is>
      </c>
      <c r="C14" s="22" t="inlineStr">
        <is>
          <t>%</t>
        </is>
      </c>
      <c r="D14" s="69">
        <f>'Hypothèses'!$J$13</f>
        <v/>
      </c>
      <c r="E14" s="63">
        <f>$D14</f>
        <v/>
      </c>
      <c r="F14" s="63">
        <f>$D14</f>
        <v/>
      </c>
      <c r="G14" s="63">
        <f>$D14</f>
        <v/>
      </c>
      <c r="H14" s="63">
        <f>$D14</f>
        <v/>
      </c>
      <c r="I14" s="63">
        <f>$D14</f>
        <v/>
      </c>
      <c r="J14" s="63">
        <f>$D14</f>
        <v/>
      </c>
      <c r="K14" s="63">
        <f>$D14</f>
        <v/>
      </c>
      <c r="L14" s="63">
        <f>$D14</f>
        <v/>
      </c>
      <c r="M14" s="63">
        <f>$D14</f>
        <v/>
      </c>
      <c r="N14" s="63">
        <f>$D14</f>
        <v/>
      </c>
      <c r="O14" s="63">
        <f>$D14</f>
        <v/>
      </c>
      <c r="P14" s="63">
        <f>$D14</f>
        <v/>
      </c>
      <c r="Q14" s="63">
        <f>$D14</f>
        <v/>
      </c>
      <c r="R14" s="63">
        <f>$D14</f>
        <v/>
      </c>
      <c r="S14" s="63">
        <f>$D14</f>
        <v/>
      </c>
      <c r="T14" s="63">
        <f>$D14</f>
        <v/>
      </c>
      <c r="U14" s="82">
        <f>'Hypothèses'!$D$13</f>
        <v/>
      </c>
      <c r="V14" s="82">
        <f>'Hypothèses'!$E$13</f>
        <v/>
      </c>
      <c r="W14" s="63">
        <f>$D14</f>
        <v/>
      </c>
      <c r="X14" s="63">
        <f>$D14</f>
        <v/>
      </c>
      <c r="Y14" s="63">
        <f>$D14</f>
        <v/>
      </c>
      <c r="Z14" s="63">
        <f>$D14</f>
        <v/>
      </c>
      <c r="AA14" s="63">
        <f>$D14</f>
        <v/>
      </c>
      <c r="AB14" s="63">
        <f>$D14</f>
        <v/>
      </c>
      <c r="AC14" s="63">
        <f>$D14</f>
        <v/>
      </c>
      <c r="AD14" s="63">
        <f>$D14</f>
        <v/>
      </c>
      <c r="AE14" s="83">
        <f>IF($U$47&lt;=$V$47,'Hypothèses'!$D$13,'Hypothèses'!$E$13)</f>
        <v/>
      </c>
      <c r="AF14" s="83">
        <f>IF($U$47&gt;$V$47,'Hypothèses'!$D$13,'Hypothèses'!$E$13)</f>
        <v/>
      </c>
    </row>
    <row r="15">
      <c r="A15" s="22" t="inlineStr">
        <is>
          <t>mDisp</t>
        </is>
      </c>
      <c r="B15" s="5" t="inlineStr">
        <is>
          <t>Multiple VE / EBITDA des actifs cédés</t>
        </is>
      </c>
      <c r="C15" s="22" t="inlineStr">
        <is>
          <t>x</t>
        </is>
      </c>
      <c r="D15" s="86">
        <f>'Hypothèses'!$J$14</f>
        <v/>
      </c>
      <c r="E15" s="87">
        <f>$D15</f>
        <v/>
      </c>
      <c r="F15" s="87">
        <f>$D15</f>
        <v/>
      </c>
      <c r="G15" s="87">
        <f>$D15</f>
        <v/>
      </c>
      <c r="H15" s="87">
        <f>$D15</f>
        <v/>
      </c>
      <c r="I15" s="87">
        <f>$D15</f>
        <v/>
      </c>
      <c r="J15" s="87">
        <f>$D15</f>
        <v/>
      </c>
      <c r="K15" s="87">
        <f>$D15</f>
        <v/>
      </c>
      <c r="L15" s="87">
        <f>$D15</f>
        <v/>
      </c>
      <c r="M15" s="87">
        <f>$D15</f>
        <v/>
      </c>
      <c r="N15" s="87">
        <f>$D15</f>
        <v/>
      </c>
      <c r="O15" s="87">
        <f>$D15</f>
        <v/>
      </c>
      <c r="P15" s="87">
        <f>$D15</f>
        <v/>
      </c>
      <c r="Q15" s="87">
        <f>$D15</f>
        <v/>
      </c>
      <c r="R15" s="87">
        <f>$D15</f>
        <v/>
      </c>
      <c r="S15" s="87">
        <f>$D15</f>
        <v/>
      </c>
      <c r="T15" s="87">
        <f>$D15</f>
        <v/>
      </c>
      <c r="U15" s="87">
        <f>$D15</f>
        <v/>
      </c>
      <c r="V15" s="87">
        <f>$D15</f>
        <v/>
      </c>
      <c r="W15" s="88">
        <f>'Hypothèses'!$D$14</f>
        <v/>
      </c>
      <c r="X15" s="88">
        <f>'Hypothèses'!$E$14</f>
        <v/>
      </c>
      <c r="Y15" s="87">
        <f>$D15</f>
        <v/>
      </c>
      <c r="Z15" s="87">
        <f>$D15</f>
        <v/>
      </c>
      <c r="AA15" s="87">
        <f>$D15</f>
        <v/>
      </c>
      <c r="AB15" s="87">
        <f>$D15</f>
        <v/>
      </c>
      <c r="AC15" s="87">
        <f>$D15</f>
        <v/>
      </c>
      <c r="AD15" s="87">
        <f>$D15</f>
        <v/>
      </c>
      <c r="AE15" s="89">
        <f>IF($W$47&lt;=$X$47,'Hypothèses'!$D$14,'Hypothèses'!$E$14)</f>
        <v/>
      </c>
      <c r="AF15" s="89">
        <f>IF($W$47&gt;$X$47,'Hypothèses'!$D$14,'Hypothèses'!$E$14)</f>
        <v/>
      </c>
    </row>
    <row r="16">
      <c r="A16" s="22" t="inlineStr">
        <is>
          <t>tuck</t>
        </is>
      </c>
      <c r="B16" s="5" t="inlineStr">
        <is>
          <t>Tuck-ins payés en 2027</t>
        </is>
      </c>
      <c r="C16" s="22" t="inlineStr">
        <is>
          <t>Md EUR</t>
        </is>
      </c>
      <c r="D16" s="75">
        <f>'Hypothèses'!$J$15</f>
        <v/>
      </c>
      <c r="E16" s="76">
        <f>$D16</f>
        <v/>
      </c>
      <c r="F16" s="76">
        <f>$D16</f>
        <v/>
      </c>
      <c r="G16" s="76">
        <f>$D16</f>
        <v/>
      </c>
      <c r="H16" s="76">
        <f>$D16</f>
        <v/>
      </c>
      <c r="I16" s="76">
        <f>$D16</f>
        <v/>
      </c>
      <c r="J16" s="76">
        <f>$D16</f>
        <v/>
      </c>
      <c r="K16" s="76">
        <f>$D16</f>
        <v/>
      </c>
      <c r="L16" s="76">
        <f>$D16</f>
        <v/>
      </c>
      <c r="M16" s="76">
        <f>$D16</f>
        <v/>
      </c>
      <c r="N16" s="76">
        <f>$D16</f>
        <v/>
      </c>
      <c r="O16" s="76">
        <f>$D16</f>
        <v/>
      </c>
      <c r="P16" s="76">
        <f>$D16</f>
        <v/>
      </c>
      <c r="Q16" s="76">
        <f>$D16</f>
        <v/>
      </c>
      <c r="R16" s="76">
        <f>$D16</f>
        <v/>
      </c>
      <c r="S16" s="76">
        <f>$D16</f>
        <v/>
      </c>
      <c r="T16" s="76">
        <f>$D16</f>
        <v/>
      </c>
      <c r="U16" s="76">
        <f>$D16</f>
        <v/>
      </c>
      <c r="V16" s="76">
        <f>$D16</f>
        <v/>
      </c>
      <c r="W16" s="76">
        <f>$D16</f>
        <v/>
      </c>
      <c r="X16" s="76">
        <f>$D16</f>
        <v/>
      </c>
      <c r="Y16" s="90">
        <f>'Hypothèses'!$D$15</f>
        <v/>
      </c>
      <c r="Z16" s="90">
        <f>'Hypothèses'!$E$15</f>
        <v/>
      </c>
      <c r="AA16" s="76">
        <f>$D16</f>
        <v/>
      </c>
      <c r="AB16" s="76">
        <f>$D16</f>
        <v/>
      </c>
      <c r="AC16" s="76">
        <f>$D16</f>
        <v/>
      </c>
      <c r="AD16" s="76">
        <f>$D16</f>
        <v/>
      </c>
      <c r="AE16" s="91">
        <f>IF($Y$47&lt;=$Z$47,'Hypothèses'!$D$15,'Hypothèses'!$E$15)</f>
        <v/>
      </c>
      <c r="AF16" s="91">
        <f>IF($Y$47&gt;$Z$47,'Hypothèses'!$D$15,'Hypothèses'!$E$15)</f>
        <v/>
      </c>
    </row>
    <row r="17">
      <c r="A17" s="22" t="inlineStr">
        <is>
          <t>ffo</t>
        </is>
      </c>
      <c r="B17" s="5" t="inlineStr">
        <is>
          <t>FFO (mesure des agences) en % de l'EBITDA</t>
        </is>
      </c>
      <c r="C17" s="22" t="inlineStr">
        <is>
          <t>%</t>
        </is>
      </c>
      <c r="D17" s="69">
        <f>'Hypothèses'!$J$16</f>
        <v/>
      </c>
      <c r="E17" s="63">
        <f>$D17</f>
        <v/>
      </c>
      <c r="F17" s="63">
        <f>$D17</f>
        <v/>
      </c>
      <c r="G17" s="63">
        <f>$D17</f>
        <v/>
      </c>
      <c r="H17" s="63">
        <f>$D17</f>
        <v/>
      </c>
      <c r="I17" s="63">
        <f>$D17</f>
        <v/>
      </c>
      <c r="J17" s="63">
        <f>$D17</f>
        <v/>
      </c>
      <c r="K17" s="63">
        <f>$D17</f>
        <v/>
      </c>
      <c r="L17" s="63">
        <f>$D17</f>
        <v/>
      </c>
      <c r="M17" s="63">
        <f>$D17</f>
        <v/>
      </c>
      <c r="N17" s="63">
        <f>$D17</f>
        <v/>
      </c>
      <c r="O17" s="63">
        <f>$D17</f>
        <v/>
      </c>
      <c r="P17" s="63">
        <f>$D17</f>
        <v/>
      </c>
      <c r="Q17" s="63">
        <f>$D17</f>
        <v/>
      </c>
      <c r="R17" s="63">
        <f>$D17</f>
        <v/>
      </c>
      <c r="S17" s="63">
        <f>$D17</f>
        <v/>
      </c>
      <c r="T17" s="63">
        <f>$D17</f>
        <v/>
      </c>
      <c r="U17" s="63">
        <f>$D17</f>
        <v/>
      </c>
      <c r="V17" s="63">
        <f>$D17</f>
        <v/>
      </c>
      <c r="W17" s="63">
        <f>$D17</f>
        <v/>
      </c>
      <c r="X17" s="63">
        <f>$D17</f>
        <v/>
      </c>
      <c r="Y17" s="63">
        <f>$D17</f>
        <v/>
      </c>
      <c r="Z17" s="63">
        <f>$D17</f>
        <v/>
      </c>
      <c r="AA17" s="82">
        <f>'Hypothèses'!$D$16</f>
        <v/>
      </c>
      <c r="AB17" s="82">
        <f>'Hypothèses'!$E$16</f>
        <v/>
      </c>
      <c r="AC17" s="63">
        <f>$D17</f>
        <v/>
      </c>
      <c r="AD17" s="63">
        <f>$D17</f>
        <v/>
      </c>
      <c r="AE17" s="83">
        <f>IF($AA$47&lt;=$AB$47,'Hypothèses'!$D$16,'Hypothèses'!$E$16)</f>
        <v/>
      </c>
      <c r="AF17" s="83">
        <f>IF($AA$47&gt;$AB$47,'Hypothèses'!$D$16,'Hypothèses'!$E$16)</f>
        <v/>
      </c>
    </row>
    <row r="18">
      <c r="A18" s="22" t="inlineStr">
        <is>
          <t>mTuck</t>
        </is>
      </c>
      <c r="B18" s="5" t="inlineStr">
        <is>
          <t>Multiple VE / EBITDA des tuck-ins</t>
        </is>
      </c>
      <c r="C18" s="22" t="inlineStr">
        <is>
          <t>x</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c r="A19" s="22" t="inlineStr">
        <is>
          <t>fx</t>
        </is>
      </c>
      <c r="B19" s="5" t="inlineStr">
        <is>
          <t>Change USD par EUR</t>
        </is>
      </c>
      <c r="C19" s="22" t="inlineStr">
        <is>
          <t>USD/EUR</t>
        </is>
      </c>
      <c r="D19" s="92">
        <f>'Hypothèses'!$J$19</f>
        <v/>
      </c>
      <c r="E19" s="93">
        <f>$D19</f>
        <v/>
      </c>
      <c r="F19" s="93">
        <f>$D19</f>
        <v/>
      </c>
      <c r="G19" s="93">
        <f>$D19</f>
        <v/>
      </c>
      <c r="H19" s="93">
        <f>$D19</f>
        <v/>
      </c>
      <c r="I19" s="93">
        <f>$D19</f>
        <v/>
      </c>
      <c r="J19" s="93">
        <f>$D19</f>
        <v/>
      </c>
      <c r="K19" s="93">
        <f>$D19</f>
        <v/>
      </c>
      <c r="L19" s="93">
        <f>$D19</f>
        <v/>
      </c>
      <c r="M19" s="93">
        <f>$D19</f>
        <v/>
      </c>
      <c r="N19" s="93">
        <f>$D19</f>
        <v/>
      </c>
      <c r="O19" s="93">
        <f>$D19</f>
        <v/>
      </c>
      <c r="P19" s="93">
        <f>$D19</f>
        <v/>
      </c>
      <c r="Q19" s="93">
        <f>$D19</f>
        <v/>
      </c>
      <c r="R19" s="93">
        <f>$D19</f>
        <v/>
      </c>
      <c r="S19" s="93">
        <f>$D19</f>
        <v/>
      </c>
      <c r="T19" s="93">
        <f>$D19</f>
        <v/>
      </c>
      <c r="U19" s="93">
        <f>$D19</f>
        <v/>
      </c>
      <c r="V19" s="93">
        <f>$D19</f>
        <v/>
      </c>
      <c r="W19" s="93">
        <f>$D19</f>
        <v/>
      </c>
      <c r="X19" s="93">
        <f>$D19</f>
        <v/>
      </c>
      <c r="Y19" s="93">
        <f>$D19</f>
        <v/>
      </c>
      <c r="Z19" s="93">
        <f>$D19</f>
        <v/>
      </c>
      <c r="AA19" s="93">
        <f>$D19</f>
        <v/>
      </c>
      <c r="AB19" s="93">
        <f>$D19</f>
        <v/>
      </c>
      <c r="AC19" s="93">
        <f>$D19</f>
        <v/>
      </c>
      <c r="AD19" s="93">
        <f>$D19</f>
        <v/>
      </c>
      <c r="AE19" s="93">
        <f>$D19</f>
        <v/>
      </c>
      <c r="AF19" s="93">
        <f>$D19</f>
        <v/>
      </c>
    </row>
    <row r="20">
      <c r="A20" s="22" t="inlineStr">
        <is>
          <t>minDiv</t>
        </is>
      </c>
      <c r="B20" s="5" t="inlineStr">
        <is>
          <t>Dividendes versés aux minoritaires en 2027</t>
        </is>
      </c>
      <c r="C20" s="22" t="inlineStr">
        <is>
          <t>M EUR</t>
        </is>
      </c>
      <c r="D20" s="58">
        <f>'Hypothèses'!$J$20</f>
        <v/>
      </c>
      <c r="E20" s="61">
        <f>$D20</f>
        <v/>
      </c>
      <c r="F20" s="61">
        <f>$D20</f>
        <v/>
      </c>
      <c r="G20" s="61">
        <f>$D20</f>
        <v/>
      </c>
      <c r="H20" s="61">
        <f>$D20</f>
        <v/>
      </c>
      <c r="I20" s="61">
        <f>$D20</f>
        <v/>
      </c>
      <c r="J20" s="61">
        <f>$D20</f>
        <v/>
      </c>
      <c r="K20" s="61">
        <f>$D20</f>
        <v/>
      </c>
      <c r="L20" s="61">
        <f>$D20</f>
        <v/>
      </c>
      <c r="M20" s="61">
        <f>$D20</f>
        <v/>
      </c>
      <c r="N20" s="61">
        <f>$D20</f>
        <v/>
      </c>
      <c r="O20" s="61">
        <f>$D20</f>
        <v/>
      </c>
      <c r="P20" s="61">
        <f>$D20</f>
        <v/>
      </c>
      <c r="Q20" s="61">
        <f>$D20</f>
        <v/>
      </c>
      <c r="R20" s="61">
        <f>$D20</f>
        <v/>
      </c>
      <c r="S20" s="61">
        <f>$D20</f>
        <v/>
      </c>
      <c r="T20" s="61">
        <f>$D20</f>
        <v/>
      </c>
      <c r="U20" s="61">
        <f>$D20</f>
        <v/>
      </c>
      <c r="V20" s="61">
        <f>$D20</f>
        <v/>
      </c>
      <c r="W20" s="61">
        <f>$D20</f>
        <v/>
      </c>
      <c r="X20" s="61">
        <f>$D20</f>
        <v/>
      </c>
      <c r="Y20" s="61">
        <f>$D20</f>
        <v/>
      </c>
      <c r="Z20" s="61">
        <f>$D20</f>
        <v/>
      </c>
      <c r="AA20" s="61">
        <f>$D20</f>
        <v/>
      </c>
      <c r="AB20" s="61">
        <f>$D20</f>
        <v/>
      </c>
      <c r="AC20" s="61">
        <f>$D20</f>
        <v/>
      </c>
      <c r="AD20" s="61">
        <f>$D20</f>
        <v/>
      </c>
      <c r="AE20" s="61">
        <f>$D20</f>
        <v/>
      </c>
      <c r="AF20" s="61">
        <f>$D20</f>
        <v/>
      </c>
    </row>
    <row r="21">
      <c r="A21" s="22" t="inlineStr">
        <is>
          <t>mTuck</t>
        </is>
      </c>
      <c r="B21" s="5" t="inlineStr">
        <is>
          <t>Multiple VE / EBITDA des tuck-ins</t>
        </is>
      </c>
      <c r="C21" s="22" t="inlineStr">
        <is>
          <t>x</t>
        </is>
      </c>
      <c r="D21" s="86">
        <f>'Hypothèses'!$J$21</f>
        <v/>
      </c>
      <c r="E21" s="87">
        <f>$D21</f>
        <v/>
      </c>
      <c r="F21" s="87">
        <f>$D21</f>
        <v/>
      </c>
      <c r="G21" s="87">
        <f>$D21</f>
        <v/>
      </c>
      <c r="H21" s="87">
        <f>$D21</f>
        <v/>
      </c>
      <c r="I21" s="87">
        <f>$D21</f>
        <v/>
      </c>
      <c r="J21" s="87">
        <f>$D21</f>
        <v/>
      </c>
      <c r="K21" s="87">
        <f>$D21</f>
        <v/>
      </c>
      <c r="L21" s="87">
        <f>$D21</f>
        <v/>
      </c>
      <c r="M21" s="87">
        <f>$D21</f>
        <v/>
      </c>
      <c r="N21" s="87">
        <f>$D21</f>
        <v/>
      </c>
      <c r="O21" s="87">
        <f>$D21</f>
        <v/>
      </c>
      <c r="P21" s="87">
        <f>$D21</f>
        <v/>
      </c>
      <c r="Q21" s="87">
        <f>$D21</f>
        <v/>
      </c>
      <c r="R21" s="87">
        <f>$D21</f>
        <v/>
      </c>
      <c r="S21" s="87">
        <f>$D21</f>
        <v/>
      </c>
      <c r="T21" s="87">
        <f>$D21</f>
        <v/>
      </c>
      <c r="U21" s="87">
        <f>$D21</f>
        <v/>
      </c>
      <c r="V21" s="87">
        <f>$D21</f>
        <v/>
      </c>
      <c r="W21" s="87">
        <f>$D21</f>
        <v/>
      </c>
      <c r="X21" s="87">
        <f>$D21</f>
        <v/>
      </c>
      <c r="Y21" s="87">
        <f>$D21</f>
        <v/>
      </c>
      <c r="Z21" s="87">
        <f>$D21</f>
        <v/>
      </c>
      <c r="AA21" s="87">
        <f>$D21</f>
        <v/>
      </c>
      <c r="AB21" s="87">
        <f>$D21</f>
        <v/>
      </c>
      <c r="AC21" s="88">
        <f>'Hypothèses'!$D$21</f>
        <v/>
      </c>
      <c r="AD21" s="88">
        <f>'Hypothèses'!$E$21</f>
        <v/>
      </c>
      <c r="AE21" s="89">
        <f>IF($AC$47&lt;=$AD$47,'Hypothèses'!$D$21,'Hypothèses'!$E$21)</f>
        <v/>
      </c>
      <c r="AF21" s="89">
        <f>IF($AC$47&gt;$AD$47,'Hypothèses'!$D$21,'Hypothèses'!$E$21)</f>
        <v/>
      </c>
    </row>
    <row r="22">
      <c r="A22" s="22" t="inlineStr">
        <is>
          <t>tuckH2</t>
        </is>
      </c>
      <c r="B22" s="5" t="inlineStr">
        <is>
          <t>Tuck-ins payés au S2 2026</t>
        </is>
      </c>
      <c r="C22" s="22" t="inlineStr">
        <is>
          <t>Md EUR</t>
        </is>
      </c>
      <c r="D22" s="75">
        <f>'Hypothèses'!$J$22</f>
        <v/>
      </c>
      <c r="E22" s="76">
        <f>$D22</f>
        <v/>
      </c>
      <c r="F22" s="76">
        <f>$D22</f>
        <v/>
      </c>
      <c r="G22" s="76">
        <f>$D22</f>
        <v/>
      </c>
      <c r="H22" s="76">
        <f>$D22</f>
        <v/>
      </c>
      <c r="I22" s="76">
        <f>$D22</f>
        <v/>
      </c>
      <c r="J22" s="76">
        <f>$D22</f>
        <v/>
      </c>
      <c r="K22" s="76">
        <f>$D22</f>
        <v/>
      </c>
      <c r="L22" s="76">
        <f>$D22</f>
        <v/>
      </c>
      <c r="M22" s="76">
        <f>$D22</f>
        <v/>
      </c>
      <c r="N22" s="76">
        <f>$D22</f>
        <v/>
      </c>
      <c r="O22" s="76">
        <f>$D22</f>
        <v/>
      </c>
      <c r="P22" s="76">
        <f>$D22</f>
        <v/>
      </c>
      <c r="Q22" s="76">
        <f>$D22</f>
        <v/>
      </c>
      <c r="R22" s="76">
        <f>$D22</f>
        <v/>
      </c>
      <c r="S22" s="76">
        <f>$D22</f>
        <v/>
      </c>
      <c r="T22" s="76">
        <f>$D22</f>
        <v/>
      </c>
      <c r="U22" s="76">
        <f>$D22</f>
        <v/>
      </c>
      <c r="V22" s="76">
        <f>$D22</f>
        <v/>
      </c>
      <c r="W22" s="76">
        <f>$D22</f>
        <v/>
      </c>
      <c r="X22" s="76">
        <f>$D22</f>
        <v/>
      </c>
      <c r="Y22" s="76">
        <f>$D22</f>
        <v/>
      </c>
      <c r="Z22" s="76">
        <f>$D22</f>
        <v/>
      </c>
      <c r="AA22" s="76">
        <f>$D22</f>
        <v/>
      </c>
      <c r="AB22" s="76">
        <f>$D22</f>
        <v/>
      </c>
      <c r="AC22" s="76">
        <f>$D22</f>
        <v/>
      </c>
      <c r="AD22" s="76">
        <f>$D22</f>
        <v/>
      </c>
      <c r="AE22" s="76">
        <f>$D22</f>
        <v/>
      </c>
      <c r="AF22" s="76">
        <f>$D22</f>
        <v/>
      </c>
    </row>
    <row r="23">
      <c r="A23" s="22" t="inlineStr">
        <is>
          <t>other</t>
        </is>
      </c>
      <c r="B23" s="5" t="inlineStr">
        <is>
          <t>Autres flux de dette par période (change, divers)</t>
        </is>
      </c>
      <c r="C23" s="22" t="inlineStr">
        <is>
          <t>M EUR</t>
        </is>
      </c>
      <c r="D23" s="58">
        <f>'Hypothèses'!$J$23</f>
        <v/>
      </c>
      <c r="E23" s="61">
        <f>$D23</f>
        <v/>
      </c>
      <c r="F23" s="61">
        <f>$D23</f>
        <v/>
      </c>
      <c r="G23" s="61">
        <f>$D23</f>
        <v/>
      </c>
      <c r="H23" s="61">
        <f>$D23</f>
        <v/>
      </c>
      <c r="I23" s="61">
        <f>$D23</f>
        <v/>
      </c>
      <c r="J23" s="61">
        <f>$D23</f>
        <v/>
      </c>
      <c r="K23" s="61">
        <f>$D23</f>
        <v/>
      </c>
      <c r="L23" s="61">
        <f>$D23</f>
        <v/>
      </c>
      <c r="M23" s="61">
        <f>$D23</f>
        <v/>
      </c>
      <c r="N23" s="61">
        <f>$D23</f>
        <v/>
      </c>
      <c r="O23" s="61">
        <f>$D23</f>
        <v/>
      </c>
      <c r="P23" s="61">
        <f>$D23</f>
        <v/>
      </c>
      <c r="Q23" s="61">
        <f>$D23</f>
        <v/>
      </c>
      <c r="R23" s="61">
        <f>$D23</f>
        <v/>
      </c>
      <c r="S23" s="61">
        <f>$D23</f>
        <v/>
      </c>
      <c r="T23" s="61">
        <f>$D23</f>
        <v/>
      </c>
      <c r="U23" s="61">
        <f>$D23</f>
        <v/>
      </c>
      <c r="V23" s="61">
        <f>$D23</f>
        <v/>
      </c>
      <c r="W23" s="61">
        <f>$D23</f>
        <v/>
      </c>
      <c r="X23" s="61">
        <f>$D23</f>
        <v/>
      </c>
      <c r="Y23" s="61">
        <f>$D23</f>
        <v/>
      </c>
      <c r="Z23" s="61">
        <f>$D23</f>
        <v/>
      </c>
      <c r="AA23" s="61">
        <f>$D23</f>
        <v/>
      </c>
      <c r="AB23" s="61">
        <f>$D23</f>
        <v/>
      </c>
      <c r="AC23" s="61">
        <f>$D23</f>
        <v/>
      </c>
      <c r="AD23" s="61">
        <f>$D23</f>
        <v/>
      </c>
      <c r="AE23" s="61">
        <f>$D23</f>
        <v/>
      </c>
      <c r="AF23" s="61">
        <f>$D23</f>
        <v/>
      </c>
    </row>
    <row r="24">
      <c r="A24" s="22" t="inlineStr">
        <is>
          <t>months</t>
        </is>
      </c>
      <c r="B24" s="5" t="inlineStr">
        <is>
          <t>Mois de Clean Earth consolidés en 2026</t>
        </is>
      </c>
      <c r="C24" s="22" t="inlineStr">
        <is>
          <t>mois</t>
        </is>
      </c>
      <c r="D24" s="94">
        <f>'Hypothèses'!$J$24</f>
        <v/>
      </c>
      <c r="E24" s="80">
        <f>$D24</f>
        <v/>
      </c>
      <c r="F24" s="80">
        <f>$D24</f>
        <v/>
      </c>
      <c r="G24" s="80">
        <f>$D24</f>
        <v/>
      </c>
      <c r="H24" s="80">
        <f>$D24</f>
        <v/>
      </c>
      <c r="I24" s="80">
        <f>$D24</f>
        <v/>
      </c>
      <c r="J24" s="80">
        <f>$D24</f>
        <v/>
      </c>
      <c r="K24" s="80">
        <f>$D24</f>
        <v/>
      </c>
      <c r="L24" s="80">
        <f>$D24</f>
        <v/>
      </c>
      <c r="M24" s="80">
        <f>$D24</f>
        <v/>
      </c>
      <c r="N24" s="80">
        <f>$D24</f>
        <v/>
      </c>
      <c r="O24" s="80">
        <f>$D24</f>
        <v/>
      </c>
      <c r="P24" s="80">
        <f>$D24</f>
        <v/>
      </c>
      <c r="Q24" s="80">
        <f>$D24</f>
        <v/>
      </c>
      <c r="R24" s="80">
        <f>$D24</f>
        <v/>
      </c>
      <c r="S24" s="80">
        <f>$D24</f>
        <v/>
      </c>
      <c r="T24" s="80">
        <f>$D24</f>
        <v/>
      </c>
      <c r="U24" s="80">
        <f>$D24</f>
        <v/>
      </c>
      <c r="V24" s="80">
        <f>$D24</f>
        <v/>
      </c>
      <c r="W24" s="80">
        <f>$D24</f>
        <v/>
      </c>
      <c r="X24" s="80">
        <f>$D24</f>
        <v/>
      </c>
      <c r="Y24" s="80">
        <f>$D24</f>
        <v/>
      </c>
      <c r="Z24" s="80">
        <f>$D24</f>
        <v/>
      </c>
      <c r="AA24" s="80">
        <f>$D24</f>
        <v/>
      </c>
      <c r="AB24" s="80">
        <f>$D24</f>
        <v/>
      </c>
      <c r="AC24" s="80">
        <f>$D24</f>
        <v/>
      </c>
      <c r="AD24" s="80">
        <f>$D24</f>
        <v/>
      </c>
      <c r="AE24" s="80">
        <f>$D24</f>
        <v/>
      </c>
      <c r="AF24" s="80">
        <f>$D24</f>
        <v/>
      </c>
    </row>
    <row r="25">
      <c r="A25" s="22" t="inlineStr">
        <is>
          <t>synC</t>
        </is>
      </c>
      <c r="B25" s="5" t="inlineStr">
        <is>
          <t>Coûts de mise en œuvre des synergies décaissés en 2027</t>
        </is>
      </c>
      <c r="C25" s="22" t="inlineStr">
        <is>
          <t>M USD</t>
        </is>
      </c>
      <c r="D25" s="95">
        <f>'Hypothèses'!$J$25</f>
        <v/>
      </c>
      <c r="E25" s="96">
        <f>$D25</f>
        <v/>
      </c>
      <c r="F25" s="96">
        <f>$D25</f>
        <v/>
      </c>
      <c r="G25" s="96">
        <f>$D25</f>
        <v/>
      </c>
      <c r="H25" s="96">
        <f>$D25</f>
        <v/>
      </c>
      <c r="I25" s="96">
        <f>$D25</f>
        <v/>
      </c>
      <c r="J25" s="96">
        <f>$D25</f>
        <v/>
      </c>
      <c r="K25" s="96">
        <f>$D25</f>
        <v/>
      </c>
      <c r="L25" s="96">
        <f>$D25</f>
        <v/>
      </c>
      <c r="M25" s="96">
        <f>$D25</f>
        <v/>
      </c>
      <c r="N25" s="96">
        <f>$D25</f>
        <v/>
      </c>
      <c r="O25" s="96">
        <f>$D25</f>
        <v/>
      </c>
      <c r="P25" s="96">
        <f>$D25</f>
        <v/>
      </c>
      <c r="Q25" s="96">
        <f>$D25</f>
        <v/>
      </c>
      <c r="R25" s="96">
        <f>$D25</f>
        <v/>
      </c>
      <c r="S25" s="96">
        <f>$D25</f>
        <v/>
      </c>
      <c r="T25" s="96">
        <f>$D25</f>
        <v/>
      </c>
      <c r="U25" s="96">
        <f>$D25</f>
        <v/>
      </c>
      <c r="V25" s="96">
        <f>$D25</f>
        <v/>
      </c>
      <c r="W25" s="96">
        <f>$D25</f>
        <v/>
      </c>
      <c r="X25" s="96">
        <f>$D25</f>
        <v/>
      </c>
      <c r="Y25" s="96">
        <f>$D25</f>
        <v/>
      </c>
      <c r="Z25" s="96">
        <f>$D25</f>
        <v/>
      </c>
      <c r="AA25" s="96">
        <f>$D25</f>
        <v/>
      </c>
      <c r="AB25" s="96">
        <f>$D25</f>
        <v/>
      </c>
      <c r="AC25" s="96">
        <f>$D25</f>
        <v/>
      </c>
      <c r="AD25" s="96">
        <f>$D25</f>
        <v/>
      </c>
      <c r="AE25" s="96">
        <f>$D25</f>
        <v/>
      </c>
      <c r="AF25" s="96">
        <f>$D25</f>
        <v/>
      </c>
    </row>
    <row r="26">
      <c r="A26" s="22" t="inlineStr">
        <is>
          <t>cap</t>
        </is>
      </c>
      <c r="B26" s="5" t="inlineStr">
        <is>
          <t>Plafond de levier</t>
        </is>
      </c>
      <c r="C26" s="22" t="inlineStr">
        <is>
          <t>x</t>
        </is>
      </c>
      <c r="D26" s="86">
        <f>'Hypothèses'!$J$26</f>
        <v/>
      </c>
      <c r="E26" s="87">
        <f>$D26</f>
        <v/>
      </c>
      <c r="F26" s="87">
        <f>$D26</f>
        <v/>
      </c>
      <c r="G26" s="87">
        <f>$D26</f>
        <v/>
      </c>
      <c r="H26" s="87">
        <f>$D26</f>
        <v/>
      </c>
      <c r="I26" s="87">
        <f>$D26</f>
        <v/>
      </c>
      <c r="J26" s="87">
        <f>$D26</f>
        <v/>
      </c>
      <c r="K26" s="87">
        <f>$D26</f>
        <v/>
      </c>
      <c r="L26" s="87">
        <f>$D26</f>
        <v/>
      </c>
      <c r="M26" s="87">
        <f>$D26</f>
        <v/>
      </c>
      <c r="N26" s="87">
        <f>$D26</f>
        <v/>
      </c>
      <c r="O26" s="87">
        <f>$D26</f>
        <v/>
      </c>
      <c r="P26" s="87">
        <f>$D26</f>
        <v/>
      </c>
      <c r="Q26" s="87">
        <f>$D26</f>
        <v/>
      </c>
      <c r="R26" s="87">
        <f>$D26</f>
        <v/>
      </c>
      <c r="S26" s="87">
        <f>$D26</f>
        <v/>
      </c>
      <c r="T26" s="87">
        <f>$D26</f>
        <v/>
      </c>
      <c r="U26" s="87">
        <f>$D26</f>
        <v/>
      </c>
      <c r="V26" s="87">
        <f>$D26</f>
        <v/>
      </c>
      <c r="W26" s="87">
        <f>$D26</f>
        <v/>
      </c>
      <c r="X26" s="87">
        <f>$D26</f>
        <v/>
      </c>
      <c r="Y26" s="87">
        <f>$D26</f>
        <v/>
      </c>
      <c r="Z26" s="87">
        <f>$D26</f>
        <v/>
      </c>
      <c r="AA26" s="87">
        <f>$D26</f>
        <v/>
      </c>
      <c r="AB26" s="87">
        <f>$D26</f>
        <v/>
      </c>
      <c r="AC26" s="87">
        <f>$D26</f>
        <v/>
      </c>
      <c r="AD26" s="87">
        <f>$D26</f>
        <v/>
      </c>
      <c r="AE26" s="87">
        <f>$D26</f>
        <v/>
      </c>
      <c r="AF26" s="87">
        <f>$D26</f>
        <v/>
      </c>
    </row>
    <row r="27">
      <c r="A27" s="2" t="n"/>
      <c r="B27" s="20" t="inlineStr">
        <is>
          <t>Calcul</t>
        </is>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c r="A28" s="22" t="inlineStr">
        <is>
          <t>A26</t>
        </is>
      </c>
      <c r="B28" s="5" t="inlineStr">
        <is>
          <t>EBITDA organique 2026 (hors Clean Earth, hors cessions)</t>
        </is>
      </c>
      <c r="C28" s="22" t="inlineStr">
        <is>
          <t>M EUR</t>
        </is>
      </c>
      <c r="D28" s="61">
        <f>'Entrées'!$C$8*(1+D6)</f>
        <v/>
      </c>
      <c r="E28" s="61">
        <f>'Entrées'!$C$8*(1+E6)</f>
        <v/>
      </c>
      <c r="F28" s="61">
        <f>'Entrées'!$C$8*(1+F6)</f>
        <v/>
      </c>
      <c r="G28" s="61">
        <f>'Entrées'!$C$8*(1+G6)</f>
        <v/>
      </c>
      <c r="H28" s="61">
        <f>'Entrées'!$C$8*(1+H6)</f>
        <v/>
      </c>
      <c r="I28" s="61">
        <f>'Entrées'!$C$8*(1+I6)</f>
        <v/>
      </c>
      <c r="J28" s="61">
        <f>'Entrées'!$C$8*(1+J6)</f>
        <v/>
      </c>
      <c r="K28" s="61">
        <f>'Entrées'!$C$8*(1+K6)</f>
        <v/>
      </c>
      <c r="L28" s="61">
        <f>'Entrées'!$C$8*(1+L6)</f>
        <v/>
      </c>
      <c r="M28" s="61">
        <f>'Entrées'!$C$8*(1+M6)</f>
        <v/>
      </c>
      <c r="N28" s="61">
        <f>'Entrées'!$C$8*(1+N6)</f>
        <v/>
      </c>
      <c r="O28" s="61">
        <f>'Entrées'!$C$8*(1+O6)</f>
        <v/>
      </c>
      <c r="P28" s="61">
        <f>'Entrées'!$C$8*(1+P6)</f>
        <v/>
      </c>
      <c r="Q28" s="61">
        <f>'Entrées'!$C$8*(1+Q6)</f>
        <v/>
      </c>
      <c r="R28" s="61">
        <f>'Entrées'!$C$8*(1+R6)</f>
        <v/>
      </c>
      <c r="S28" s="61">
        <f>'Entrées'!$C$8*(1+S6)</f>
        <v/>
      </c>
      <c r="T28" s="61">
        <f>'Entrées'!$C$8*(1+T6)</f>
        <v/>
      </c>
      <c r="U28" s="61">
        <f>'Entrées'!$C$8*(1+U6)</f>
        <v/>
      </c>
      <c r="V28" s="61">
        <f>'Entrées'!$C$8*(1+V6)</f>
        <v/>
      </c>
      <c r="W28" s="61">
        <f>'Entrées'!$C$8*(1+W6)</f>
        <v/>
      </c>
      <c r="X28" s="61">
        <f>'Entrées'!$C$8*(1+X6)</f>
        <v/>
      </c>
      <c r="Y28" s="61">
        <f>'Entrées'!$C$8*(1+Y6)</f>
        <v/>
      </c>
      <c r="Z28" s="61">
        <f>'Entrées'!$C$8*(1+Z6)</f>
        <v/>
      </c>
      <c r="AA28" s="61">
        <f>'Entrées'!$C$8*(1+AA6)</f>
        <v/>
      </c>
      <c r="AB28" s="61">
        <f>'Entrées'!$C$8*(1+AB6)</f>
        <v/>
      </c>
      <c r="AC28" s="61">
        <f>'Entrées'!$C$8*(1+AC6)</f>
        <v/>
      </c>
      <c r="AD28" s="61">
        <f>'Entrées'!$C$8*(1+AD6)</f>
        <v/>
      </c>
      <c r="AE28" s="61">
        <f>'Entrées'!$C$8*(1+AE6)</f>
        <v/>
      </c>
      <c r="AF28" s="61">
        <f>'Entrées'!$C$8*(1+AF6)</f>
        <v/>
      </c>
    </row>
    <row r="29">
      <c r="A29" s="22" t="inlineStr">
        <is>
          <t>CE26</t>
        </is>
      </c>
      <c r="B29" s="5" t="inlineStr">
        <is>
          <t>Clean Earth en 2026 (mois consolidés)</t>
        </is>
      </c>
      <c r="C29" s="22" t="inlineStr">
        <is>
          <t>M EUR</t>
        </is>
      </c>
      <c r="D29" s="61">
        <f>D8*D24/12/D19</f>
        <v/>
      </c>
      <c r="E29" s="61">
        <f>E8*E24/12/E19</f>
        <v/>
      </c>
      <c r="F29" s="61">
        <f>F8*F24/12/F19</f>
        <v/>
      </c>
      <c r="G29" s="61">
        <f>G8*G24/12/G19</f>
        <v/>
      </c>
      <c r="H29" s="61">
        <f>H8*H24/12/H19</f>
        <v/>
      </c>
      <c r="I29" s="61">
        <f>I8*I24/12/I19</f>
        <v/>
      </c>
      <c r="J29" s="61">
        <f>J8*J24/12/J19</f>
        <v/>
      </c>
      <c r="K29" s="61">
        <f>K8*K24/12/K19</f>
        <v/>
      </c>
      <c r="L29" s="61">
        <f>L8*L24/12/L19</f>
        <v/>
      </c>
      <c r="M29" s="61">
        <f>M8*M24/12/M19</f>
        <v/>
      </c>
      <c r="N29" s="61">
        <f>N8*N24/12/N19</f>
        <v/>
      </c>
      <c r="O29" s="61">
        <f>O8*O24/12/O19</f>
        <v/>
      </c>
      <c r="P29" s="61">
        <f>P8*P24/12/P19</f>
        <v/>
      </c>
      <c r="Q29" s="61">
        <f>Q8*Q24/12/Q19</f>
        <v/>
      </c>
      <c r="R29" s="61">
        <f>R8*R24/12/R19</f>
        <v/>
      </c>
      <c r="S29" s="61">
        <f>S8*S24/12/S19</f>
        <v/>
      </c>
      <c r="T29" s="61">
        <f>T8*T24/12/T19</f>
        <v/>
      </c>
      <c r="U29" s="61">
        <f>U8*U24/12/U19</f>
        <v/>
      </c>
      <c r="V29" s="61">
        <f>V8*V24/12/V19</f>
        <v/>
      </c>
      <c r="W29" s="61">
        <f>W8*W24/12/W19</f>
        <v/>
      </c>
      <c r="X29" s="61">
        <f>X8*X24/12/X19</f>
        <v/>
      </c>
      <c r="Y29" s="61">
        <f>Y8*Y24/12/Y19</f>
        <v/>
      </c>
      <c r="Z29" s="61">
        <f>Z8*Z24/12/Z19</f>
        <v/>
      </c>
      <c r="AA29" s="61">
        <f>AA8*AA24/12/AA19</f>
        <v/>
      </c>
      <c r="AB29" s="61">
        <f>AB8*AB24/12/AB19</f>
        <v/>
      </c>
      <c r="AC29" s="61">
        <f>AC8*AC24/12/AC19</f>
        <v/>
      </c>
      <c r="AD29" s="61">
        <f>AD8*AD24/12/AD19</f>
        <v/>
      </c>
      <c r="AE29" s="61">
        <f>AE8*AE24/12/AE19</f>
        <v/>
      </c>
      <c r="AF29" s="61">
        <f>AF8*AF24/12/AF19</f>
        <v/>
      </c>
    </row>
    <row r="30">
      <c r="A30" s="22" t="inlineStr">
        <is>
          <t>D26</t>
        </is>
      </c>
      <c r="B30" s="5" t="inlineStr">
        <is>
          <t>Cessions encaissées au S2 2026</t>
        </is>
      </c>
      <c r="C30" s="22" t="inlineStr">
        <is>
          <t>M EUR</t>
        </is>
      </c>
      <c r="D30" s="61">
        <f>'Entrées'!$C$36*D13*1000</f>
        <v/>
      </c>
      <c r="E30" s="61">
        <f>'Entrées'!$C$36*E13*1000</f>
        <v/>
      </c>
      <c r="F30" s="61">
        <f>'Entrées'!$C$36*F13*1000</f>
        <v/>
      </c>
      <c r="G30" s="61">
        <f>'Entrées'!$C$36*G13*1000</f>
        <v/>
      </c>
      <c r="H30" s="61">
        <f>'Entrées'!$C$36*H13*1000</f>
        <v/>
      </c>
      <c r="I30" s="61">
        <f>'Entrées'!$C$36*I13*1000</f>
        <v/>
      </c>
      <c r="J30" s="61">
        <f>'Entrées'!$C$36*J13*1000</f>
        <v/>
      </c>
      <c r="K30" s="61">
        <f>'Entrées'!$C$36*K13*1000</f>
        <v/>
      </c>
      <c r="L30" s="61">
        <f>'Entrées'!$C$36*L13*1000</f>
        <v/>
      </c>
      <c r="M30" s="61">
        <f>'Entrées'!$C$36*M13*1000</f>
        <v/>
      </c>
      <c r="N30" s="61">
        <f>'Entrées'!$C$36*N13*1000</f>
        <v/>
      </c>
      <c r="O30" s="61">
        <f>'Entrées'!$C$36*O13*1000</f>
        <v/>
      </c>
      <c r="P30" s="61">
        <f>'Entrées'!$C$36*P13*1000</f>
        <v/>
      </c>
      <c r="Q30" s="61">
        <f>'Entrées'!$C$36*Q13*1000</f>
        <v/>
      </c>
      <c r="R30" s="61">
        <f>'Entrées'!$C$36*R13*1000</f>
        <v/>
      </c>
      <c r="S30" s="61">
        <f>'Entrées'!$C$36*S13*1000</f>
        <v/>
      </c>
      <c r="T30" s="61">
        <f>'Entrées'!$C$36*T13*1000</f>
        <v/>
      </c>
      <c r="U30" s="61">
        <f>'Entrées'!$C$36*U13*1000</f>
        <v/>
      </c>
      <c r="V30" s="61">
        <f>'Entrées'!$C$36*V13*1000</f>
        <v/>
      </c>
      <c r="W30" s="61">
        <f>'Entrées'!$C$36*W13*1000</f>
        <v/>
      </c>
      <c r="X30" s="61">
        <f>'Entrées'!$C$36*X13*1000</f>
        <v/>
      </c>
      <c r="Y30" s="61">
        <f>'Entrées'!$C$36*Y13*1000</f>
        <v/>
      </c>
      <c r="Z30" s="61">
        <f>'Entrées'!$C$36*Z13*1000</f>
        <v/>
      </c>
      <c r="AA30" s="61">
        <f>'Entrées'!$C$36*AA13*1000</f>
        <v/>
      </c>
      <c r="AB30" s="61">
        <f>'Entrées'!$C$36*AB13*1000</f>
        <v/>
      </c>
      <c r="AC30" s="61">
        <f>'Entrées'!$C$36*AC13*1000</f>
        <v/>
      </c>
      <c r="AD30" s="61">
        <f>'Entrées'!$C$36*AD13*1000</f>
        <v/>
      </c>
      <c r="AE30" s="61">
        <f>'Entrées'!$C$36*AE13*1000</f>
        <v/>
      </c>
      <c r="AF30" s="61">
        <f>'Entrées'!$C$36*AF13*1000</f>
        <v/>
      </c>
    </row>
    <row r="31">
      <c r="A31" s="22" t="inlineStr">
        <is>
          <t>DE26</t>
        </is>
      </c>
      <c r="B31" s="5" t="inlineStr">
        <is>
          <t>EBITDA cédé en 2026 (année pleine, prudent)</t>
        </is>
      </c>
      <c r="C31" s="22" t="inlineStr">
        <is>
          <t>M EUR</t>
        </is>
      </c>
      <c r="D31" s="61">
        <f>-D30/D15</f>
        <v/>
      </c>
      <c r="E31" s="61">
        <f>-E30/E15</f>
        <v/>
      </c>
      <c r="F31" s="61">
        <f>-F30/F15</f>
        <v/>
      </c>
      <c r="G31" s="61">
        <f>-G30/G15</f>
        <v/>
      </c>
      <c r="H31" s="61">
        <f>-H30/H15</f>
        <v/>
      </c>
      <c r="I31" s="61">
        <f>-I30/I15</f>
        <v/>
      </c>
      <c r="J31" s="61">
        <f>-J30/J15</f>
        <v/>
      </c>
      <c r="K31" s="61">
        <f>-K30/K15</f>
        <v/>
      </c>
      <c r="L31" s="61">
        <f>-L30/L15</f>
        <v/>
      </c>
      <c r="M31" s="61">
        <f>-M30/M15</f>
        <v/>
      </c>
      <c r="N31" s="61">
        <f>-N30/N15</f>
        <v/>
      </c>
      <c r="O31" s="61">
        <f>-O30/O15</f>
        <v/>
      </c>
      <c r="P31" s="61">
        <f>-P30/P15</f>
        <v/>
      </c>
      <c r="Q31" s="61">
        <f>-Q30/Q15</f>
        <v/>
      </c>
      <c r="R31" s="61">
        <f>-R30/R15</f>
        <v/>
      </c>
      <c r="S31" s="61">
        <f>-S30/S15</f>
        <v/>
      </c>
      <c r="T31" s="61">
        <f>-T30/T15</f>
        <v/>
      </c>
      <c r="U31" s="61">
        <f>-U30/U15</f>
        <v/>
      </c>
      <c r="V31" s="61">
        <f>-V30/V15</f>
        <v/>
      </c>
      <c r="W31" s="61">
        <f>-W30/W15</f>
        <v/>
      </c>
      <c r="X31" s="61">
        <f>-X30/X15</f>
        <v/>
      </c>
      <c r="Y31" s="61">
        <f>-Y30/Y15</f>
        <v/>
      </c>
      <c r="Z31" s="61">
        <f>-Z30/Z15</f>
        <v/>
      </c>
      <c r="AA31" s="61">
        <f>-AA30/AA15</f>
        <v/>
      </c>
      <c r="AB31" s="61">
        <f>-AB30/AB15</f>
        <v/>
      </c>
      <c r="AC31" s="61">
        <f>-AC30/AC15</f>
        <v/>
      </c>
      <c r="AD31" s="61">
        <f>-AD30/AD15</f>
        <v/>
      </c>
      <c r="AE31" s="61">
        <f>-AE30/AE15</f>
        <v/>
      </c>
      <c r="AF31" s="61">
        <f>-AF30/AF15</f>
        <v/>
      </c>
    </row>
    <row r="32">
      <c r="A32" s="22" t="inlineStr">
        <is>
          <t>EB26</t>
        </is>
      </c>
      <c r="B32" s="20" t="inlineStr">
        <is>
          <t>EBITDA 2026</t>
        </is>
      </c>
      <c r="C32" s="22" t="inlineStr">
        <is>
          <t>M EUR</t>
        </is>
      </c>
      <c r="D32" s="67">
        <f>D28+D29+D31</f>
        <v/>
      </c>
      <c r="E32" s="67">
        <f>E28+E29+E31</f>
        <v/>
      </c>
      <c r="F32" s="67">
        <f>F28+F29+F31</f>
        <v/>
      </c>
      <c r="G32" s="67">
        <f>G28+G29+G31</f>
        <v/>
      </c>
      <c r="H32" s="67">
        <f>H28+H29+H31</f>
        <v/>
      </c>
      <c r="I32" s="67">
        <f>I28+I29+I31</f>
        <v/>
      </c>
      <c r="J32" s="67">
        <f>J28+J29+J31</f>
        <v/>
      </c>
      <c r="K32" s="67">
        <f>K28+K29+K31</f>
        <v/>
      </c>
      <c r="L32" s="67">
        <f>L28+L29+L31</f>
        <v/>
      </c>
      <c r="M32" s="67">
        <f>M28+M29+M31</f>
        <v/>
      </c>
      <c r="N32" s="67">
        <f>N28+N29+N31</f>
        <v/>
      </c>
      <c r="O32" s="67">
        <f>O28+O29+O31</f>
        <v/>
      </c>
      <c r="P32" s="67">
        <f>P28+P29+P31</f>
        <v/>
      </c>
      <c r="Q32" s="67">
        <f>Q28+Q29+Q31</f>
        <v/>
      </c>
      <c r="R32" s="67">
        <f>R28+R29+R31</f>
        <v/>
      </c>
      <c r="S32" s="67">
        <f>S28+S29+S31</f>
        <v/>
      </c>
      <c r="T32" s="67">
        <f>T28+T29+T31</f>
        <v/>
      </c>
      <c r="U32" s="67">
        <f>U28+U29+U31</f>
        <v/>
      </c>
      <c r="V32" s="67">
        <f>V28+V29+V31</f>
        <v/>
      </c>
      <c r="W32" s="67">
        <f>W28+W29+W31</f>
        <v/>
      </c>
      <c r="X32" s="67">
        <f>X28+X29+X31</f>
        <v/>
      </c>
      <c r="Y32" s="67">
        <f>Y28+Y29+Y31</f>
        <v/>
      </c>
      <c r="Z32" s="67">
        <f>Z28+Z29+Z31</f>
        <v/>
      </c>
      <c r="AA32" s="67">
        <f>AA28+AA29+AA31</f>
        <v/>
      </c>
      <c r="AB32" s="67">
        <f>AB28+AB29+AB31</f>
        <v/>
      </c>
      <c r="AC32" s="67">
        <f>AC28+AC29+AC31</f>
        <v/>
      </c>
      <c r="AD32" s="67">
        <f>AD28+AD29+AD31</f>
        <v/>
      </c>
      <c r="AE32" s="67">
        <f>AE28+AE29+AE31</f>
        <v/>
      </c>
      <c r="AF32" s="67">
        <f>AF28+AF29+AF31</f>
        <v/>
      </c>
    </row>
    <row r="33">
      <c r="A33" s="22" t="inlineStr">
        <is>
          <t>NFD26</t>
        </is>
      </c>
      <c r="B33" s="20" t="inlineStr">
        <is>
          <t>Dette financière nette au 31/12/2026</t>
        </is>
      </c>
      <c r="C33" s="22" t="inlineStr">
        <is>
          <t>M EUR</t>
        </is>
      </c>
      <c r="D33" s="97">
        <f>'Entrées'!$C$16-D10+D22*1000-D30+D23</f>
        <v/>
      </c>
      <c r="E33" s="97">
        <f>'Entrées'!$C$16-E10+E22*1000-E30+E23</f>
        <v/>
      </c>
      <c r="F33" s="97">
        <f>'Entrées'!$C$16-F10+F22*1000-F30+F23</f>
        <v/>
      </c>
      <c r="G33" s="97">
        <f>'Entrées'!$C$16-G10+G22*1000-G30+G23</f>
        <v/>
      </c>
      <c r="H33" s="97">
        <f>'Entrées'!$C$16-H10+H22*1000-H30+H23</f>
        <v/>
      </c>
      <c r="I33" s="97">
        <f>'Entrées'!$C$16-I10+I22*1000-I30+I23</f>
        <v/>
      </c>
      <c r="J33" s="97">
        <f>'Entrées'!$C$16-J10+J22*1000-J30+J23</f>
        <v/>
      </c>
      <c r="K33" s="97">
        <f>'Entrées'!$C$16-K10+K22*1000-K30+K23</f>
        <v/>
      </c>
      <c r="L33" s="97">
        <f>'Entrées'!$C$16-L10+L22*1000-L30+L23</f>
        <v/>
      </c>
      <c r="M33" s="97">
        <f>'Entrées'!$C$16-M10+M22*1000-M30+M23</f>
        <v/>
      </c>
      <c r="N33" s="97">
        <f>'Entrées'!$C$16-N10+N22*1000-N30+N23</f>
        <v/>
      </c>
      <c r="O33" s="97">
        <f>'Entrées'!$C$16-O10+O22*1000-O30+O23</f>
        <v/>
      </c>
      <c r="P33" s="97">
        <f>'Entrées'!$C$16-P10+P22*1000-P30+P23</f>
        <v/>
      </c>
      <c r="Q33" s="97">
        <f>'Entrées'!$C$16-Q10+Q22*1000-Q30+Q23</f>
        <v/>
      </c>
      <c r="R33" s="97">
        <f>'Entrées'!$C$16-R10+R22*1000-R30+R23</f>
        <v/>
      </c>
      <c r="S33" s="97">
        <f>'Entrées'!$C$16-S10+S22*1000-S30+S23</f>
        <v/>
      </c>
      <c r="T33" s="97">
        <f>'Entrées'!$C$16-T10+T22*1000-T30+T23</f>
        <v/>
      </c>
      <c r="U33" s="97">
        <f>'Entrées'!$C$16-U10+U22*1000-U30+U23</f>
        <v/>
      </c>
      <c r="V33" s="97">
        <f>'Entrées'!$C$16-V10+V22*1000-V30+V23</f>
        <v/>
      </c>
      <c r="W33" s="97">
        <f>'Entrées'!$C$16-W10+W22*1000-W30+W23</f>
        <v/>
      </c>
      <c r="X33" s="97">
        <f>'Entrées'!$C$16-X10+X22*1000-X30+X23</f>
        <v/>
      </c>
      <c r="Y33" s="97">
        <f>'Entrées'!$C$16-Y10+Y22*1000-Y30+Y23</f>
        <v/>
      </c>
      <c r="Z33" s="97">
        <f>'Entrées'!$C$16-Z10+Z22*1000-Z30+Z23</f>
        <v/>
      </c>
      <c r="AA33" s="97">
        <f>'Entrées'!$C$16-AA10+AA22*1000-AA30+AA23</f>
        <v/>
      </c>
      <c r="AB33" s="97">
        <f>'Entrées'!$C$16-AB10+AB22*1000-AB30+AB23</f>
        <v/>
      </c>
      <c r="AC33" s="97">
        <f>'Entrées'!$C$16-AC10+AC22*1000-AC30+AC23</f>
        <v/>
      </c>
      <c r="AD33" s="97">
        <f>'Entrées'!$C$16-AD10+AD22*1000-AD30+AD23</f>
        <v/>
      </c>
      <c r="AE33" s="97">
        <f>'Entrées'!$C$16-AE10+AE22*1000-AE30+AE23</f>
        <v/>
      </c>
      <c r="AF33" s="97">
        <f>'Entrées'!$C$16-AF10+AF22*1000-AF30+AF23</f>
        <v/>
      </c>
    </row>
    <row r="34">
      <c r="A34" s="22" t="inlineStr">
        <is>
          <t>LEV26</t>
        </is>
      </c>
      <c r="B34" s="20" t="inlineStr">
        <is>
          <t>Levier fin 2026</t>
        </is>
      </c>
      <c r="C34" s="22" t="inlineStr">
        <is>
          <t>x</t>
        </is>
      </c>
      <c r="D34" s="98">
        <f>D33/D32</f>
        <v/>
      </c>
      <c r="E34" s="98">
        <f>E33/E32</f>
        <v/>
      </c>
      <c r="F34" s="98">
        <f>F33/F32</f>
        <v/>
      </c>
      <c r="G34" s="98">
        <f>G33/G32</f>
        <v/>
      </c>
      <c r="H34" s="98">
        <f>H33/H32</f>
        <v/>
      </c>
      <c r="I34" s="98">
        <f>I33/I32</f>
        <v/>
      </c>
      <c r="J34" s="98">
        <f>J33/J32</f>
        <v/>
      </c>
      <c r="K34" s="98">
        <f>K33/K32</f>
        <v/>
      </c>
      <c r="L34" s="98">
        <f>L33/L32</f>
        <v/>
      </c>
      <c r="M34" s="98">
        <f>M33/M32</f>
        <v/>
      </c>
      <c r="N34" s="98">
        <f>N33/N32</f>
        <v/>
      </c>
      <c r="O34" s="98">
        <f>O33/O32</f>
        <v/>
      </c>
      <c r="P34" s="98">
        <f>P33/P32</f>
        <v/>
      </c>
      <c r="Q34" s="98">
        <f>Q33/Q32</f>
        <v/>
      </c>
      <c r="R34" s="98">
        <f>R33/R32</f>
        <v/>
      </c>
      <c r="S34" s="98">
        <f>S33/S32</f>
        <v/>
      </c>
      <c r="T34" s="98">
        <f>T33/T32</f>
        <v/>
      </c>
      <c r="U34" s="98">
        <f>U33/U32</f>
        <v/>
      </c>
      <c r="V34" s="98">
        <f>V33/V32</f>
        <v/>
      </c>
      <c r="W34" s="98">
        <f>W33/W32</f>
        <v/>
      </c>
      <c r="X34" s="98">
        <f>X33/X32</f>
        <v/>
      </c>
      <c r="Y34" s="98">
        <f>Y33/Y32</f>
        <v/>
      </c>
      <c r="Z34" s="98">
        <f>Z33/Z32</f>
        <v/>
      </c>
      <c r="AA34" s="98">
        <f>AA33/AA32</f>
        <v/>
      </c>
      <c r="AB34" s="98">
        <f>AB33/AB32</f>
        <v/>
      </c>
      <c r="AC34" s="98">
        <f>AC33/AC32</f>
        <v/>
      </c>
      <c r="AD34" s="98">
        <f>AD33/AD32</f>
        <v/>
      </c>
      <c r="AE34" s="98">
        <f>AE33/AE32</f>
        <v/>
      </c>
      <c r="AF34" s="98">
        <f>AF33/AF32</f>
        <v/>
      </c>
    </row>
    <row r="35">
      <c r="A35" s="22" t="inlineStr">
        <is>
          <t>LEV26PF</t>
        </is>
      </c>
      <c r="B35" s="5" t="inlineStr">
        <is>
          <t>Levier fin 2026, Clean Earth pro forma 12 mois</t>
        </is>
      </c>
      <c r="C35" s="22" t="inlineStr">
        <is>
          <t>x</t>
        </is>
      </c>
      <c r="D35" s="72">
        <f>D33/(D32+D8*(12-D24)/12/D19)</f>
        <v/>
      </c>
      <c r="E35" s="72">
        <f>E33/(E32+E8*(12-E24)/12/E19)</f>
        <v/>
      </c>
      <c r="F35" s="72">
        <f>F33/(F32+F8*(12-F24)/12/F19)</f>
        <v/>
      </c>
      <c r="G35" s="72">
        <f>G33/(G32+G8*(12-G24)/12/G19)</f>
        <v/>
      </c>
      <c r="H35" s="72">
        <f>H33/(H32+H8*(12-H24)/12/H19)</f>
        <v/>
      </c>
      <c r="I35" s="72">
        <f>I33/(I32+I8*(12-I24)/12/I19)</f>
        <v/>
      </c>
      <c r="J35" s="72">
        <f>J33/(J32+J8*(12-J24)/12/J19)</f>
        <v/>
      </c>
      <c r="K35" s="72">
        <f>K33/(K32+K8*(12-K24)/12/K19)</f>
        <v/>
      </c>
      <c r="L35" s="72">
        <f>L33/(L32+L8*(12-L24)/12/L19)</f>
        <v/>
      </c>
      <c r="M35" s="72">
        <f>M33/(M32+M8*(12-M24)/12/M19)</f>
        <v/>
      </c>
      <c r="N35" s="72">
        <f>N33/(N32+N8*(12-N24)/12/N19)</f>
        <v/>
      </c>
      <c r="O35" s="72">
        <f>O33/(O32+O8*(12-O24)/12/O19)</f>
        <v/>
      </c>
      <c r="P35" s="72">
        <f>P33/(P32+P8*(12-P24)/12/P19)</f>
        <v/>
      </c>
      <c r="Q35" s="72">
        <f>Q33/(Q32+Q8*(12-Q24)/12/Q19)</f>
        <v/>
      </c>
      <c r="R35" s="72">
        <f>R33/(R32+R8*(12-R24)/12/R19)</f>
        <v/>
      </c>
      <c r="S35" s="72">
        <f>S33/(S32+S8*(12-S24)/12/S19)</f>
        <v/>
      </c>
      <c r="T35" s="72">
        <f>T33/(T32+T8*(12-T24)/12/T19)</f>
        <v/>
      </c>
      <c r="U35" s="72">
        <f>U33/(U32+U8*(12-U24)/12/U19)</f>
        <v/>
      </c>
      <c r="V35" s="72">
        <f>V33/(V32+V8*(12-V24)/12/V19)</f>
        <v/>
      </c>
      <c r="W35" s="72">
        <f>W33/(W32+W8*(12-W24)/12/W19)</f>
        <v/>
      </c>
      <c r="X35" s="72">
        <f>X33/(X32+X8*(12-X24)/12/X19)</f>
        <v/>
      </c>
      <c r="Y35" s="72">
        <f>Y33/(Y32+Y8*(12-Y24)/12/Y19)</f>
        <v/>
      </c>
      <c r="Z35" s="72">
        <f>Z33/(Z32+Z8*(12-Z24)/12/Z19)</f>
        <v/>
      </c>
      <c r="AA35" s="72">
        <f>AA33/(AA32+AA8*(12-AA24)/12/AA19)</f>
        <v/>
      </c>
      <c r="AB35" s="72">
        <f>AB33/(AB32+AB8*(12-AB24)/12/AB19)</f>
        <v/>
      </c>
      <c r="AC35" s="72">
        <f>AC33/(AC32+AC8*(12-AC24)/12/AC19)</f>
        <v/>
      </c>
      <c r="AD35" s="72">
        <f>AD33/(AD32+AD8*(12-AD24)/12/AD19)</f>
        <v/>
      </c>
      <c r="AE35" s="72">
        <f>AE33/(AE32+AE8*(12-AE24)/12/AE19)</f>
        <v/>
      </c>
      <c r="AF35" s="72">
        <f>AF33/(AF32+AF8*(12-AF24)/12/AF19)</f>
        <v/>
      </c>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c r="A37" s="22" t="inlineStr">
        <is>
          <t>B27</t>
        </is>
      </c>
      <c r="B37" s="5" t="inlineStr">
        <is>
          <t>EBITDA 2027 avant synergies, tuck-ins et cessions 2027</t>
        </is>
      </c>
      <c r="C37" s="22" t="inlineStr">
        <is>
          <t>M EUR</t>
        </is>
      </c>
      <c r="D37" s="61">
        <f>(D28+D31+D8/D19)*(1+D7)</f>
        <v/>
      </c>
      <c r="E37" s="61">
        <f>(E28+E31+E8/E19)*(1+E7)</f>
        <v/>
      </c>
      <c r="F37" s="61">
        <f>(F28+F31+F8/F19)*(1+F7)</f>
        <v/>
      </c>
      <c r="G37" s="61">
        <f>(G28+G31+G8/G19)*(1+G7)</f>
        <v/>
      </c>
      <c r="H37" s="61">
        <f>(H28+H31+H8/H19)*(1+H7)</f>
        <v/>
      </c>
      <c r="I37" s="61">
        <f>(I28+I31+I8/I19)*(1+I7)</f>
        <v/>
      </c>
      <c r="J37" s="61">
        <f>(J28+J31+J8/J19)*(1+J7)</f>
        <v/>
      </c>
      <c r="K37" s="61">
        <f>(K28+K31+K8/K19)*(1+K7)</f>
        <v/>
      </c>
      <c r="L37" s="61">
        <f>(L28+L31+L8/L19)*(1+L7)</f>
        <v/>
      </c>
      <c r="M37" s="61">
        <f>(M28+M31+M8/M19)*(1+M7)</f>
        <v/>
      </c>
      <c r="N37" s="61">
        <f>(N28+N31+N8/N19)*(1+N7)</f>
        <v/>
      </c>
      <c r="O37" s="61">
        <f>(O28+O31+O8/O19)*(1+O7)</f>
        <v/>
      </c>
      <c r="P37" s="61">
        <f>(P28+P31+P8/P19)*(1+P7)</f>
        <v/>
      </c>
      <c r="Q37" s="61">
        <f>(Q28+Q31+Q8/Q19)*(1+Q7)</f>
        <v/>
      </c>
      <c r="R37" s="61">
        <f>(R28+R31+R8/R19)*(1+R7)</f>
        <v/>
      </c>
      <c r="S37" s="61">
        <f>(S28+S31+S8/S19)*(1+S7)</f>
        <v/>
      </c>
      <c r="T37" s="61">
        <f>(T28+T31+T8/T19)*(1+T7)</f>
        <v/>
      </c>
      <c r="U37" s="61">
        <f>(U28+U31+U8/U19)*(1+U7)</f>
        <v/>
      </c>
      <c r="V37" s="61">
        <f>(V28+V31+V8/V19)*(1+V7)</f>
        <v/>
      </c>
      <c r="W37" s="61">
        <f>(W28+W31+W8/W19)*(1+W7)</f>
        <v/>
      </c>
      <c r="X37" s="61">
        <f>(X28+X31+X8/X19)*(1+X7)</f>
        <v/>
      </c>
      <c r="Y37" s="61">
        <f>(Y28+Y31+Y8/Y19)*(1+Y7)</f>
        <v/>
      </c>
      <c r="Z37" s="61">
        <f>(Z28+Z31+Z8/Z19)*(1+Z7)</f>
        <v/>
      </c>
      <c r="AA37" s="61">
        <f>(AA28+AA31+AA8/AA19)*(1+AA7)</f>
        <v/>
      </c>
      <c r="AB37" s="61">
        <f>(AB28+AB31+AB8/AB19)*(1+AB7)</f>
        <v/>
      </c>
      <c r="AC37" s="61">
        <f>(AC28+AC31+AC8/AC19)*(1+AC7)</f>
        <v/>
      </c>
      <c r="AD37" s="61">
        <f>(AD28+AD31+AD8/AD19)*(1+AD7)</f>
        <v/>
      </c>
      <c r="AE37" s="61">
        <f>(AE28+AE31+AE8/AE19)*(1+AE7)</f>
        <v/>
      </c>
      <c r="AF37" s="61">
        <f>(AF28+AF31+AF8/AF19)*(1+AF7)</f>
        <v/>
      </c>
    </row>
    <row r="38">
      <c r="A38" s="22" t="inlineStr">
        <is>
          <t>SYN27</t>
        </is>
      </c>
      <c r="B38" s="5" t="inlineStr">
        <is>
          <t>Synergies Clean Earth réalisées</t>
        </is>
      </c>
      <c r="C38" s="22" t="inlineStr">
        <is>
          <t>M EUR</t>
        </is>
      </c>
      <c r="D38" s="61">
        <f>'Entrées'!$C$54*D9/D19</f>
        <v/>
      </c>
      <c r="E38" s="61">
        <f>'Entrées'!$C$54*E9/E19</f>
        <v/>
      </c>
      <c r="F38" s="61">
        <f>'Entrées'!$C$54*F9/F19</f>
        <v/>
      </c>
      <c r="G38" s="61">
        <f>'Entrées'!$C$54*G9/G19</f>
        <v/>
      </c>
      <c r="H38" s="61">
        <f>'Entrées'!$C$54*H9/H19</f>
        <v/>
      </c>
      <c r="I38" s="61">
        <f>'Entrées'!$C$54*I9/I19</f>
        <v/>
      </c>
      <c r="J38" s="61">
        <f>'Entrées'!$C$54*J9/J19</f>
        <v/>
      </c>
      <c r="K38" s="61">
        <f>'Entrées'!$C$54*K9/K19</f>
        <v/>
      </c>
      <c r="L38" s="61">
        <f>'Entrées'!$C$54*L9/L19</f>
        <v/>
      </c>
      <c r="M38" s="61">
        <f>'Entrées'!$C$54*M9/M19</f>
        <v/>
      </c>
      <c r="N38" s="61">
        <f>'Entrées'!$C$54*N9/N19</f>
        <v/>
      </c>
      <c r="O38" s="61">
        <f>'Entrées'!$C$54*O9/O19</f>
        <v/>
      </c>
      <c r="P38" s="61">
        <f>'Entrées'!$C$54*P9/P19</f>
        <v/>
      </c>
      <c r="Q38" s="61">
        <f>'Entrées'!$C$54*Q9/Q19</f>
        <v/>
      </c>
      <c r="R38" s="61">
        <f>'Entrées'!$C$54*R9/R19</f>
        <v/>
      </c>
      <c r="S38" s="61">
        <f>'Entrées'!$C$54*S9/S19</f>
        <v/>
      </c>
      <c r="T38" s="61">
        <f>'Entrées'!$C$54*T9/T19</f>
        <v/>
      </c>
      <c r="U38" s="61">
        <f>'Entrées'!$C$54*U9/U19</f>
        <v/>
      </c>
      <c r="V38" s="61">
        <f>'Entrées'!$C$54*V9/V19</f>
        <v/>
      </c>
      <c r="W38" s="61">
        <f>'Entrées'!$C$54*W9/W19</f>
        <v/>
      </c>
      <c r="X38" s="61">
        <f>'Entrées'!$C$54*X9/X19</f>
        <v/>
      </c>
      <c r="Y38" s="61">
        <f>'Entrées'!$C$54*Y9/Y19</f>
        <v/>
      </c>
      <c r="Z38" s="61">
        <f>'Entrées'!$C$54*Z9/Z19</f>
        <v/>
      </c>
      <c r="AA38" s="61">
        <f>'Entrées'!$C$54*AA9/AA19</f>
        <v/>
      </c>
      <c r="AB38" s="61">
        <f>'Entrées'!$C$54*AB9/AB19</f>
        <v/>
      </c>
      <c r="AC38" s="61">
        <f>'Entrées'!$C$54*AC9/AC19</f>
        <v/>
      </c>
      <c r="AD38" s="61">
        <f>'Entrées'!$C$54*AD9/AD19</f>
        <v/>
      </c>
      <c r="AE38" s="61">
        <f>'Entrées'!$C$54*AE9/AE19</f>
        <v/>
      </c>
      <c r="AF38" s="61">
        <f>'Entrées'!$C$54*AF9/AF19</f>
        <v/>
      </c>
    </row>
    <row r="39">
      <c r="A39" s="22" t="inlineStr">
        <is>
          <t>TE27</t>
        </is>
      </c>
      <c r="B39" s="5" t="inlineStr">
        <is>
          <t>EBITDA apporté par les tuck-ins 2027</t>
        </is>
      </c>
      <c r="C39" s="22" t="inlineStr">
        <is>
          <t>M EUR</t>
        </is>
      </c>
      <c r="D39" s="61">
        <f>D16*1000/D21</f>
        <v/>
      </c>
      <c r="E39" s="61">
        <f>E16*1000/E21</f>
        <v/>
      </c>
      <c r="F39" s="61">
        <f>F16*1000/F21</f>
        <v/>
      </c>
      <c r="G39" s="61">
        <f>G16*1000/G21</f>
        <v/>
      </c>
      <c r="H39" s="61">
        <f>H16*1000/H21</f>
        <v/>
      </c>
      <c r="I39" s="61">
        <f>I16*1000/I21</f>
        <v/>
      </c>
      <c r="J39" s="61">
        <f>J16*1000/J21</f>
        <v/>
      </c>
      <c r="K39" s="61">
        <f>K16*1000/K21</f>
        <v/>
      </c>
      <c r="L39" s="61">
        <f>L16*1000/L21</f>
        <v/>
      </c>
      <c r="M39" s="61">
        <f>M16*1000/M21</f>
        <v/>
      </c>
      <c r="N39" s="61">
        <f>N16*1000/N21</f>
        <v/>
      </c>
      <c r="O39" s="61">
        <f>O16*1000/O21</f>
        <v/>
      </c>
      <c r="P39" s="61">
        <f>P16*1000/P21</f>
        <v/>
      </c>
      <c r="Q39" s="61">
        <f>Q16*1000/Q21</f>
        <v/>
      </c>
      <c r="R39" s="61">
        <f>R16*1000/R21</f>
        <v/>
      </c>
      <c r="S39" s="61">
        <f>S16*1000/S21</f>
        <v/>
      </c>
      <c r="T39" s="61">
        <f>T16*1000/T21</f>
        <v/>
      </c>
      <c r="U39" s="61">
        <f>U16*1000/U21</f>
        <v/>
      </c>
      <c r="V39" s="61">
        <f>V16*1000/V21</f>
        <v/>
      </c>
      <c r="W39" s="61">
        <f>W16*1000/W21</f>
        <v/>
      </c>
      <c r="X39" s="61">
        <f>X16*1000/X21</f>
        <v/>
      </c>
      <c r="Y39" s="61">
        <f>Y16*1000/Y21</f>
        <v/>
      </c>
      <c r="Z39" s="61">
        <f>Z16*1000/Z21</f>
        <v/>
      </c>
      <c r="AA39" s="61">
        <f>AA16*1000/AA21</f>
        <v/>
      </c>
      <c r="AB39" s="61">
        <f>AB16*1000/AB21</f>
        <v/>
      </c>
      <c r="AC39" s="61">
        <f>AC16*1000/AC21</f>
        <v/>
      </c>
      <c r="AD39" s="61">
        <f>AD16*1000/AD21</f>
        <v/>
      </c>
      <c r="AE39" s="61">
        <f>AE16*1000/AE21</f>
        <v/>
      </c>
      <c r="AF39" s="61">
        <f>AF16*1000/AF21</f>
        <v/>
      </c>
    </row>
    <row r="40">
      <c r="A40" s="22" t="inlineStr">
        <is>
          <t>D27</t>
        </is>
      </c>
      <c r="B40" s="5" t="inlineStr">
        <is>
          <t>Cessions encaissées en 2027</t>
        </is>
      </c>
      <c r="C40" s="22" t="inlineStr">
        <is>
          <t>M EUR</t>
        </is>
      </c>
      <c r="D40" s="61">
        <f>('Entrées'!$C$36*(1-D13)+MAX(0,'Entrées'!$C$30-'Entrées'!$C$35-'Entrées'!$C$36)*D14)*1000</f>
        <v/>
      </c>
      <c r="E40" s="61">
        <f>('Entrées'!$C$36*(1-E13)+MAX(0,'Entrées'!$C$30-'Entrées'!$C$35-'Entrées'!$C$36)*E14)*1000</f>
        <v/>
      </c>
      <c r="F40" s="61">
        <f>('Entrées'!$C$36*(1-F13)+MAX(0,'Entrées'!$C$30-'Entrées'!$C$35-'Entrées'!$C$36)*F14)*1000</f>
        <v/>
      </c>
      <c r="G40" s="61">
        <f>('Entrées'!$C$36*(1-G13)+MAX(0,'Entrées'!$C$30-'Entrées'!$C$35-'Entrées'!$C$36)*G14)*1000</f>
        <v/>
      </c>
      <c r="H40" s="61">
        <f>('Entrées'!$C$36*(1-H13)+MAX(0,'Entrées'!$C$30-'Entrées'!$C$35-'Entrées'!$C$36)*H14)*1000</f>
        <v/>
      </c>
      <c r="I40" s="61">
        <f>('Entrées'!$C$36*(1-I13)+MAX(0,'Entrées'!$C$30-'Entrées'!$C$35-'Entrées'!$C$36)*I14)*1000</f>
        <v/>
      </c>
      <c r="J40" s="61">
        <f>('Entrées'!$C$36*(1-J13)+MAX(0,'Entrées'!$C$30-'Entrées'!$C$35-'Entrées'!$C$36)*J14)*1000</f>
        <v/>
      </c>
      <c r="K40" s="61">
        <f>('Entrées'!$C$36*(1-K13)+MAX(0,'Entrées'!$C$30-'Entrées'!$C$35-'Entrées'!$C$36)*K14)*1000</f>
        <v/>
      </c>
      <c r="L40" s="61">
        <f>('Entrées'!$C$36*(1-L13)+MAX(0,'Entrées'!$C$30-'Entrées'!$C$35-'Entrées'!$C$36)*L14)*1000</f>
        <v/>
      </c>
      <c r="M40" s="61">
        <f>('Entrées'!$C$36*(1-M13)+MAX(0,'Entrées'!$C$30-'Entrées'!$C$35-'Entrées'!$C$36)*M14)*1000</f>
        <v/>
      </c>
      <c r="N40" s="61">
        <f>('Entrées'!$C$36*(1-N13)+MAX(0,'Entrées'!$C$30-'Entrées'!$C$35-'Entrées'!$C$36)*N14)*1000</f>
        <v/>
      </c>
      <c r="O40" s="61">
        <f>('Entrées'!$C$36*(1-O13)+MAX(0,'Entrées'!$C$30-'Entrées'!$C$35-'Entrées'!$C$36)*O14)*1000</f>
        <v/>
      </c>
      <c r="P40" s="61">
        <f>('Entrées'!$C$36*(1-P13)+MAX(0,'Entrées'!$C$30-'Entrées'!$C$35-'Entrées'!$C$36)*P14)*1000</f>
        <v/>
      </c>
      <c r="Q40" s="61">
        <f>('Entrées'!$C$36*(1-Q13)+MAX(0,'Entrées'!$C$30-'Entrées'!$C$35-'Entrées'!$C$36)*Q14)*1000</f>
        <v/>
      </c>
      <c r="R40" s="61">
        <f>('Entrées'!$C$36*(1-R13)+MAX(0,'Entrées'!$C$30-'Entrées'!$C$35-'Entrées'!$C$36)*R14)*1000</f>
        <v/>
      </c>
      <c r="S40" s="61">
        <f>('Entrées'!$C$36*(1-S13)+MAX(0,'Entrées'!$C$30-'Entrées'!$C$35-'Entrées'!$C$36)*S14)*1000</f>
        <v/>
      </c>
      <c r="T40" s="61">
        <f>('Entrées'!$C$36*(1-T13)+MAX(0,'Entrées'!$C$30-'Entrées'!$C$35-'Entrées'!$C$36)*T14)*1000</f>
        <v/>
      </c>
      <c r="U40" s="61">
        <f>('Entrées'!$C$36*(1-U13)+MAX(0,'Entrées'!$C$30-'Entrées'!$C$35-'Entrées'!$C$36)*U14)*1000</f>
        <v/>
      </c>
      <c r="V40" s="61">
        <f>('Entrées'!$C$36*(1-V13)+MAX(0,'Entrées'!$C$30-'Entrées'!$C$35-'Entrées'!$C$36)*V14)*1000</f>
        <v/>
      </c>
      <c r="W40" s="61">
        <f>('Entrées'!$C$36*(1-W13)+MAX(0,'Entrées'!$C$30-'Entrées'!$C$35-'Entrées'!$C$36)*W14)*1000</f>
        <v/>
      </c>
      <c r="X40" s="61">
        <f>('Entrées'!$C$36*(1-X13)+MAX(0,'Entrées'!$C$30-'Entrées'!$C$35-'Entrées'!$C$36)*X14)*1000</f>
        <v/>
      </c>
      <c r="Y40" s="61">
        <f>('Entrées'!$C$36*(1-Y13)+MAX(0,'Entrées'!$C$30-'Entrées'!$C$35-'Entrées'!$C$36)*Y14)*1000</f>
        <v/>
      </c>
      <c r="Z40" s="61">
        <f>('Entrées'!$C$36*(1-Z13)+MAX(0,'Entrées'!$C$30-'Entrées'!$C$35-'Entrées'!$C$36)*Z14)*1000</f>
        <v/>
      </c>
      <c r="AA40" s="61">
        <f>('Entrées'!$C$36*(1-AA13)+MAX(0,'Entrées'!$C$30-'Entrées'!$C$35-'Entrées'!$C$36)*AA14)*1000</f>
        <v/>
      </c>
      <c r="AB40" s="61">
        <f>('Entrées'!$C$36*(1-AB13)+MAX(0,'Entrées'!$C$30-'Entrées'!$C$35-'Entrées'!$C$36)*AB14)*1000</f>
        <v/>
      </c>
      <c r="AC40" s="61">
        <f>('Entrées'!$C$36*(1-AC13)+MAX(0,'Entrées'!$C$30-'Entrées'!$C$35-'Entrées'!$C$36)*AC14)*1000</f>
        <v/>
      </c>
      <c r="AD40" s="61">
        <f>('Entrées'!$C$36*(1-AD13)+MAX(0,'Entrées'!$C$30-'Entrées'!$C$35-'Entrées'!$C$36)*AD14)*1000</f>
        <v/>
      </c>
      <c r="AE40" s="61">
        <f>('Entrées'!$C$36*(1-AE13)+MAX(0,'Entrées'!$C$30-'Entrées'!$C$35-'Entrées'!$C$36)*AE14)*1000</f>
        <v/>
      </c>
      <c r="AF40" s="61">
        <f>('Entrées'!$C$36*(1-AF13)+MAX(0,'Entrées'!$C$30-'Entrées'!$C$35-'Entrées'!$C$36)*AF14)*1000</f>
        <v/>
      </c>
    </row>
    <row r="41">
      <c r="A41" s="22" t="inlineStr">
        <is>
          <t>DE27</t>
        </is>
      </c>
      <c r="B41" s="5" t="inlineStr">
        <is>
          <t>EBITDA cédé en 2027 (année pleine, prudent)</t>
        </is>
      </c>
      <c r="C41" s="22" t="inlineStr">
        <is>
          <t>M EUR</t>
        </is>
      </c>
      <c r="D41" s="61">
        <f>-D40/D15</f>
        <v/>
      </c>
      <c r="E41" s="61">
        <f>-E40/E15</f>
        <v/>
      </c>
      <c r="F41" s="61">
        <f>-F40/F15</f>
        <v/>
      </c>
      <c r="G41" s="61">
        <f>-G40/G15</f>
        <v/>
      </c>
      <c r="H41" s="61">
        <f>-H40/H15</f>
        <v/>
      </c>
      <c r="I41" s="61">
        <f>-I40/I15</f>
        <v/>
      </c>
      <c r="J41" s="61">
        <f>-J40/J15</f>
        <v/>
      </c>
      <c r="K41" s="61">
        <f>-K40/K15</f>
        <v/>
      </c>
      <c r="L41" s="61">
        <f>-L40/L15</f>
        <v/>
      </c>
      <c r="M41" s="61">
        <f>-M40/M15</f>
        <v/>
      </c>
      <c r="N41" s="61">
        <f>-N40/N15</f>
        <v/>
      </c>
      <c r="O41" s="61">
        <f>-O40/O15</f>
        <v/>
      </c>
      <c r="P41" s="61">
        <f>-P40/P15</f>
        <v/>
      </c>
      <c r="Q41" s="61">
        <f>-Q40/Q15</f>
        <v/>
      </c>
      <c r="R41" s="61">
        <f>-R40/R15</f>
        <v/>
      </c>
      <c r="S41" s="61">
        <f>-S40/S15</f>
        <v/>
      </c>
      <c r="T41" s="61">
        <f>-T40/T15</f>
        <v/>
      </c>
      <c r="U41" s="61">
        <f>-U40/U15</f>
        <v/>
      </c>
      <c r="V41" s="61">
        <f>-V40/V15</f>
        <v/>
      </c>
      <c r="W41" s="61">
        <f>-W40/W15</f>
        <v/>
      </c>
      <c r="X41" s="61">
        <f>-X40/X15</f>
        <v/>
      </c>
      <c r="Y41" s="61">
        <f>-Y40/Y15</f>
        <v/>
      </c>
      <c r="Z41" s="61">
        <f>-Z40/Z15</f>
        <v/>
      </c>
      <c r="AA41" s="61">
        <f>-AA40/AA15</f>
        <v/>
      </c>
      <c r="AB41" s="61">
        <f>-AB40/AB15</f>
        <v/>
      </c>
      <c r="AC41" s="61">
        <f>-AC40/AC15</f>
        <v/>
      </c>
      <c r="AD41" s="61">
        <f>-AD40/AD15</f>
        <v/>
      </c>
      <c r="AE41" s="61">
        <f>-AE40/AE15</f>
        <v/>
      </c>
      <c r="AF41" s="61">
        <f>-AF40/AF15</f>
        <v/>
      </c>
    </row>
    <row r="42">
      <c r="A42" s="22" t="inlineStr">
        <is>
          <t>EB27</t>
        </is>
      </c>
      <c r="B42" s="20" t="inlineStr">
        <is>
          <t>EBITDA 2027</t>
        </is>
      </c>
      <c r="C42" s="22" t="inlineStr">
        <is>
          <t>M EUR</t>
        </is>
      </c>
      <c r="D42" s="67">
        <f>D37+D38+D39+D41</f>
        <v/>
      </c>
      <c r="E42" s="67">
        <f>E37+E38+E39+E41</f>
        <v/>
      </c>
      <c r="F42" s="67">
        <f>F37+F38+F39+F41</f>
        <v/>
      </c>
      <c r="G42" s="67">
        <f>G37+G38+G39+G41</f>
        <v/>
      </c>
      <c r="H42" s="67">
        <f>H37+H38+H39+H41</f>
        <v/>
      </c>
      <c r="I42" s="67">
        <f>I37+I38+I39+I41</f>
        <v/>
      </c>
      <c r="J42" s="67">
        <f>J37+J38+J39+J41</f>
        <v/>
      </c>
      <c r="K42" s="67">
        <f>K37+K38+K39+K41</f>
        <v/>
      </c>
      <c r="L42" s="67">
        <f>L37+L38+L39+L41</f>
        <v/>
      </c>
      <c r="M42" s="67">
        <f>M37+M38+M39+M41</f>
        <v/>
      </c>
      <c r="N42" s="67">
        <f>N37+N38+N39+N41</f>
        <v/>
      </c>
      <c r="O42" s="67">
        <f>O37+O38+O39+O41</f>
        <v/>
      </c>
      <c r="P42" s="67">
        <f>P37+P38+P39+P41</f>
        <v/>
      </c>
      <c r="Q42" s="67">
        <f>Q37+Q38+Q39+Q41</f>
        <v/>
      </c>
      <c r="R42" s="67">
        <f>R37+R38+R39+R41</f>
        <v/>
      </c>
      <c r="S42" s="67">
        <f>S37+S38+S39+S41</f>
        <v/>
      </c>
      <c r="T42" s="67">
        <f>T37+T38+T39+T41</f>
        <v/>
      </c>
      <c r="U42" s="67">
        <f>U37+U38+U39+U41</f>
        <v/>
      </c>
      <c r="V42" s="67">
        <f>V37+V38+V39+V41</f>
        <v/>
      </c>
      <c r="W42" s="67">
        <f>W37+W38+W39+W41</f>
        <v/>
      </c>
      <c r="X42" s="67">
        <f>X37+X38+X39+X41</f>
        <v/>
      </c>
      <c r="Y42" s="67">
        <f>Y37+Y38+Y39+Y41</f>
        <v/>
      </c>
      <c r="Z42" s="67">
        <f>Z37+Z38+Z39+Z41</f>
        <v/>
      </c>
      <c r="AA42" s="67">
        <f>AA37+AA38+AA39+AA41</f>
        <v/>
      </c>
      <c r="AB42" s="67">
        <f>AB37+AB38+AB39+AB41</f>
        <v/>
      </c>
      <c r="AC42" s="67">
        <f>AC37+AC38+AC39+AC41</f>
        <v/>
      </c>
      <c r="AD42" s="67">
        <f>AD37+AD38+AD39+AD41</f>
        <v/>
      </c>
      <c r="AE42" s="67">
        <f>AE37+AE38+AE39+AE41</f>
        <v/>
      </c>
      <c r="AF42" s="67">
        <f>AF37+AF38+AF39+AF41</f>
        <v/>
      </c>
    </row>
    <row r="43">
      <c r="A43" s="22" t="inlineStr">
        <is>
          <t>FCF27</t>
        </is>
      </c>
      <c r="B43" s="5" t="inlineStr">
        <is>
          <t>Cash-flow libre net 2027</t>
        </is>
      </c>
      <c r="C43" s="22" t="inlineStr">
        <is>
          <t>M EUR</t>
        </is>
      </c>
      <c r="D43" s="61">
        <f>D11*D42-D25/D19</f>
        <v/>
      </c>
      <c r="E43" s="61">
        <f>E11*E42-E25/E19</f>
        <v/>
      </c>
      <c r="F43" s="61">
        <f>F11*F42-F25/F19</f>
        <v/>
      </c>
      <c r="G43" s="61">
        <f>G11*G42-G25/G19</f>
        <v/>
      </c>
      <c r="H43" s="61">
        <f>H11*H42-H25/H19</f>
        <v/>
      </c>
      <c r="I43" s="61">
        <f>I11*I42-I25/I19</f>
        <v/>
      </c>
      <c r="J43" s="61">
        <f>J11*J42-J25/J19</f>
        <v/>
      </c>
      <c r="K43" s="61">
        <f>K11*K42-K25/K19</f>
        <v/>
      </c>
      <c r="L43" s="61">
        <f>L11*L42-L25/L19</f>
        <v/>
      </c>
      <c r="M43" s="61">
        <f>M11*M42-M25/M19</f>
        <v/>
      </c>
      <c r="N43" s="61">
        <f>N11*N42-N25/N19</f>
        <v/>
      </c>
      <c r="O43" s="61">
        <f>O11*O42-O25/O19</f>
        <v/>
      </c>
      <c r="P43" s="61">
        <f>P11*P42-P25/P19</f>
        <v/>
      </c>
      <c r="Q43" s="61">
        <f>Q11*Q42-Q25/Q19</f>
        <v/>
      </c>
      <c r="R43" s="61">
        <f>R11*R42-R25/R19</f>
        <v/>
      </c>
      <c r="S43" s="61">
        <f>S11*S42-S25/S19</f>
        <v/>
      </c>
      <c r="T43" s="61">
        <f>T11*T42-T25/T19</f>
        <v/>
      </c>
      <c r="U43" s="61">
        <f>U11*U42-U25/U19</f>
        <v/>
      </c>
      <c r="V43" s="61">
        <f>V11*V42-V25/V19</f>
        <v/>
      </c>
      <c r="W43" s="61">
        <f>W11*W42-W25/W19</f>
        <v/>
      </c>
      <c r="X43" s="61">
        <f>X11*X42-X25/X19</f>
        <v/>
      </c>
      <c r="Y43" s="61">
        <f>Y11*Y42-Y25/Y19</f>
        <v/>
      </c>
      <c r="Z43" s="61">
        <f>Z11*Z42-Z25/Z19</f>
        <v/>
      </c>
      <c r="AA43" s="61">
        <f>AA11*AA42-AA25/AA19</f>
        <v/>
      </c>
      <c r="AB43" s="61">
        <f>AB11*AB42-AB25/AB19</f>
        <v/>
      </c>
      <c r="AC43" s="61">
        <f>AC11*AC42-AC25/AC19</f>
        <v/>
      </c>
      <c r="AD43" s="61">
        <f>AD11*AD42-AD25/AD19</f>
        <v/>
      </c>
      <c r="AE43" s="61">
        <f>AE11*AE42-AE25/AE19</f>
        <v/>
      </c>
      <c r="AF43" s="61">
        <f>AF11*AF42-AF25/AF19</f>
        <v/>
      </c>
    </row>
    <row r="44">
      <c r="A44" s="22" t="inlineStr">
        <is>
          <t>DIV27</t>
        </is>
      </c>
      <c r="B44" s="5" t="inlineStr">
        <is>
          <t>Dividendes versés en 2027</t>
        </is>
      </c>
      <c r="C44" s="22" t="inlineStr">
        <is>
          <t>M EUR</t>
        </is>
      </c>
      <c r="D44" s="61">
        <f>'Entrées'!$C$79*(1+D12)+D20</f>
        <v/>
      </c>
      <c r="E44" s="61">
        <f>'Entrées'!$C$79*(1+E12)+E20</f>
        <v/>
      </c>
      <c r="F44" s="61">
        <f>'Entrées'!$C$79*(1+F12)+F20</f>
        <v/>
      </c>
      <c r="G44" s="61">
        <f>'Entrées'!$C$79*(1+G12)+G20</f>
        <v/>
      </c>
      <c r="H44" s="61">
        <f>'Entrées'!$C$79*(1+H12)+H20</f>
        <v/>
      </c>
      <c r="I44" s="61">
        <f>'Entrées'!$C$79*(1+I12)+I20</f>
        <v/>
      </c>
      <c r="J44" s="61">
        <f>'Entrées'!$C$79*(1+J12)+J20</f>
        <v/>
      </c>
      <c r="K44" s="61">
        <f>'Entrées'!$C$79*(1+K12)+K20</f>
        <v/>
      </c>
      <c r="L44" s="61">
        <f>'Entrées'!$C$79*(1+L12)+L20</f>
        <v/>
      </c>
      <c r="M44" s="61">
        <f>'Entrées'!$C$79*(1+M12)+M20</f>
        <v/>
      </c>
      <c r="N44" s="61">
        <f>'Entrées'!$C$79*(1+N12)+N20</f>
        <v/>
      </c>
      <c r="O44" s="61">
        <f>'Entrées'!$C$79*(1+O12)+O20</f>
        <v/>
      </c>
      <c r="P44" s="61">
        <f>'Entrées'!$C$79*(1+P12)+P20</f>
        <v/>
      </c>
      <c r="Q44" s="61">
        <f>'Entrées'!$C$79*(1+Q12)+Q20</f>
        <v/>
      </c>
      <c r="R44" s="61">
        <f>'Entrées'!$C$79*(1+R12)+R20</f>
        <v/>
      </c>
      <c r="S44" s="61">
        <f>'Entrées'!$C$79*(1+S12)+S20</f>
        <v/>
      </c>
      <c r="T44" s="61">
        <f>'Entrées'!$C$79*(1+T12)+T20</f>
        <v/>
      </c>
      <c r="U44" s="61">
        <f>'Entrées'!$C$79*(1+U12)+U20</f>
        <v/>
      </c>
      <c r="V44" s="61">
        <f>'Entrées'!$C$79*(1+V12)+V20</f>
        <v/>
      </c>
      <c r="W44" s="61">
        <f>'Entrées'!$C$79*(1+W12)+W20</f>
        <v/>
      </c>
      <c r="X44" s="61">
        <f>'Entrées'!$C$79*(1+X12)+X20</f>
        <v/>
      </c>
      <c r="Y44" s="61">
        <f>'Entrées'!$C$79*(1+Y12)+Y20</f>
        <v/>
      </c>
      <c r="Z44" s="61">
        <f>'Entrées'!$C$79*(1+Z12)+Z20</f>
        <v/>
      </c>
      <c r="AA44" s="61">
        <f>'Entrées'!$C$79*(1+AA12)+AA20</f>
        <v/>
      </c>
      <c r="AB44" s="61">
        <f>'Entrées'!$C$79*(1+AB12)+AB20</f>
        <v/>
      </c>
      <c r="AC44" s="61">
        <f>'Entrées'!$C$79*(1+AC12)+AC20</f>
        <v/>
      </c>
      <c r="AD44" s="61">
        <f>'Entrées'!$C$79*(1+AD12)+AD20</f>
        <v/>
      </c>
      <c r="AE44" s="61">
        <f>'Entrées'!$C$79*(1+AE12)+AE20</f>
        <v/>
      </c>
      <c r="AF44" s="61">
        <f>'Entrées'!$C$79*(1+AF12)+AF20</f>
        <v/>
      </c>
    </row>
    <row r="45">
      <c r="A45" s="22" t="inlineStr">
        <is>
          <t>NFD27</t>
        </is>
      </c>
      <c r="B45" s="20" t="inlineStr">
        <is>
          <t>Dette financière nette au 31/12/2027</t>
        </is>
      </c>
      <c r="C45" s="22" t="inlineStr">
        <is>
          <t>M EUR</t>
        </is>
      </c>
      <c r="D45" s="67">
        <f>D33-D43+D44+D16*1000-D40+D23</f>
        <v/>
      </c>
      <c r="E45" s="67">
        <f>E33-E43+E44+E16*1000-E40+E23</f>
        <v/>
      </c>
      <c r="F45" s="67">
        <f>F33-F43+F44+F16*1000-F40+F23</f>
        <v/>
      </c>
      <c r="G45" s="67">
        <f>G33-G43+G44+G16*1000-G40+G23</f>
        <v/>
      </c>
      <c r="H45" s="67">
        <f>H33-H43+H44+H16*1000-H40+H23</f>
        <v/>
      </c>
      <c r="I45" s="67">
        <f>I33-I43+I44+I16*1000-I40+I23</f>
        <v/>
      </c>
      <c r="J45" s="67">
        <f>J33-J43+J44+J16*1000-J40+J23</f>
        <v/>
      </c>
      <c r="K45" s="67">
        <f>K33-K43+K44+K16*1000-K40+K23</f>
        <v/>
      </c>
      <c r="L45" s="67">
        <f>L33-L43+L44+L16*1000-L40+L23</f>
        <v/>
      </c>
      <c r="M45" s="67">
        <f>M33-M43+M44+M16*1000-M40+M23</f>
        <v/>
      </c>
      <c r="N45" s="67">
        <f>N33-N43+N44+N16*1000-N40+N23</f>
        <v/>
      </c>
      <c r="O45" s="67">
        <f>O33-O43+O44+O16*1000-O40+O23</f>
        <v/>
      </c>
      <c r="P45" s="67">
        <f>P33-P43+P44+P16*1000-P40+P23</f>
        <v/>
      </c>
      <c r="Q45" s="67">
        <f>Q33-Q43+Q44+Q16*1000-Q40+Q23</f>
        <v/>
      </c>
      <c r="R45" s="67">
        <f>R33-R43+R44+R16*1000-R40+R23</f>
        <v/>
      </c>
      <c r="S45" s="67">
        <f>S33-S43+S44+S16*1000-S40+S23</f>
        <v/>
      </c>
      <c r="T45" s="67">
        <f>T33-T43+T44+T16*1000-T40+T23</f>
        <v/>
      </c>
      <c r="U45" s="67">
        <f>U33-U43+U44+U16*1000-U40+U23</f>
        <v/>
      </c>
      <c r="V45" s="67">
        <f>V33-V43+V44+V16*1000-V40+V23</f>
        <v/>
      </c>
      <c r="W45" s="67">
        <f>W33-W43+W44+W16*1000-W40+W23</f>
        <v/>
      </c>
      <c r="X45" s="67">
        <f>X33-X43+X44+X16*1000-X40+X23</f>
        <v/>
      </c>
      <c r="Y45" s="67">
        <f>Y33-Y43+Y44+Y16*1000-Y40+Y23</f>
        <v/>
      </c>
      <c r="Z45" s="67">
        <f>Z33-Z43+Z44+Z16*1000-Z40+Z23</f>
        <v/>
      </c>
      <c r="AA45" s="67">
        <f>AA33-AA43+AA44+AA16*1000-AA40+AA23</f>
        <v/>
      </c>
      <c r="AB45" s="67">
        <f>AB33-AB43+AB44+AB16*1000-AB40+AB23</f>
        <v/>
      </c>
      <c r="AC45" s="67">
        <f>AC33-AC43+AC44+AC16*1000-AC40+AC23</f>
        <v/>
      </c>
      <c r="AD45" s="67">
        <f>AD33-AD43+AD44+AD16*1000-AD40+AD23</f>
        <v/>
      </c>
      <c r="AE45" s="67">
        <f>AE33-AE43+AE44+AE16*1000-AE40+AE23</f>
        <v/>
      </c>
      <c r="AF45" s="67">
        <f>AF33-AF43+AF44+AF16*1000-AF40+AF23</f>
        <v/>
      </c>
    </row>
    <row r="46">
      <c r="A46" s="22" t="inlineStr">
        <is>
          <t>LEV27</t>
        </is>
      </c>
      <c r="B46" s="20" t="inlineStr">
        <is>
          <t>Levier fin 2027</t>
        </is>
      </c>
      <c r="C46" s="22" t="inlineStr">
        <is>
          <t>x</t>
        </is>
      </c>
      <c r="D46" s="98">
        <f>D45/D42</f>
        <v/>
      </c>
      <c r="E46" s="98">
        <f>E45/E42</f>
        <v/>
      </c>
      <c r="F46" s="98">
        <f>F45/F42</f>
        <v/>
      </c>
      <c r="G46" s="98">
        <f>G45/G42</f>
        <v/>
      </c>
      <c r="H46" s="98">
        <f>H45/H42</f>
        <v/>
      </c>
      <c r="I46" s="98">
        <f>I45/I42</f>
        <v/>
      </c>
      <c r="J46" s="98">
        <f>J45/J42</f>
        <v/>
      </c>
      <c r="K46" s="98">
        <f>K45/K42</f>
        <v/>
      </c>
      <c r="L46" s="98">
        <f>L45/L42</f>
        <v/>
      </c>
      <c r="M46" s="98">
        <f>M45/M42</f>
        <v/>
      </c>
      <c r="N46" s="98">
        <f>N45/N42</f>
        <v/>
      </c>
      <c r="O46" s="98">
        <f>O45/O42</f>
        <v/>
      </c>
      <c r="P46" s="98">
        <f>P45/P42</f>
        <v/>
      </c>
      <c r="Q46" s="98">
        <f>Q45/Q42</f>
        <v/>
      </c>
      <c r="R46" s="98">
        <f>R45/R42</f>
        <v/>
      </c>
      <c r="S46" s="98">
        <f>S45/S42</f>
        <v/>
      </c>
      <c r="T46" s="98">
        <f>T45/T42</f>
        <v/>
      </c>
      <c r="U46" s="98">
        <f>U45/U42</f>
        <v/>
      </c>
      <c r="V46" s="98">
        <f>V45/V42</f>
        <v/>
      </c>
      <c r="W46" s="98">
        <f>W45/W42</f>
        <v/>
      </c>
      <c r="X46" s="98">
        <f>X45/X42</f>
        <v/>
      </c>
      <c r="Y46" s="98">
        <f>Y45/Y42</f>
        <v/>
      </c>
      <c r="Z46" s="98">
        <f>Z45/Z42</f>
        <v/>
      </c>
      <c r="AA46" s="98">
        <f>AA45/AA42</f>
        <v/>
      </c>
      <c r="AB46" s="98">
        <f>AB45/AB42</f>
        <v/>
      </c>
      <c r="AC46" s="98">
        <f>AC45/AC42</f>
        <v/>
      </c>
      <c r="AD46" s="98">
        <f>AD45/AD42</f>
        <v/>
      </c>
      <c r="AE46" s="98">
        <f>AE45/AE42</f>
        <v/>
      </c>
      <c r="AF46" s="98">
        <f>AF45/AF42</f>
        <v/>
      </c>
    </row>
    <row r="47">
      <c r="A47" s="22" t="inlineStr">
        <is>
          <t>HEAD27</t>
        </is>
      </c>
      <c r="B47" s="20" t="inlineStr">
        <is>
          <t>Marge de manœuvre fin 2027 (plafond × EBITDA − DFN)</t>
        </is>
      </c>
      <c r="C47" s="22" t="inlineStr">
        <is>
          <t>M EUR</t>
        </is>
      </c>
      <c r="D47" s="97">
        <f>D26*D42-D45</f>
        <v/>
      </c>
      <c r="E47" s="97">
        <f>E26*E42-E45</f>
        <v/>
      </c>
      <c r="F47" s="97">
        <f>F26*F42-F45</f>
        <v/>
      </c>
      <c r="G47" s="97">
        <f>G26*G42-G45</f>
        <v/>
      </c>
      <c r="H47" s="97">
        <f>H26*H42-H45</f>
        <v/>
      </c>
      <c r="I47" s="97">
        <f>I26*I42-I45</f>
        <v/>
      </c>
      <c r="J47" s="97">
        <f>J26*J42-J45</f>
        <v/>
      </c>
      <c r="K47" s="97">
        <f>K26*K42-K45</f>
        <v/>
      </c>
      <c r="L47" s="97">
        <f>L26*L42-L45</f>
        <v/>
      </c>
      <c r="M47" s="97">
        <f>M26*M42-M45</f>
        <v/>
      </c>
      <c r="N47" s="97">
        <f>N26*N42-N45</f>
        <v/>
      </c>
      <c r="O47" s="97">
        <f>O26*O42-O45</f>
        <v/>
      </c>
      <c r="P47" s="97">
        <f>P26*P42-P45</f>
        <v/>
      </c>
      <c r="Q47" s="97">
        <f>Q26*Q42-Q45</f>
        <v/>
      </c>
      <c r="R47" s="97">
        <f>R26*R42-R45</f>
        <v/>
      </c>
      <c r="S47" s="97">
        <f>S26*S42-S45</f>
        <v/>
      </c>
      <c r="T47" s="97">
        <f>T26*T42-T45</f>
        <v/>
      </c>
      <c r="U47" s="97">
        <f>U26*U42-U45</f>
        <v/>
      </c>
      <c r="V47" s="97">
        <f>V26*V42-V45</f>
        <v/>
      </c>
      <c r="W47" s="97">
        <f>W26*W42-W45</f>
        <v/>
      </c>
      <c r="X47" s="97">
        <f>X26*X42-X45</f>
        <v/>
      </c>
      <c r="Y47" s="97">
        <f>Y26*Y42-Y45</f>
        <v/>
      </c>
      <c r="Z47" s="97">
        <f>Z26*Z42-Z45</f>
        <v/>
      </c>
      <c r="AA47" s="97">
        <f>AA26*AA42-AA45</f>
        <v/>
      </c>
      <c r="AB47" s="97">
        <f>AB26*AB42-AB45</f>
        <v/>
      </c>
      <c r="AC47" s="97">
        <f>AC26*AC42-AC45</f>
        <v/>
      </c>
      <c r="AD47" s="97">
        <f>AD26*AD42-AD45</f>
        <v/>
      </c>
      <c r="AE47" s="97">
        <f>AE26*AE42-AE45</f>
        <v/>
      </c>
      <c r="AF47" s="97">
        <f>AF26*AF42-AF45</f>
        <v/>
      </c>
    </row>
    <row r="48">
      <c r="A48" s="22" t="inlineStr">
        <is>
          <t>MAXACQ</t>
        </is>
      </c>
      <c r="B48" s="20" t="inlineStr">
        <is>
          <t>Acquisition maximale au multiple des tuck-ins</t>
        </is>
      </c>
      <c r="C48" s="22" t="inlineStr">
        <is>
          <t>M EUR</t>
        </is>
      </c>
      <c r="D48" s="97">
        <f>IF(D21&gt;D26,MAX(0,D47)/(1-D26/D21),0)</f>
        <v/>
      </c>
      <c r="E48" s="97">
        <f>IF(E21&gt;E26,MAX(0,E47)/(1-E26/E21),0)</f>
        <v/>
      </c>
      <c r="F48" s="97">
        <f>IF(F21&gt;F26,MAX(0,F47)/(1-F26/F21),0)</f>
        <v/>
      </c>
      <c r="G48" s="97">
        <f>IF(G21&gt;G26,MAX(0,G47)/(1-G26/G21),0)</f>
        <v/>
      </c>
      <c r="H48" s="97">
        <f>IF(H21&gt;H26,MAX(0,H47)/(1-H26/H21),0)</f>
        <v/>
      </c>
      <c r="I48" s="97">
        <f>IF(I21&gt;I26,MAX(0,I47)/(1-I26/I21),0)</f>
        <v/>
      </c>
      <c r="J48" s="97">
        <f>IF(J21&gt;J26,MAX(0,J47)/(1-J26/J21),0)</f>
        <v/>
      </c>
      <c r="K48" s="97">
        <f>IF(K21&gt;K26,MAX(0,K47)/(1-K26/K21),0)</f>
        <v/>
      </c>
      <c r="L48" s="97">
        <f>IF(L21&gt;L26,MAX(0,L47)/(1-L26/L21),0)</f>
        <v/>
      </c>
      <c r="M48" s="97">
        <f>IF(M21&gt;M26,MAX(0,M47)/(1-M26/M21),0)</f>
        <v/>
      </c>
      <c r="N48" s="97">
        <f>IF(N21&gt;N26,MAX(0,N47)/(1-N26/N21),0)</f>
        <v/>
      </c>
      <c r="O48" s="97">
        <f>IF(O21&gt;O26,MAX(0,O47)/(1-O26/O21),0)</f>
        <v/>
      </c>
      <c r="P48" s="97">
        <f>IF(P21&gt;P26,MAX(0,P47)/(1-P26/P21),0)</f>
        <v/>
      </c>
      <c r="Q48" s="97">
        <f>IF(Q21&gt;Q26,MAX(0,Q47)/(1-Q26/Q21),0)</f>
        <v/>
      </c>
      <c r="R48" s="97">
        <f>IF(R21&gt;R26,MAX(0,R47)/(1-R26/R21),0)</f>
        <v/>
      </c>
      <c r="S48" s="97">
        <f>IF(S21&gt;S26,MAX(0,S47)/(1-S26/S21),0)</f>
        <v/>
      </c>
      <c r="T48" s="97">
        <f>IF(T21&gt;T26,MAX(0,T47)/(1-T26/T21),0)</f>
        <v/>
      </c>
      <c r="U48" s="97">
        <f>IF(U21&gt;U26,MAX(0,U47)/(1-U26/U21),0)</f>
        <v/>
      </c>
      <c r="V48" s="97">
        <f>IF(V21&gt;V26,MAX(0,V47)/(1-V26/V21),0)</f>
        <v/>
      </c>
      <c r="W48" s="97">
        <f>IF(W21&gt;W26,MAX(0,W47)/(1-W26/W21),0)</f>
        <v/>
      </c>
      <c r="X48" s="97">
        <f>IF(X21&gt;X26,MAX(0,X47)/(1-X26/X21),0)</f>
        <v/>
      </c>
      <c r="Y48" s="97">
        <f>IF(Y21&gt;Y26,MAX(0,Y47)/(1-Y26/Y21),0)</f>
        <v/>
      </c>
      <c r="Z48" s="97">
        <f>IF(Z21&gt;Z26,MAX(0,Z47)/(1-Z26/Z21),0)</f>
        <v/>
      </c>
      <c r="AA48" s="97">
        <f>IF(AA21&gt;AA26,MAX(0,AA47)/(1-AA26/AA21),0)</f>
        <v/>
      </c>
      <c r="AB48" s="97">
        <f>IF(AB21&gt;AB26,MAX(0,AB47)/(1-AB26/AB21),0)</f>
        <v/>
      </c>
      <c r="AC48" s="97">
        <f>IF(AC21&gt;AC26,MAX(0,AC47)/(1-AC26/AC21),0)</f>
        <v/>
      </c>
      <c r="AD48" s="97">
        <f>IF(AD21&gt;AD26,MAX(0,AD47)/(1-AD26/AD21),0)</f>
        <v/>
      </c>
      <c r="AE48" s="97">
        <f>IF(AE21&gt;AE26,MAX(0,AE47)/(1-AE26/AE21),0)</f>
        <v/>
      </c>
      <c r="AF48" s="97">
        <f>IF(AF21&gt;AF26,MAX(0,AF47)/(1-AF26/AF21),0)</f>
        <v/>
      </c>
    </row>
    <row r="49">
      <c r="A49" s="22" t="inlineStr">
        <is>
          <t>GAP8</t>
        </is>
      </c>
      <c r="B49" s="5" t="inlineStr">
        <is>
          <t>EBITDA 2027 moins l'objectif ≥ 8 Md€</t>
        </is>
      </c>
      <c r="C49" s="22" t="inlineStr">
        <is>
          <t>M EUR</t>
        </is>
      </c>
      <c r="D49" s="61">
        <f>D42-'Entrées'!$C$17*1000</f>
        <v/>
      </c>
      <c r="E49" s="61">
        <f>E42-'Entrées'!$C$17*1000</f>
        <v/>
      </c>
      <c r="F49" s="61">
        <f>F42-'Entrées'!$C$17*1000</f>
        <v/>
      </c>
      <c r="G49" s="61">
        <f>G42-'Entrées'!$C$17*1000</f>
        <v/>
      </c>
      <c r="H49" s="61">
        <f>H42-'Entrées'!$C$17*1000</f>
        <v/>
      </c>
      <c r="I49" s="61">
        <f>I42-'Entrées'!$C$17*1000</f>
        <v/>
      </c>
      <c r="J49" s="61">
        <f>J42-'Entrées'!$C$17*1000</f>
        <v/>
      </c>
      <c r="K49" s="61">
        <f>K42-'Entrées'!$C$17*1000</f>
        <v/>
      </c>
      <c r="L49" s="61">
        <f>L42-'Entrées'!$C$17*1000</f>
        <v/>
      </c>
      <c r="M49" s="61">
        <f>M42-'Entrées'!$C$17*1000</f>
        <v/>
      </c>
      <c r="N49" s="61">
        <f>N42-'Entrées'!$C$17*1000</f>
        <v/>
      </c>
      <c r="O49" s="61">
        <f>O42-'Entrées'!$C$17*1000</f>
        <v/>
      </c>
      <c r="P49" s="61">
        <f>P42-'Entrées'!$C$17*1000</f>
        <v/>
      </c>
      <c r="Q49" s="61">
        <f>Q42-'Entrées'!$C$17*1000</f>
        <v/>
      </c>
      <c r="R49" s="61">
        <f>R42-'Entrées'!$C$17*1000</f>
        <v/>
      </c>
      <c r="S49" s="61">
        <f>S42-'Entrées'!$C$17*1000</f>
        <v/>
      </c>
      <c r="T49" s="61">
        <f>T42-'Entrées'!$C$17*1000</f>
        <v/>
      </c>
      <c r="U49" s="61">
        <f>U42-'Entrées'!$C$17*1000</f>
        <v/>
      </c>
      <c r="V49" s="61">
        <f>V42-'Entrées'!$C$17*1000</f>
        <v/>
      </c>
      <c r="W49" s="61">
        <f>W42-'Entrées'!$C$17*1000</f>
        <v/>
      </c>
      <c r="X49" s="61">
        <f>X42-'Entrées'!$C$17*1000</f>
        <v/>
      </c>
      <c r="Y49" s="61">
        <f>Y42-'Entrées'!$C$17*1000</f>
        <v/>
      </c>
      <c r="Z49" s="61">
        <f>Z42-'Entrées'!$C$17*1000</f>
        <v/>
      </c>
      <c r="AA49" s="61">
        <f>AA42-'Entrées'!$C$17*1000</f>
        <v/>
      </c>
      <c r="AB49" s="61">
        <f>AB42-'Entrées'!$C$17*1000</f>
        <v/>
      </c>
      <c r="AC49" s="61">
        <f>AC42-'Entrées'!$C$17*1000</f>
        <v/>
      </c>
      <c r="AD49" s="61">
        <f>AD42-'Entrées'!$C$17*1000</f>
        <v/>
      </c>
      <c r="AE49" s="61">
        <f>AE42-'Entrées'!$C$17*1000</f>
        <v/>
      </c>
      <c r="AF49" s="61">
        <f>AF42-'Entrées'!$C$17*1000</f>
        <v/>
      </c>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c r="A51" s="22" t="inlineStr">
        <is>
          <t>ADJ26</t>
        </is>
      </c>
      <c r="B51" s="5" t="inlineStr">
        <is>
          <t>Dette nette ajustée par les agences fin 2026 (DFN + écart Moody's 2025)</t>
        </is>
      </c>
      <c r="C51" s="22" t="inlineStr">
        <is>
          <t>M EUR</t>
        </is>
      </c>
      <c r="D51" s="61">
        <f>D33+('Entrées'!$C$244-'Entrées'!$C$13)</f>
        <v/>
      </c>
      <c r="E51" s="61">
        <f>E33+('Entrées'!$C$244-'Entrées'!$C$13)</f>
        <v/>
      </c>
      <c r="F51" s="61">
        <f>F33+('Entrées'!$C$244-'Entrées'!$C$13)</f>
        <v/>
      </c>
      <c r="G51" s="61">
        <f>G33+('Entrées'!$C$244-'Entrées'!$C$13)</f>
        <v/>
      </c>
      <c r="H51" s="61">
        <f>H33+('Entrées'!$C$244-'Entrées'!$C$13)</f>
        <v/>
      </c>
      <c r="I51" s="61">
        <f>I33+('Entrées'!$C$244-'Entrées'!$C$13)</f>
        <v/>
      </c>
      <c r="J51" s="61">
        <f>J33+('Entrées'!$C$244-'Entrées'!$C$13)</f>
        <v/>
      </c>
      <c r="K51" s="61">
        <f>K33+('Entrées'!$C$244-'Entrées'!$C$13)</f>
        <v/>
      </c>
      <c r="L51" s="61">
        <f>L33+('Entrées'!$C$244-'Entrées'!$C$13)</f>
        <v/>
      </c>
      <c r="M51" s="61">
        <f>M33+('Entrées'!$C$244-'Entrées'!$C$13)</f>
        <v/>
      </c>
      <c r="N51" s="61">
        <f>N33+('Entrées'!$C$244-'Entrées'!$C$13)</f>
        <v/>
      </c>
      <c r="O51" s="61">
        <f>O33+('Entrées'!$C$244-'Entrées'!$C$13)</f>
        <v/>
      </c>
      <c r="P51" s="61">
        <f>P33+('Entrées'!$C$244-'Entrées'!$C$13)</f>
        <v/>
      </c>
      <c r="Q51" s="61">
        <f>Q33+('Entrées'!$C$244-'Entrées'!$C$13)</f>
        <v/>
      </c>
      <c r="R51" s="61">
        <f>R33+('Entrées'!$C$244-'Entrées'!$C$13)</f>
        <v/>
      </c>
      <c r="S51" s="61">
        <f>S33+('Entrées'!$C$244-'Entrées'!$C$13)</f>
        <v/>
      </c>
      <c r="T51" s="61">
        <f>T33+('Entrées'!$C$244-'Entrées'!$C$13)</f>
        <v/>
      </c>
      <c r="U51" s="61">
        <f>U33+('Entrées'!$C$244-'Entrées'!$C$13)</f>
        <v/>
      </c>
      <c r="V51" s="61">
        <f>V33+('Entrées'!$C$244-'Entrées'!$C$13)</f>
        <v/>
      </c>
      <c r="W51" s="61">
        <f>W33+('Entrées'!$C$244-'Entrées'!$C$13)</f>
        <v/>
      </c>
      <c r="X51" s="61">
        <f>X33+('Entrées'!$C$244-'Entrées'!$C$13)</f>
        <v/>
      </c>
      <c r="Y51" s="61">
        <f>Y33+('Entrées'!$C$244-'Entrées'!$C$13)</f>
        <v/>
      </c>
      <c r="Z51" s="61">
        <f>Z33+('Entrées'!$C$244-'Entrées'!$C$13)</f>
        <v/>
      </c>
      <c r="AA51" s="61">
        <f>AA33+('Entrées'!$C$244-'Entrées'!$C$13)</f>
        <v/>
      </c>
      <c r="AB51" s="61">
        <f>AB33+('Entrées'!$C$244-'Entrées'!$C$13)</f>
        <v/>
      </c>
      <c r="AC51" s="61">
        <f>AC33+('Entrées'!$C$244-'Entrées'!$C$13)</f>
        <v/>
      </c>
      <c r="AD51" s="61">
        <f>AD33+('Entrées'!$C$244-'Entrées'!$C$13)</f>
        <v/>
      </c>
      <c r="AE51" s="61">
        <f>AE33+('Entrées'!$C$244-'Entrées'!$C$13)</f>
        <v/>
      </c>
      <c r="AF51" s="61">
        <f>AF33+('Entrées'!$C$244-'Entrées'!$C$13)</f>
        <v/>
      </c>
    </row>
    <row r="52">
      <c r="A52" s="22" t="inlineStr">
        <is>
          <t>FFO26</t>
        </is>
      </c>
      <c r="B52" s="5" t="inlineStr">
        <is>
          <t>FFO 2026 (hypothèse ffo × EBITDA 2026)</t>
        </is>
      </c>
      <c r="C52" s="22" t="inlineStr">
        <is>
          <t>M EUR</t>
        </is>
      </c>
      <c r="D52" s="61">
        <f>D17*D32</f>
        <v/>
      </c>
      <c r="E52" s="61">
        <f>E17*E32</f>
        <v/>
      </c>
      <c r="F52" s="61">
        <f>F17*F32</f>
        <v/>
      </c>
      <c r="G52" s="61">
        <f>G17*G32</f>
        <v/>
      </c>
      <c r="H52" s="61">
        <f>H17*H32</f>
        <v/>
      </c>
      <c r="I52" s="61">
        <f>I17*I32</f>
        <v/>
      </c>
      <c r="J52" s="61">
        <f>J17*J32</f>
        <v/>
      </c>
      <c r="K52" s="61">
        <f>K17*K32</f>
        <v/>
      </c>
      <c r="L52" s="61">
        <f>L17*L32</f>
        <v/>
      </c>
      <c r="M52" s="61">
        <f>M17*M32</f>
        <v/>
      </c>
      <c r="N52" s="61">
        <f>N17*N32</f>
        <v/>
      </c>
      <c r="O52" s="61">
        <f>O17*O32</f>
        <v/>
      </c>
      <c r="P52" s="61">
        <f>P17*P32</f>
        <v/>
      </c>
      <c r="Q52" s="61">
        <f>Q17*Q32</f>
        <v/>
      </c>
      <c r="R52" s="61">
        <f>R17*R32</f>
        <v/>
      </c>
      <c r="S52" s="61">
        <f>S17*S32</f>
        <v/>
      </c>
      <c r="T52" s="61">
        <f>T17*T32</f>
        <v/>
      </c>
      <c r="U52" s="61">
        <f>U17*U32</f>
        <v/>
      </c>
      <c r="V52" s="61">
        <f>V17*V32</f>
        <v/>
      </c>
      <c r="W52" s="61">
        <f>W17*W32</f>
        <v/>
      </c>
      <c r="X52" s="61">
        <f>X17*X32</f>
        <v/>
      </c>
      <c r="Y52" s="61">
        <f>Y17*Y32</f>
        <v/>
      </c>
      <c r="Z52" s="61">
        <f>Z17*Z32</f>
        <v/>
      </c>
      <c r="AA52" s="61">
        <f>AA17*AA32</f>
        <v/>
      </c>
      <c r="AB52" s="61">
        <f>AB17*AB32</f>
        <v/>
      </c>
      <c r="AC52" s="61">
        <f>AC17*AC32</f>
        <v/>
      </c>
      <c r="AD52" s="61">
        <f>AD17*AD32</f>
        <v/>
      </c>
      <c r="AE52" s="61">
        <f>AE17*AE32</f>
        <v/>
      </c>
      <c r="AF52" s="61">
        <f>AF17*AF32</f>
        <v/>
      </c>
    </row>
    <row r="53">
      <c r="A53" s="22" t="inlineStr">
        <is>
          <t>RATIO26</t>
        </is>
      </c>
      <c r="B53" s="20" t="inlineStr">
        <is>
          <t>FFO / dette ajustée fin 2026</t>
        </is>
      </c>
      <c r="C53" s="22" t="inlineStr">
        <is>
          <t>%</t>
        </is>
      </c>
      <c r="D53" s="99">
        <f>D52/D51</f>
        <v/>
      </c>
      <c r="E53" s="99">
        <f>E52/E51</f>
        <v/>
      </c>
      <c r="F53" s="99">
        <f>F52/F51</f>
        <v/>
      </c>
      <c r="G53" s="99">
        <f>G52/G51</f>
        <v/>
      </c>
      <c r="H53" s="99">
        <f>H52/H51</f>
        <v/>
      </c>
      <c r="I53" s="99">
        <f>I52/I51</f>
        <v/>
      </c>
      <c r="J53" s="99">
        <f>J52/J51</f>
        <v/>
      </c>
      <c r="K53" s="99">
        <f>K52/K51</f>
        <v/>
      </c>
      <c r="L53" s="99">
        <f>L52/L51</f>
        <v/>
      </c>
      <c r="M53" s="99">
        <f>M52/M51</f>
        <v/>
      </c>
      <c r="N53" s="99">
        <f>N52/N51</f>
        <v/>
      </c>
      <c r="O53" s="99">
        <f>O52/O51</f>
        <v/>
      </c>
      <c r="P53" s="99">
        <f>P52/P51</f>
        <v/>
      </c>
      <c r="Q53" s="99">
        <f>Q52/Q51</f>
        <v/>
      </c>
      <c r="R53" s="99">
        <f>R52/R51</f>
        <v/>
      </c>
      <c r="S53" s="99">
        <f>S52/S51</f>
        <v/>
      </c>
      <c r="T53" s="99">
        <f>T52/T51</f>
        <v/>
      </c>
      <c r="U53" s="99">
        <f>U52/U51</f>
        <v/>
      </c>
      <c r="V53" s="99">
        <f>V52/V51</f>
        <v/>
      </c>
      <c r="W53" s="99">
        <f>W52/W51</f>
        <v/>
      </c>
      <c r="X53" s="99">
        <f>X52/X51</f>
        <v/>
      </c>
      <c r="Y53" s="99">
        <f>Y52/Y51</f>
        <v/>
      </c>
      <c r="Z53" s="99">
        <f>Z52/Z51</f>
        <v/>
      </c>
      <c r="AA53" s="99">
        <f>AA52/AA51</f>
        <v/>
      </c>
      <c r="AB53" s="99">
        <f>AB52/AB51</f>
        <v/>
      </c>
      <c r="AC53" s="99">
        <f>AC52/AC51</f>
        <v/>
      </c>
      <c r="AD53" s="99">
        <f>AD52/AD51</f>
        <v/>
      </c>
      <c r="AE53" s="99">
        <f>AE52/AE51</f>
        <v/>
      </c>
      <c r="AF53" s="99">
        <f>AF52/AF51</f>
        <v/>
      </c>
    </row>
    <row r="54">
      <c r="A54" s="22" t="inlineStr">
        <is>
          <t>HEADSP26</t>
        </is>
      </c>
      <c r="B54" s="20" t="inlineStr">
        <is>
          <t>Marge de dette fin 2026 sous le seuil S&amp;P (FFO / 18 % − dette ajustée)</t>
        </is>
      </c>
      <c r="C54" s="22" t="inlineStr">
        <is>
          <t>M EUR</t>
        </is>
      </c>
      <c r="D54" s="97">
        <f>D52/('Entrées'!$C$151/100)-D51</f>
        <v/>
      </c>
      <c r="E54" s="97">
        <f>E52/('Entrées'!$C$151/100)-E51</f>
        <v/>
      </c>
      <c r="F54" s="97">
        <f>F52/('Entrées'!$C$151/100)-F51</f>
        <v/>
      </c>
      <c r="G54" s="97">
        <f>G52/('Entrées'!$C$151/100)-G51</f>
        <v/>
      </c>
      <c r="H54" s="97">
        <f>H52/('Entrées'!$C$151/100)-H51</f>
        <v/>
      </c>
      <c r="I54" s="97">
        <f>I52/('Entrées'!$C$151/100)-I51</f>
        <v/>
      </c>
      <c r="J54" s="97">
        <f>J52/('Entrées'!$C$151/100)-J51</f>
        <v/>
      </c>
      <c r="K54" s="97">
        <f>K52/('Entrées'!$C$151/100)-K51</f>
        <v/>
      </c>
      <c r="L54" s="97">
        <f>L52/('Entrées'!$C$151/100)-L51</f>
        <v/>
      </c>
      <c r="M54" s="97">
        <f>M52/('Entrées'!$C$151/100)-M51</f>
        <v/>
      </c>
      <c r="N54" s="97">
        <f>N52/('Entrées'!$C$151/100)-N51</f>
        <v/>
      </c>
      <c r="O54" s="97">
        <f>O52/('Entrées'!$C$151/100)-O51</f>
        <v/>
      </c>
      <c r="P54" s="97">
        <f>P52/('Entrées'!$C$151/100)-P51</f>
        <v/>
      </c>
      <c r="Q54" s="97">
        <f>Q52/('Entrées'!$C$151/100)-Q51</f>
        <v/>
      </c>
      <c r="R54" s="97">
        <f>R52/('Entrées'!$C$151/100)-R51</f>
        <v/>
      </c>
      <c r="S54" s="97">
        <f>S52/('Entrées'!$C$151/100)-S51</f>
        <v/>
      </c>
      <c r="T54" s="97">
        <f>T52/('Entrées'!$C$151/100)-T51</f>
        <v/>
      </c>
      <c r="U54" s="97">
        <f>U52/('Entrées'!$C$151/100)-U51</f>
        <v/>
      </c>
      <c r="V54" s="97">
        <f>V52/('Entrées'!$C$151/100)-V51</f>
        <v/>
      </c>
      <c r="W54" s="97">
        <f>W52/('Entrées'!$C$151/100)-W51</f>
        <v/>
      </c>
      <c r="X54" s="97">
        <f>X52/('Entrées'!$C$151/100)-X51</f>
        <v/>
      </c>
      <c r="Y54" s="97">
        <f>Y52/('Entrées'!$C$151/100)-Y51</f>
        <v/>
      </c>
      <c r="Z54" s="97">
        <f>Z52/('Entrées'!$C$151/100)-Z51</f>
        <v/>
      </c>
      <c r="AA54" s="97">
        <f>AA52/('Entrées'!$C$151/100)-AA51</f>
        <v/>
      </c>
      <c r="AB54" s="97">
        <f>AB52/('Entrées'!$C$151/100)-AB51</f>
        <v/>
      </c>
      <c r="AC54" s="97">
        <f>AC52/('Entrées'!$C$151/100)-AC51</f>
        <v/>
      </c>
      <c r="AD54" s="97">
        <f>AD52/('Entrées'!$C$151/100)-AD51</f>
        <v/>
      </c>
      <c r="AE54" s="97">
        <f>AE52/('Entrées'!$C$151/100)-AE51</f>
        <v/>
      </c>
      <c r="AF54" s="97">
        <f>AF52/('Entrées'!$C$151/100)-AF51</f>
        <v/>
      </c>
    </row>
    <row r="55">
      <c r="A55" s="22" t="inlineStr">
        <is>
          <t>ADJ27</t>
        </is>
      </c>
      <c r="B55" s="5" t="inlineStr">
        <is>
          <t>Dette nette ajustée fin 2027</t>
        </is>
      </c>
      <c r="C55" s="22" t="inlineStr">
        <is>
          <t>M EUR</t>
        </is>
      </c>
      <c r="D55" s="61">
        <f>D45+('Entrées'!$C$244-'Entrées'!$C$13)</f>
        <v/>
      </c>
      <c r="E55" s="61">
        <f>E45+('Entrées'!$C$244-'Entrées'!$C$13)</f>
        <v/>
      </c>
      <c r="F55" s="61">
        <f>F45+('Entrées'!$C$244-'Entrées'!$C$13)</f>
        <v/>
      </c>
      <c r="G55" s="61">
        <f>G45+('Entrées'!$C$244-'Entrées'!$C$13)</f>
        <v/>
      </c>
      <c r="H55" s="61">
        <f>H45+('Entrées'!$C$244-'Entrées'!$C$13)</f>
        <v/>
      </c>
      <c r="I55" s="61">
        <f>I45+('Entrées'!$C$244-'Entrées'!$C$13)</f>
        <v/>
      </c>
      <c r="J55" s="61">
        <f>J45+('Entrées'!$C$244-'Entrées'!$C$13)</f>
        <v/>
      </c>
      <c r="K55" s="61">
        <f>K45+('Entrées'!$C$244-'Entrées'!$C$13)</f>
        <v/>
      </c>
      <c r="L55" s="61">
        <f>L45+('Entrées'!$C$244-'Entrées'!$C$13)</f>
        <v/>
      </c>
      <c r="M55" s="61">
        <f>M45+('Entrées'!$C$244-'Entrées'!$C$13)</f>
        <v/>
      </c>
      <c r="N55" s="61">
        <f>N45+('Entrées'!$C$244-'Entrées'!$C$13)</f>
        <v/>
      </c>
      <c r="O55" s="61">
        <f>O45+('Entrées'!$C$244-'Entrées'!$C$13)</f>
        <v/>
      </c>
      <c r="P55" s="61">
        <f>P45+('Entrées'!$C$244-'Entrées'!$C$13)</f>
        <v/>
      </c>
      <c r="Q55" s="61">
        <f>Q45+('Entrées'!$C$244-'Entrées'!$C$13)</f>
        <v/>
      </c>
      <c r="R55" s="61">
        <f>R45+('Entrées'!$C$244-'Entrées'!$C$13)</f>
        <v/>
      </c>
      <c r="S55" s="61">
        <f>S45+('Entrées'!$C$244-'Entrées'!$C$13)</f>
        <v/>
      </c>
      <c r="T55" s="61">
        <f>T45+('Entrées'!$C$244-'Entrées'!$C$13)</f>
        <v/>
      </c>
      <c r="U55" s="61">
        <f>U45+('Entrées'!$C$244-'Entrées'!$C$13)</f>
        <v/>
      </c>
      <c r="V55" s="61">
        <f>V45+('Entrées'!$C$244-'Entrées'!$C$13)</f>
        <v/>
      </c>
      <c r="W55" s="61">
        <f>W45+('Entrées'!$C$244-'Entrées'!$C$13)</f>
        <v/>
      </c>
      <c r="X55" s="61">
        <f>X45+('Entrées'!$C$244-'Entrées'!$C$13)</f>
        <v/>
      </c>
      <c r="Y55" s="61">
        <f>Y45+('Entrées'!$C$244-'Entrées'!$C$13)</f>
        <v/>
      </c>
      <c r="Z55" s="61">
        <f>Z45+('Entrées'!$C$244-'Entrées'!$C$13)</f>
        <v/>
      </c>
      <c r="AA55" s="61">
        <f>AA45+('Entrées'!$C$244-'Entrées'!$C$13)</f>
        <v/>
      </c>
      <c r="AB55" s="61">
        <f>AB45+('Entrées'!$C$244-'Entrées'!$C$13)</f>
        <v/>
      </c>
      <c r="AC55" s="61">
        <f>AC45+('Entrées'!$C$244-'Entrées'!$C$13)</f>
        <v/>
      </c>
      <c r="AD55" s="61">
        <f>AD45+('Entrées'!$C$244-'Entrées'!$C$13)</f>
        <v/>
      </c>
      <c r="AE55" s="61">
        <f>AE45+('Entrées'!$C$244-'Entrées'!$C$13)</f>
        <v/>
      </c>
      <c r="AF55" s="61">
        <f>AF45+('Entrées'!$C$244-'Entrées'!$C$13)</f>
        <v/>
      </c>
    </row>
    <row r="56">
      <c r="A56" s="22" t="inlineStr">
        <is>
          <t>FFO27</t>
        </is>
      </c>
      <c r="B56" s="5" t="inlineStr">
        <is>
          <t>FFO 2027</t>
        </is>
      </c>
      <c r="C56" s="22" t="inlineStr">
        <is>
          <t>M EUR</t>
        </is>
      </c>
      <c r="D56" s="61">
        <f>D17*D42</f>
        <v/>
      </c>
      <c r="E56" s="61">
        <f>E17*E42</f>
        <v/>
      </c>
      <c r="F56" s="61">
        <f>F17*F42</f>
        <v/>
      </c>
      <c r="G56" s="61">
        <f>G17*G42</f>
        <v/>
      </c>
      <c r="H56" s="61">
        <f>H17*H42</f>
        <v/>
      </c>
      <c r="I56" s="61">
        <f>I17*I42</f>
        <v/>
      </c>
      <c r="J56" s="61">
        <f>J17*J42</f>
        <v/>
      </c>
      <c r="K56" s="61">
        <f>K17*K42</f>
        <v/>
      </c>
      <c r="L56" s="61">
        <f>L17*L42</f>
        <v/>
      </c>
      <c r="M56" s="61">
        <f>M17*M42</f>
        <v/>
      </c>
      <c r="N56" s="61">
        <f>N17*N42</f>
        <v/>
      </c>
      <c r="O56" s="61">
        <f>O17*O42</f>
        <v/>
      </c>
      <c r="P56" s="61">
        <f>P17*P42</f>
        <v/>
      </c>
      <c r="Q56" s="61">
        <f>Q17*Q42</f>
        <v/>
      </c>
      <c r="R56" s="61">
        <f>R17*R42</f>
        <v/>
      </c>
      <c r="S56" s="61">
        <f>S17*S42</f>
        <v/>
      </c>
      <c r="T56" s="61">
        <f>T17*T42</f>
        <v/>
      </c>
      <c r="U56" s="61">
        <f>U17*U42</f>
        <v/>
      </c>
      <c r="V56" s="61">
        <f>V17*V42</f>
        <v/>
      </c>
      <c r="W56" s="61">
        <f>W17*W42</f>
        <v/>
      </c>
      <c r="X56" s="61">
        <f>X17*X42</f>
        <v/>
      </c>
      <c r="Y56" s="61">
        <f>Y17*Y42</f>
        <v/>
      </c>
      <c r="Z56" s="61">
        <f>Z17*Z42</f>
        <v/>
      </c>
      <c r="AA56" s="61">
        <f>AA17*AA42</f>
        <v/>
      </c>
      <c r="AB56" s="61">
        <f>AB17*AB42</f>
        <v/>
      </c>
      <c r="AC56" s="61">
        <f>AC17*AC42</f>
        <v/>
      </c>
      <c r="AD56" s="61">
        <f>AD17*AD42</f>
        <v/>
      </c>
      <c r="AE56" s="61">
        <f>AE17*AE42</f>
        <v/>
      </c>
      <c r="AF56" s="61">
        <f>AF17*AF42</f>
        <v/>
      </c>
    </row>
    <row r="57">
      <c r="A57" s="22" t="inlineStr">
        <is>
          <t>RATIO27</t>
        </is>
      </c>
      <c r="B57" s="20" t="inlineStr">
        <is>
          <t>FFO / dette ajustée fin 2027</t>
        </is>
      </c>
      <c r="C57" s="22" t="inlineStr">
        <is>
          <t>%</t>
        </is>
      </c>
      <c r="D57" s="99">
        <f>D56/D55</f>
        <v/>
      </c>
      <c r="E57" s="99">
        <f>E56/E55</f>
        <v/>
      </c>
      <c r="F57" s="99">
        <f>F56/F55</f>
        <v/>
      </c>
      <c r="G57" s="99">
        <f>G56/G55</f>
        <v/>
      </c>
      <c r="H57" s="99">
        <f>H56/H55</f>
        <v/>
      </c>
      <c r="I57" s="99">
        <f>I56/I55</f>
        <v/>
      </c>
      <c r="J57" s="99">
        <f>J56/J55</f>
        <v/>
      </c>
      <c r="K57" s="99">
        <f>K56/K55</f>
        <v/>
      </c>
      <c r="L57" s="99">
        <f>L56/L55</f>
        <v/>
      </c>
      <c r="M57" s="99">
        <f>M56/M55</f>
        <v/>
      </c>
      <c r="N57" s="99">
        <f>N56/N55</f>
        <v/>
      </c>
      <c r="O57" s="99">
        <f>O56/O55</f>
        <v/>
      </c>
      <c r="P57" s="99">
        <f>P56/P55</f>
        <v/>
      </c>
      <c r="Q57" s="99">
        <f>Q56/Q55</f>
        <v/>
      </c>
      <c r="R57" s="99">
        <f>R56/R55</f>
        <v/>
      </c>
      <c r="S57" s="99">
        <f>S56/S55</f>
        <v/>
      </c>
      <c r="T57" s="99">
        <f>T56/T55</f>
        <v/>
      </c>
      <c r="U57" s="99">
        <f>U56/U55</f>
        <v/>
      </c>
      <c r="V57" s="99">
        <f>V56/V55</f>
        <v/>
      </c>
      <c r="W57" s="99">
        <f>W56/W55</f>
        <v/>
      </c>
      <c r="X57" s="99">
        <f>X56/X55</f>
        <v/>
      </c>
      <c r="Y57" s="99">
        <f>Y56/Y55</f>
        <v/>
      </c>
      <c r="Z57" s="99">
        <f>Z56/Z55</f>
        <v/>
      </c>
      <c r="AA57" s="99">
        <f>AA56/AA55</f>
        <v/>
      </c>
      <c r="AB57" s="99">
        <f>AB56/AB55</f>
        <v/>
      </c>
      <c r="AC57" s="99">
        <f>AC56/AC55</f>
        <v/>
      </c>
      <c r="AD57" s="99">
        <f>AD56/AD55</f>
        <v/>
      </c>
      <c r="AE57" s="99">
        <f>AE56/AE55</f>
        <v/>
      </c>
      <c r="AF57" s="99">
        <f>AF56/AF55</f>
        <v/>
      </c>
    </row>
    <row r="58">
      <c r="A58" s="22" t="inlineStr">
        <is>
          <t>HEADSP27</t>
        </is>
      </c>
      <c r="B58" s="20" t="inlineStr">
        <is>
          <t>Marge de dette fin 2027 sous le seuil S&amp;P 18 %</t>
        </is>
      </c>
      <c r="C58" s="22" t="inlineStr">
        <is>
          <t>M EUR</t>
        </is>
      </c>
      <c r="D58" s="97">
        <f>D56/('Entrées'!$C$151/100)-D55</f>
        <v/>
      </c>
      <c r="E58" s="97">
        <f>E56/('Entrées'!$C$151/100)-E55</f>
        <v/>
      </c>
      <c r="F58" s="97">
        <f>F56/('Entrées'!$C$151/100)-F55</f>
        <v/>
      </c>
      <c r="G58" s="97">
        <f>G56/('Entrées'!$C$151/100)-G55</f>
        <v/>
      </c>
      <c r="H58" s="97">
        <f>H56/('Entrées'!$C$151/100)-H55</f>
        <v/>
      </c>
      <c r="I58" s="97">
        <f>I56/('Entrées'!$C$151/100)-I55</f>
        <v/>
      </c>
      <c r="J58" s="97">
        <f>J56/('Entrées'!$C$151/100)-J55</f>
        <v/>
      </c>
      <c r="K58" s="97">
        <f>K56/('Entrées'!$C$151/100)-K55</f>
        <v/>
      </c>
      <c r="L58" s="97">
        <f>L56/('Entrées'!$C$151/100)-L55</f>
        <v/>
      </c>
      <c r="M58" s="97">
        <f>M56/('Entrées'!$C$151/100)-M55</f>
        <v/>
      </c>
      <c r="N58" s="97">
        <f>N56/('Entrées'!$C$151/100)-N55</f>
        <v/>
      </c>
      <c r="O58" s="97">
        <f>O56/('Entrées'!$C$151/100)-O55</f>
        <v/>
      </c>
      <c r="P58" s="97">
        <f>P56/('Entrées'!$C$151/100)-P55</f>
        <v/>
      </c>
      <c r="Q58" s="97">
        <f>Q56/('Entrées'!$C$151/100)-Q55</f>
        <v/>
      </c>
      <c r="R58" s="97">
        <f>R56/('Entrées'!$C$151/100)-R55</f>
        <v/>
      </c>
      <c r="S58" s="97">
        <f>S56/('Entrées'!$C$151/100)-S55</f>
        <v/>
      </c>
      <c r="T58" s="97">
        <f>T56/('Entrées'!$C$151/100)-T55</f>
        <v/>
      </c>
      <c r="U58" s="97">
        <f>U56/('Entrées'!$C$151/100)-U55</f>
        <v/>
      </c>
      <c r="V58" s="97">
        <f>V56/('Entrées'!$C$151/100)-V55</f>
        <v/>
      </c>
      <c r="W58" s="97">
        <f>W56/('Entrées'!$C$151/100)-W55</f>
        <v/>
      </c>
      <c r="X58" s="97">
        <f>X56/('Entrées'!$C$151/100)-X55</f>
        <v/>
      </c>
      <c r="Y58" s="97">
        <f>Y56/('Entrées'!$C$151/100)-Y55</f>
        <v/>
      </c>
      <c r="Z58" s="97">
        <f>Z56/('Entrées'!$C$151/100)-Z55</f>
        <v/>
      </c>
      <c r="AA58" s="97">
        <f>AA56/('Entrées'!$C$151/100)-AA55</f>
        <v/>
      </c>
      <c r="AB58" s="97">
        <f>AB56/('Entrées'!$C$151/100)-AB55</f>
        <v/>
      </c>
      <c r="AC58" s="97">
        <f>AC56/('Entrées'!$C$151/100)-AC55</f>
        <v/>
      </c>
      <c r="AD58" s="97">
        <f>AD56/('Entrées'!$C$151/100)-AD55</f>
        <v/>
      </c>
      <c r="AE58" s="97">
        <f>AE56/('Entrées'!$C$151/100)-AE55</f>
        <v/>
      </c>
      <c r="AF58" s="97">
        <f>AF56/('Entrées'!$C$151/100)-AF55</f>
        <v/>
      </c>
    </row>
    <row r="59">
      <c r="A59" s="22" t="inlineStr">
        <is>
          <t>BIND27</t>
        </is>
      </c>
      <c r="B59" s="20" t="inlineStr">
        <is>
          <t>Marge contraignante fin 2027 (la plus petite des deux)</t>
        </is>
      </c>
      <c r="C59" s="22" t="inlineStr">
        <is>
          <t>M EUR</t>
        </is>
      </c>
      <c r="D59" s="97">
        <f>MIN(D47,D58)</f>
        <v/>
      </c>
      <c r="E59" s="97">
        <f>MIN(E47,E58)</f>
        <v/>
      </c>
      <c r="F59" s="97">
        <f>MIN(F47,F58)</f>
        <v/>
      </c>
      <c r="G59" s="97">
        <f>MIN(G47,G58)</f>
        <v/>
      </c>
      <c r="H59" s="97">
        <f>MIN(H47,H58)</f>
        <v/>
      </c>
      <c r="I59" s="97">
        <f>MIN(I47,I58)</f>
        <v/>
      </c>
      <c r="J59" s="97">
        <f>MIN(J47,J58)</f>
        <v/>
      </c>
      <c r="K59" s="97">
        <f>MIN(K47,K58)</f>
        <v/>
      </c>
      <c r="L59" s="97">
        <f>MIN(L47,L58)</f>
        <v/>
      </c>
      <c r="M59" s="97">
        <f>MIN(M47,M58)</f>
        <v/>
      </c>
      <c r="N59" s="97">
        <f>MIN(N47,N58)</f>
        <v/>
      </c>
      <c r="O59" s="97">
        <f>MIN(O47,O58)</f>
        <v/>
      </c>
      <c r="P59" s="97">
        <f>MIN(P47,P58)</f>
        <v/>
      </c>
      <c r="Q59" s="97">
        <f>MIN(Q47,Q58)</f>
        <v/>
      </c>
      <c r="R59" s="97">
        <f>MIN(R47,R58)</f>
        <v/>
      </c>
      <c r="S59" s="97">
        <f>MIN(S47,S58)</f>
        <v/>
      </c>
      <c r="T59" s="97">
        <f>MIN(T47,T58)</f>
        <v/>
      </c>
      <c r="U59" s="97">
        <f>MIN(U47,U58)</f>
        <v/>
      </c>
      <c r="V59" s="97">
        <f>MIN(V47,V58)</f>
        <v/>
      </c>
      <c r="W59" s="97">
        <f>MIN(W47,W58)</f>
        <v/>
      </c>
      <c r="X59" s="97">
        <f>MIN(X47,X58)</f>
        <v/>
      </c>
      <c r="Y59" s="97">
        <f>MIN(Y47,Y58)</f>
        <v/>
      </c>
      <c r="Z59" s="97">
        <f>MIN(Z47,Z58)</f>
        <v/>
      </c>
      <c r="AA59" s="97">
        <f>MIN(AA47,AA58)</f>
        <v/>
      </c>
      <c r="AB59" s="97">
        <f>MIN(AB47,AB58)</f>
        <v/>
      </c>
      <c r="AC59" s="97">
        <f>MIN(AC47,AC58)</f>
        <v/>
      </c>
      <c r="AD59" s="97">
        <f>MIN(AD47,AD58)</f>
        <v/>
      </c>
      <c r="AE59" s="97">
        <f>MIN(AE47,AE58)</f>
        <v/>
      </c>
      <c r="AF59" s="97">
        <f>MIN(AF47,AF58)</f>
        <v/>
      </c>
    </row>
    <row r="60">
      <c r="A60" s="22" t="inlineStr">
        <is>
          <t>WHICH27</t>
        </is>
      </c>
      <c r="B60" s="20" t="inlineStr">
        <is>
          <t>Contrainte qui mord en premier</t>
        </is>
      </c>
      <c r="C60" s="22" t="inlineStr"/>
      <c r="D60" s="100">
        <f>IF(D58&lt;D47,"agences : FFO / dette ≥ 18 %","Veolia : levier ≤ 3x")</f>
        <v/>
      </c>
      <c r="E60" s="100">
        <f>IF(E58&lt;E47,"agences : FFO / dette ≥ 18 %","Veolia : levier ≤ 3x")</f>
        <v/>
      </c>
      <c r="F60" s="100">
        <f>IF(F58&lt;F47,"agences : FFO / dette ≥ 18 %","Veolia : levier ≤ 3x")</f>
        <v/>
      </c>
      <c r="G60" s="100">
        <f>IF(G58&lt;G47,"agences : FFO / dette ≥ 18 %","Veolia : levier ≤ 3x")</f>
        <v/>
      </c>
      <c r="H60" s="100">
        <f>IF(H58&lt;H47,"agences : FFO / dette ≥ 18 %","Veolia : levier ≤ 3x")</f>
        <v/>
      </c>
      <c r="I60" s="100">
        <f>IF(I58&lt;I47,"agences : FFO / dette ≥ 18 %","Veolia : levier ≤ 3x")</f>
        <v/>
      </c>
      <c r="J60" s="100">
        <f>IF(J58&lt;J47,"agences : FFO / dette ≥ 18 %","Veolia : levier ≤ 3x")</f>
        <v/>
      </c>
      <c r="K60" s="100">
        <f>IF(K58&lt;K47,"agences : FFO / dette ≥ 18 %","Veolia : levier ≤ 3x")</f>
        <v/>
      </c>
      <c r="L60" s="100">
        <f>IF(L58&lt;L47,"agences : FFO / dette ≥ 18 %","Veolia : levier ≤ 3x")</f>
        <v/>
      </c>
      <c r="M60" s="100">
        <f>IF(M58&lt;M47,"agences : FFO / dette ≥ 18 %","Veolia : levier ≤ 3x")</f>
        <v/>
      </c>
      <c r="N60" s="100">
        <f>IF(N58&lt;N47,"agences : FFO / dette ≥ 18 %","Veolia : levier ≤ 3x")</f>
        <v/>
      </c>
      <c r="O60" s="100">
        <f>IF(O58&lt;O47,"agences : FFO / dette ≥ 18 %","Veolia : levier ≤ 3x")</f>
        <v/>
      </c>
      <c r="P60" s="100">
        <f>IF(P58&lt;P47,"agences : FFO / dette ≥ 18 %","Veolia : levier ≤ 3x")</f>
        <v/>
      </c>
      <c r="Q60" s="100">
        <f>IF(Q58&lt;Q47,"agences : FFO / dette ≥ 18 %","Veolia : levier ≤ 3x")</f>
        <v/>
      </c>
      <c r="R60" s="100">
        <f>IF(R58&lt;R47,"agences : FFO / dette ≥ 18 %","Veolia : levier ≤ 3x")</f>
        <v/>
      </c>
      <c r="S60" s="100">
        <f>IF(S58&lt;S47,"agences : FFO / dette ≥ 18 %","Veolia : levier ≤ 3x")</f>
        <v/>
      </c>
      <c r="T60" s="100">
        <f>IF(T58&lt;T47,"agences : FFO / dette ≥ 18 %","Veolia : levier ≤ 3x")</f>
        <v/>
      </c>
      <c r="U60" s="100">
        <f>IF(U58&lt;U47,"agences : FFO / dette ≥ 18 %","Veolia : levier ≤ 3x")</f>
        <v/>
      </c>
      <c r="V60" s="100">
        <f>IF(V58&lt;V47,"agences : FFO / dette ≥ 18 %","Veolia : levier ≤ 3x")</f>
        <v/>
      </c>
      <c r="W60" s="100">
        <f>IF(W58&lt;W47,"agences : FFO / dette ≥ 18 %","Veolia : levier ≤ 3x")</f>
        <v/>
      </c>
      <c r="X60" s="100">
        <f>IF(X58&lt;X47,"agences : FFO / dette ≥ 18 %","Veolia : levier ≤ 3x")</f>
        <v/>
      </c>
      <c r="Y60" s="100">
        <f>IF(Y58&lt;Y47,"agences : FFO / dette ≥ 18 %","Veolia : levier ≤ 3x")</f>
        <v/>
      </c>
      <c r="Z60" s="100">
        <f>IF(Z58&lt;Z47,"agences : FFO / dette ≥ 18 %","Veolia : levier ≤ 3x")</f>
        <v/>
      </c>
      <c r="AA60" s="100">
        <f>IF(AA58&lt;AA47,"agences : FFO / dette ≥ 18 %","Veolia : levier ≤ 3x")</f>
        <v/>
      </c>
      <c r="AB60" s="100">
        <f>IF(AB58&lt;AB47,"agences : FFO / dette ≥ 18 %","Veolia : levier ≤ 3x")</f>
        <v/>
      </c>
      <c r="AC60" s="100">
        <f>IF(AC58&lt;AC47,"agences : FFO / dette ≥ 18 %","Veolia : levier ≤ 3x")</f>
        <v/>
      </c>
      <c r="AD60" s="100">
        <f>IF(AD58&lt;AD47,"agences : FFO / dette ≥ 18 %","Veolia : levier ≤ 3x")</f>
        <v/>
      </c>
      <c r="AE60" s="100">
        <f>IF(AE58&lt;AE47,"agences : FFO / dette ≥ 18 %","Veolia : levier ≤ 3x")</f>
        <v/>
      </c>
      <c r="AF60" s="100">
        <f>IF(AF58&lt;AF47,"agences : FFO / dette ≥ 18 %","Veolia : levier ≤ 3x")</f>
        <v/>
      </c>
    </row>
    <row r="61">
      <c r="A61" s="22" t="inlineStr">
        <is>
          <t>MAXACQB</t>
        </is>
      </c>
      <c r="B61" s="20" t="inlineStr">
        <is>
          <t>Acquisition maximale fin 2027 sous la contrainte qui mord, au multiple des tuck-ins</t>
        </is>
      </c>
      <c r="C61" s="22" t="inlineStr">
        <is>
          <t>M EUR</t>
        </is>
      </c>
      <c r="D61" s="97">
        <f>IF(D21&gt;D26,MAX(0,D59)/(1-D26/D21),0)</f>
        <v/>
      </c>
      <c r="E61" s="97">
        <f>IF(E21&gt;E26,MAX(0,E59)/(1-E26/E21),0)</f>
        <v/>
      </c>
      <c r="F61" s="97">
        <f>IF(F21&gt;F26,MAX(0,F59)/(1-F26/F21),0)</f>
        <v/>
      </c>
      <c r="G61" s="97">
        <f>IF(G21&gt;G26,MAX(0,G59)/(1-G26/G21),0)</f>
        <v/>
      </c>
      <c r="H61" s="97">
        <f>IF(H21&gt;H26,MAX(0,H59)/(1-H26/H21),0)</f>
        <v/>
      </c>
      <c r="I61" s="97">
        <f>IF(I21&gt;I26,MAX(0,I59)/(1-I26/I21),0)</f>
        <v/>
      </c>
      <c r="J61" s="97">
        <f>IF(J21&gt;J26,MAX(0,J59)/(1-J26/J21),0)</f>
        <v/>
      </c>
      <c r="K61" s="97">
        <f>IF(K21&gt;K26,MAX(0,K59)/(1-K26/K21),0)</f>
        <v/>
      </c>
      <c r="L61" s="97">
        <f>IF(L21&gt;L26,MAX(0,L59)/(1-L26/L21),0)</f>
        <v/>
      </c>
      <c r="M61" s="97">
        <f>IF(M21&gt;M26,MAX(0,M59)/(1-M26/M21),0)</f>
        <v/>
      </c>
      <c r="N61" s="97">
        <f>IF(N21&gt;N26,MAX(0,N59)/(1-N26/N21),0)</f>
        <v/>
      </c>
      <c r="O61" s="97">
        <f>IF(O21&gt;O26,MAX(0,O59)/(1-O26/O21),0)</f>
        <v/>
      </c>
      <c r="P61" s="97">
        <f>IF(P21&gt;P26,MAX(0,P59)/(1-P26/P21),0)</f>
        <v/>
      </c>
      <c r="Q61" s="97">
        <f>IF(Q21&gt;Q26,MAX(0,Q59)/(1-Q26/Q21),0)</f>
        <v/>
      </c>
      <c r="R61" s="97">
        <f>IF(R21&gt;R26,MAX(0,R59)/(1-R26/R21),0)</f>
        <v/>
      </c>
      <c r="S61" s="97">
        <f>IF(S21&gt;S26,MAX(0,S59)/(1-S26/S21),0)</f>
        <v/>
      </c>
      <c r="T61" s="97">
        <f>IF(T21&gt;T26,MAX(0,T59)/(1-T26/T21),0)</f>
        <v/>
      </c>
      <c r="U61" s="97">
        <f>IF(U21&gt;U26,MAX(0,U59)/(1-U26/U21),0)</f>
        <v/>
      </c>
      <c r="V61" s="97">
        <f>IF(V21&gt;V26,MAX(0,V59)/(1-V26/V21),0)</f>
        <v/>
      </c>
      <c r="W61" s="97">
        <f>IF(W21&gt;W26,MAX(0,W59)/(1-W26/W21),0)</f>
        <v/>
      </c>
      <c r="X61" s="97">
        <f>IF(X21&gt;X26,MAX(0,X59)/(1-X26/X21),0)</f>
        <v/>
      </c>
      <c r="Y61" s="97">
        <f>IF(Y21&gt;Y26,MAX(0,Y59)/(1-Y26/Y21),0)</f>
        <v/>
      </c>
      <c r="Z61" s="97">
        <f>IF(Z21&gt;Z26,MAX(0,Z59)/(1-Z26/Z21),0)</f>
        <v/>
      </c>
      <c r="AA61" s="97">
        <f>IF(AA21&gt;AA26,MAX(0,AA59)/(1-AA26/AA21),0)</f>
        <v/>
      </c>
      <c r="AB61" s="97">
        <f>IF(AB21&gt;AB26,MAX(0,AB59)/(1-AB26/AB21),0)</f>
        <v/>
      </c>
      <c r="AC61" s="97">
        <f>IF(AC21&gt;AC26,MAX(0,AC59)/(1-AC26/AC21),0)</f>
        <v/>
      </c>
      <c r="AD61" s="97">
        <f>IF(AD21&gt;AD26,MAX(0,AD59)/(1-AD26/AD21),0)</f>
        <v/>
      </c>
      <c r="AE61" s="97">
        <f>IF(AE21&gt;AE26,MAX(0,AE59)/(1-AE26/AE21),0)</f>
        <v/>
      </c>
      <c r="AF61" s="97">
        <f>IF(AF21&gt;AF26,MAX(0,AF59)/(1-AF26/AF21),0)</f>
        <v/>
      </c>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c r="A63" s="2" t="n"/>
      <c r="B63" s="20" t="inlineStr">
        <is>
          <t>Levier par scénario (source du graphique)</t>
        </is>
      </c>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c r="A64" s="19" t="inlineStr"/>
      <c r="B64" s="19" t="inlineStr">
        <is>
          <t>Année</t>
        </is>
      </c>
      <c r="C64" s="19" t="inlineStr">
        <is>
          <t>Scénario actif</t>
        </is>
      </c>
      <c r="D64" s="19" t="inlineStr">
        <is>
          <t>Défavorable combiné</t>
        </is>
      </c>
      <c r="E64" s="19" t="inlineStr">
        <is>
          <t>Favorable combiné</t>
        </is>
      </c>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c r="A65" s="2" t="n"/>
      <c r="B65" s="23" t="inlineStr">
        <is>
          <t>2024</t>
        </is>
      </c>
      <c r="C65" s="60">
        <f>'Entrées'!$C$25</f>
        <v/>
      </c>
      <c r="D65" s="60">
        <f>'Entrées'!$C$25</f>
        <v/>
      </c>
      <c r="E65" s="60">
        <f>'Entrées'!$C$25</f>
        <v/>
      </c>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c r="A66" s="2" t="n"/>
      <c r="B66" s="23" t="inlineStr">
        <is>
          <t>2025</t>
        </is>
      </c>
      <c r="C66" s="60">
        <f>'Entrées'!$C$21</f>
        <v/>
      </c>
      <c r="D66" s="60">
        <f>'Entrées'!$C$21</f>
        <v/>
      </c>
      <c r="E66" s="60">
        <f>'Entrées'!$C$21</f>
        <v/>
      </c>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c r="A67" s="2" t="n"/>
      <c r="B67" s="23" t="inlineStr">
        <is>
          <t>2026</t>
        </is>
      </c>
      <c r="C67" s="72">
        <f>$D$34</f>
        <v/>
      </c>
      <c r="D67" s="72">
        <f>$AE$34</f>
        <v/>
      </c>
      <c r="E67" s="72">
        <f>$AF$34</f>
        <v/>
      </c>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c r="A68" s="2" t="n"/>
      <c r="B68" s="23" t="inlineStr">
        <is>
          <t>2027</t>
        </is>
      </c>
      <c r="C68" s="72">
        <f>$D$46</f>
        <v/>
      </c>
      <c r="D68" s="72">
        <f>$AE$46</f>
        <v/>
      </c>
      <c r="E68" s="72">
        <f>$AF$46</f>
        <v/>
      </c>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sheetData>
  <pageMargins left="0.75" right="0.75" top="1" bottom="1" header="0.5" footer="0.5"/>
  <pageSetup orientation="landscape" paperSize="9"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O55"/>
  <sheetViews>
    <sheetView showGridLines="0" workbookViewId="0">
      <selection activeCell="A1" sqref="A1"/>
    </sheetView>
  </sheetViews>
  <sheetFormatPr baseColWidth="8" defaultRowHeight="15"/>
  <cols>
    <col width="7" customWidth="1" min="1" max="1"/>
    <col width="50" customWidth="1" min="2" max="2"/>
    <col width="12" customWidth="1" min="3" max="3"/>
    <col width="12" customWidth="1" min="4" max="4"/>
    <col width="12" customWidth="1" min="5" max="5"/>
    <col width="12" customWidth="1" min="6" max="6"/>
    <col width="10" customWidth="1" min="7" max="7"/>
    <col width="10" customWidth="1" min="8" max="8"/>
    <col width="11" customWidth="1" min="9" max="9"/>
    <col width="11" customWidth="1" min="10" max="10"/>
    <col width="11" customWidth="1" min="11" max="11"/>
    <col hidden="1" width="11" customWidth="1" min="12" max="12"/>
    <col width="13" customWidth="1" min="13" max="13"/>
    <col width="13" customWidth="1" min="14" max="14"/>
    <col width="12" customWidth="1" min="15" max="15"/>
  </cols>
  <sheetData>
    <row r="1">
      <c r="A1" s="1" t="inlineStr">
        <is>
          <t>Rôle 3 — Ce qui bouge le plus la réponse</t>
        </is>
      </c>
      <c r="B1" s="2" t="n"/>
      <c r="C1" s="2" t="n"/>
      <c r="D1" s="2" t="n"/>
      <c r="E1" s="2" t="n"/>
      <c r="F1" s="2" t="n"/>
      <c r="G1" s="2" t="n"/>
      <c r="H1" s="2" t="n"/>
      <c r="I1" s="2" t="n"/>
      <c r="J1" s="2" t="n"/>
      <c r="K1" s="2" t="n"/>
      <c r="L1" s="2" t="n"/>
      <c r="M1" s="2" t="n"/>
      <c r="N1" s="2" t="n"/>
      <c r="O1" s="2" t="n"/>
    </row>
    <row r="2">
      <c r="A2" s="3" t="inlineStr">
        <is>
          <t>Marge de manœuvre fin 2027 sous le plafond, une hypothèse à la fois entre ses bornes. Trié par amplitude.</t>
        </is>
      </c>
      <c r="B2" s="2" t="n"/>
      <c r="C2" s="2" t="n"/>
      <c r="D2" s="2" t="n"/>
      <c r="E2" s="2" t="n"/>
      <c r="F2" s="2" t="n"/>
      <c r="G2" s="2" t="n"/>
      <c r="H2" s="2" t="n"/>
      <c r="I2" s="2" t="n"/>
      <c r="J2" s="2" t="n"/>
      <c r="K2" s="2" t="n"/>
      <c r="L2" s="2" t="n"/>
      <c r="M2" s="2" t="n"/>
      <c r="N2" s="2" t="n"/>
      <c r="O2" s="2" t="n"/>
    </row>
    <row r="3">
      <c r="A3" s="2" t="n"/>
      <c r="B3" s="2" t="n"/>
      <c r="C3" s="2" t="n"/>
      <c r="D3" s="2" t="n"/>
      <c r="E3" s="2" t="n"/>
      <c r="F3" s="2" t="n"/>
      <c r="G3" s="2" t="n"/>
      <c r="H3" s="2" t="n"/>
      <c r="I3" s="2" t="n"/>
      <c r="J3" s="2" t="n"/>
      <c r="K3" s="2" t="n"/>
      <c r="L3" s="2" t="n"/>
      <c r="M3" s="2" t="n"/>
      <c r="N3" s="2" t="n"/>
      <c r="O3" s="2" t="n"/>
    </row>
    <row r="4">
      <c r="A4" s="19" t="inlineStr">
        <is>
          <t>Code</t>
        </is>
      </c>
      <c r="B4" s="19" t="inlineStr">
        <is>
          <t>Hypothèse</t>
        </is>
      </c>
      <c r="C4" s="19" t="inlineStr">
        <is>
          <t>Valeur basse</t>
        </is>
      </c>
      <c r="D4" s="19" t="inlineStr">
        <is>
          <t>Valeur haute</t>
        </is>
      </c>
      <c r="E4" s="19" t="inlineStr">
        <is>
          <t>Marge 3x si bas</t>
        </is>
      </c>
      <c r="F4" s="19" t="inlineStr">
        <is>
          <t>Marge 3x si haut</t>
        </is>
      </c>
      <c r="G4" s="19" t="inlineStr">
        <is>
          <t>Δ bas</t>
        </is>
      </c>
      <c r="H4" s="19" t="inlineStr">
        <is>
          <t>Δ haut</t>
        </is>
      </c>
      <c r="I4" s="19" t="inlineStr">
        <is>
          <t>Amplitude</t>
        </is>
      </c>
      <c r="J4" s="19" t="inlineStr">
        <is>
          <t>Levier 2026 bas</t>
        </is>
      </c>
      <c r="K4" s="19" t="inlineStr">
        <is>
          <t>Levier 2026 haut</t>
        </is>
      </c>
      <c r="L4" s="19" t="inlineStr">
        <is>
          <t>clé de tri</t>
        </is>
      </c>
      <c r="M4" s="19" t="inlineStr">
        <is>
          <t>Marge S&amp;P si bas</t>
        </is>
      </c>
      <c r="N4" s="19" t="inlineStr">
        <is>
          <t>Marge S&amp;P si haut</t>
        </is>
      </c>
      <c r="O4" s="19" t="inlineStr">
        <is>
          <t>Amplitude S&amp;P</t>
        </is>
      </c>
    </row>
    <row r="5">
      <c r="A5" s="22" t="inlineStr">
        <is>
          <t>g26</t>
        </is>
      </c>
      <c r="B5" s="101">
        <f>'Hypothèses'!$B$5</f>
        <v/>
      </c>
      <c r="C5" s="69">
        <f>'Hypothèses'!$D$5</f>
        <v/>
      </c>
      <c r="D5" s="69">
        <f>'Hypothèses'!$E$5</f>
        <v/>
      </c>
      <c r="E5" s="58">
        <f>'Trajectoire'!$E$47</f>
        <v/>
      </c>
      <c r="F5" s="58">
        <f>'Trajectoire'!$F$47</f>
        <v/>
      </c>
      <c r="G5" s="61">
        <f>E5-'Trajectoire'!$D$47</f>
        <v/>
      </c>
      <c r="H5" s="61">
        <f>F5-'Trajectoire'!$D$47</f>
        <v/>
      </c>
      <c r="I5" s="42">
        <f>ABS(F5-E5)</f>
        <v/>
      </c>
      <c r="J5" s="60">
        <f>'Trajectoire'!$E$34</f>
        <v/>
      </c>
      <c r="K5" s="60">
        <f>'Trajectoire'!$F$34</f>
        <v/>
      </c>
      <c r="L5" s="102">
        <f>I5+ROW()/1000000</f>
        <v/>
      </c>
      <c r="M5" s="58">
        <f>'Trajectoire'!$E$58</f>
        <v/>
      </c>
      <c r="N5" s="58">
        <f>'Trajectoire'!$F$58</f>
        <v/>
      </c>
      <c r="O5" s="42">
        <f>ABS(N5-M5)</f>
        <v/>
      </c>
    </row>
    <row r="6">
      <c r="A6" s="22" t="inlineStr">
        <is>
          <t>g27</t>
        </is>
      </c>
      <c r="B6" s="101">
        <f>'Hypothèses'!$B$6</f>
        <v/>
      </c>
      <c r="C6" s="69">
        <f>'Hypothèses'!$D$6</f>
        <v/>
      </c>
      <c r="D6" s="69">
        <f>'Hypothèses'!$E$6</f>
        <v/>
      </c>
      <c r="E6" s="58">
        <f>'Trajectoire'!$G$47</f>
        <v/>
      </c>
      <c r="F6" s="58">
        <f>'Trajectoire'!$H$47</f>
        <v/>
      </c>
      <c r="G6" s="61">
        <f>E6-'Trajectoire'!$D$47</f>
        <v/>
      </c>
      <c r="H6" s="61">
        <f>F6-'Trajectoire'!$D$47</f>
        <v/>
      </c>
      <c r="I6" s="42">
        <f>ABS(F6-E6)</f>
        <v/>
      </c>
      <c r="J6" s="60">
        <f>'Trajectoire'!$G$34</f>
        <v/>
      </c>
      <c r="K6" s="60">
        <f>'Trajectoire'!$H$34</f>
        <v/>
      </c>
      <c r="L6" s="102">
        <f>I6+ROW()/1000000</f>
        <v/>
      </c>
      <c r="M6" s="58">
        <f>'Trajectoire'!$G$58</f>
        <v/>
      </c>
      <c r="N6" s="58">
        <f>'Trajectoire'!$H$58</f>
        <v/>
      </c>
      <c r="O6" s="42">
        <f>ABS(N6-M6)</f>
        <v/>
      </c>
    </row>
    <row r="7">
      <c r="A7" s="22" t="inlineStr">
        <is>
          <t>ceEb</t>
        </is>
      </c>
      <c r="B7" s="101">
        <f>'Hypothèses'!$B$7</f>
        <v/>
      </c>
      <c r="C7" s="58">
        <f>'Hypothèses'!$D$7</f>
        <v/>
      </c>
      <c r="D7" s="58">
        <f>'Hypothèses'!$E$7</f>
        <v/>
      </c>
      <c r="E7" s="58">
        <f>'Trajectoire'!$I$47</f>
        <v/>
      </c>
      <c r="F7" s="58">
        <f>'Trajectoire'!$J$47</f>
        <v/>
      </c>
      <c r="G7" s="61">
        <f>E7-'Trajectoire'!$D$47</f>
        <v/>
      </c>
      <c r="H7" s="61">
        <f>F7-'Trajectoire'!$D$47</f>
        <v/>
      </c>
      <c r="I7" s="42">
        <f>ABS(F7-E7)</f>
        <v/>
      </c>
      <c r="J7" s="60">
        <f>'Trajectoire'!$I$34</f>
        <v/>
      </c>
      <c r="K7" s="60">
        <f>'Trajectoire'!$J$34</f>
        <v/>
      </c>
      <c r="L7" s="102">
        <f>I7+ROW()/1000000</f>
        <v/>
      </c>
      <c r="M7" s="58">
        <f>'Trajectoire'!$I$58</f>
        <v/>
      </c>
      <c r="N7" s="58">
        <f>'Trajectoire'!$J$58</f>
        <v/>
      </c>
      <c r="O7" s="42">
        <f>ABS(N7-M7)</f>
        <v/>
      </c>
    </row>
    <row r="8">
      <c r="A8" s="22" t="inlineStr">
        <is>
          <t>syn</t>
        </is>
      </c>
      <c r="B8" s="101">
        <f>'Hypothèses'!$B$8</f>
        <v/>
      </c>
      <c r="C8" s="69">
        <f>'Hypothèses'!$D$8</f>
        <v/>
      </c>
      <c r="D8" s="69">
        <f>'Hypothèses'!$E$8</f>
        <v/>
      </c>
      <c r="E8" s="58">
        <f>'Trajectoire'!$K$47</f>
        <v/>
      </c>
      <c r="F8" s="58">
        <f>'Trajectoire'!$L$47</f>
        <v/>
      </c>
      <c r="G8" s="61">
        <f>E8-'Trajectoire'!$D$47</f>
        <v/>
      </c>
      <c r="H8" s="61">
        <f>F8-'Trajectoire'!$D$47</f>
        <v/>
      </c>
      <c r="I8" s="42">
        <f>ABS(F8-E8)</f>
        <v/>
      </c>
      <c r="J8" s="60">
        <f>'Trajectoire'!$K$34</f>
        <v/>
      </c>
      <c r="K8" s="60">
        <f>'Trajectoire'!$L$34</f>
        <v/>
      </c>
      <c r="L8" s="102">
        <f>I8+ROW()/1000000</f>
        <v/>
      </c>
      <c r="M8" s="58">
        <f>'Trajectoire'!$K$58</f>
        <v/>
      </c>
      <c r="N8" s="58">
        <f>'Trajectoire'!$L$58</f>
        <v/>
      </c>
      <c r="O8" s="42">
        <f>ABS(N8-M8)</f>
        <v/>
      </c>
    </row>
    <row r="9">
      <c r="A9" s="22" t="inlineStr">
        <is>
          <t>fcfH2</t>
        </is>
      </c>
      <c r="B9" s="101">
        <f>'Hypothèses'!$B$9</f>
        <v/>
      </c>
      <c r="C9" s="58">
        <f>'Hypothèses'!$D$9</f>
        <v/>
      </c>
      <c r="D9" s="58">
        <f>'Hypothèses'!$E$9</f>
        <v/>
      </c>
      <c r="E9" s="58">
        <f>'Trajectoire'!$M$47</f>
        <v/>
      </c>
      <c r="F9" s="58">
        <f>'Trajectoire'!$N$47</f>
        <v/>
      </c>
      <c r="G9" s="61">
        <f>E9-'Trajectoire'!$D$47</f>
        <v/>
      </c>
      <c r="H9" s="61">
        <f>F9-'Trajectoire'!$D$47</f>
        <v/>
      </c>
      <c r="I9" s="42">
        <f>ABS(F9-E9)</f>
        <v/>
      </c>
      <c r="J9" s="60">
        <f>'Trajectoire'!$M$34</f>
        <v/>
      </c>
      <c r="K9" s="60">
        <f>'Trajectoire'!$N$34</f>
        <v/>
      </c>
      <c r="L9" s="102">
        <f>I9+ROW()/1000000</f>
        <v/>
      </c>
      <c r="M9" s="58">
        <f>'Trajectoire'!$M$58</f>
        <v/>
      </c>
      <c r="N9" s="58">
        <f>'Trajectoire'!$N$58</f>
        <v/>
      </c>
      <c r="O9" s="42">
        <f>ABS(N9-M9)</f>
        <v/>
      </c>
    </row>
    <row r="10">
      <c r="A10" s="22" t="inlineStr">
        <is>
          <t>conv</t>
        </is>
      </c>
      <c r="B10" s="101">
        <f>'Hypothèses'!$B$10</f>
        <v/>
      </c>
      <c r="C10" s="69">
        <f>'Hypothèses'!$D$10</f>
        <v/>
      </c>
      <c r="D10" s="69">
        <f>'Hypothèses'!$E$10</f>
        <v/>
      </c>
      <c r="E10" s="58">
        <f>'Trajectoire'!$O$47</f>
        <v/>
      </c>
      <c r="F10" s="58">
        <f>'Trajectoire'!$P$47</f>
        <v/>
      </c>
      <c r="G10" s="61">
        <f>E10-'Trajectoire'!$D$47</f>
        <v/>
      </c>
      <c r="H10" s="61">
        <f>F10-'Trajectoire'!$D$47</f>
        <v/>
      </c>
      <c r="I10" s="42">
        <f>ABS(F10-E10)</f>
        <v/>
      </c>
      <c r="J10" s="60">
        <f>'Trajectoire'!$O$34</f>
        <v/>
      </c>
      <c r="K10" s="60">
        <f>'Trajectoire'!$P$34</f>
        <v/>
      </c>
      <c r="L10" s="102">
        <f>I10+ROW()/1000000</f>
        <v/>
      </c>
      <c r="M10" s="58">
        <f>'Trajectoire'!$O$58</f>
        <v/>
      </c>
      <c r="N10" s="58">
        <f>'Trajectoire'!$P$58</f>
        <v/>
      </c>
      <c r="O10" s="42">
        <f>ABS(N10-M10)</f>
        <v/>
      </c>
    </row>
    <row r="11">
      <c r="A11" s="22" t="inlineStr">
        <is>
          <t>gDiv</t>
        </is>
      </c>
      <c r="B11" s="101">
        <f>'Hypothèses'!$B$11</f>
        <v/>
      </c>
      <c r="C11" s="69">
        <f>'Hypothèses'!$D$11</f>
        <v/>
      </c>
      <c r="D11" s="69">
        <f>'Hypothèses'!$E$11</f>
        <v/>
      </c>
      <c r="E11" s="58">
        <f>'Trajectoire'!$Q$47</f>
        <v/>
      </c>
      <c r="F11" s="58">
        <f>'Trajectoire'!$R$47</f>
        <v/>
      </c>
      <c r="G11" s="61">
        <f>E11-'Trajectoire'!$D$47</f>
        <v/>
      </c>
      <c r="H11" s="61">
        <f>F11-'Trajectoire'!$D$47</f>
        <v/>
      </c>
      <c r="I11" s="42">
        <f>ABS(F11-E11)</f>
        <v/>
      </c>
      <c r="J11" s="60">
        <f>'Trajectoire'!$Q$34</f>
        <v/>
      </c>
      <c r="K11" s="60">
        <f>'Trajectoire'!$R$34</f>
        <v/>
      </c>
      <c r="L11" s="102">
        <f>I11+ROW()/1000000</f>
        <v/>
      </c>
      <c r="M11" s="58">
        <f>'Trajectoire'!$Q$58</f>
        <v/>
      </c>
      <c r="N11" s="58">
        <f>'Trajectoire'!$R$58</f>
        <v/>
      </c>
      <c r="O11" s="42">
        <f>ABS(N11-M11)</f>
        <v/>
      </c>
    </row>
    <row r="12">
      <c r="A12" s="22" t="inlineStr">
        <is>
          <t>s26</t>
        </is>
      </c>
      <c r="B12" s="101">
        <f>'Hypothèses'!$B$12</f>
        <v/>
      </c>
      <c r="C12" s="69">
        <f>'Hypothèses'!$D$12</f>
        <v/>
      </c>
      <c r="D12" s="69">
        <f>'Hypothèses'!$E$12</f>
        <v/>
      </c>
      <c r="E12" s="58">
        <f>'Trajectoire'!$S$47</f>
        <v/>
      </c>
      <c r="F12" s="58">
        <f>'Trajectoire'!$T$47</f>
        <v/>
      </c>
      <c r="G12" s="61">
        <f>E12-'Trajectoire'!$D$47</f>
        <v/>
      </c>
      <c r="H12" s="61">
        <f>F12-'Trajectoire'!$D$47</f>
        <v/>
      </c>
      <c r="I12" s="42">
        <f>ABS(F12-E12)</f>
        <v/>
      </c>
      <c r="J12" s="60">
        <f>'Trajectoire'!$S$34</f>
        <v/>
      </c>
      <c r="K12" s="60">
        <f>'Trajectoire'!$T$34</f>
        <v/>
      </c>
      <c r="L12" s="102">
        <f>I12+ROW()/1000000</f>
        <v/>
      </c>
      <c r="M12" s="58">
        <f>'Trajectoire'!$S$58</f>
        <v/>
      </c>
      <c r="N12" s="58">
        <f>'Trajectoire'!$T$58</f>
        <v/>
      </c>
      <c r="O12" s="42">
        <f>ABS(N12-M12)</f>
        <v/>
      </c>
    </row>
    <row r="13">
      <c r="A13" s="22" t="inlineStr">
        <is>
          <t>s27</t>
        </is>
      </c>
      <c r="B13" s="101">
        <f>'Hypothèses'!$B$13</f>
        <v/>
      </c>
      <c r="C13" s="69">
        <f>'Hypothèses'!$D$13</f>
        <v/>
      </c>
      <c r="D13" s="69">
        <f>'Hypothèses'!$E$13</f>
        <v/>
      </c>
      <c r="E13" s="58">
        <f>'Trajectoire'!$U$47</f>
        <v/>
      </c>
      <c r="F13" s="58">
        <f>'Trajectoire'!$V$47</f>
        <v/>
      </c>
      <c r="G13" s="61">
        <f>E13-'Trajectoire'!$D$47</f>
        <v/>
      </c>
      <c r="H13" s="61">
        <f>F13-'Trajectoire'!$D$47</f>
        <v/>
      </c>
      <c r="I13" s="42">
        <f>ABS(F13-E13)</f>
        <v/>
      </c>
      <c r="J13" s="60">
        <f>'Trajectoire'!$U$34</f>
        <v/>
      </c>
      <c r="K13" s="60">
        <f>'Trajectoire'!$V$34</f>
        <v/>
      </c>
      <c r="L13" s="102">
        <f>I13+ROW()/1000000</f>
        <v/>
      </c>
      <c r="M13" s="58">
        <f>'Trajectoire'!$U$58</f>
        <v/>
      </c>
      <c r="N13" s="58">
        <f>'Trajectoire'!$V$58</f>
        <v/>
      </c>
      <c r="O13" s="42">
        <f>ABS(N13-M13)</f>
        <v/>
      </c>
    </row>
    <row r="14">
      <c r="A14" s="22" t="inlineStr">
        <is>
          <t>mDisp</t>
        </is>
      </c>
      <c r="B14" s="101">
        <f>'Hypothèses'!$B$14</f>
        <v/>
      </c>
      <c r="C14" s="86">
        <f>'Hypothèses'!$D$14</f>
        <v/>
      </c>
      <c r="D14" s="86">
        <f>'Hypothèses'!$E$14</f>
        <v/>
      </c>
      <c r="E14" s="58">
        <f>'Trajectoire'!$W$47</f>
        <v/>
      </c>
      <c r="F14" s="58">
        <f>'Trajectoire'!$X$47</f>
        <v/>
      </c>
      <c r="G14" s="61">
        <f>E14-'Trajectoire'!$D$47</f>
        <v/>
      </c>
      <c r="H14" s="61">
        <f>F14-'Trajectoire'!$D$47</f>
        <v/>
      </c>
      <c r="I14" s="42">
        <f>ABS(F14-E14)</f>
        <v/>
      </c>
      <c r="J14" s="60">
        <f>'Trajectoire'!$W$34</f>
        <v/>
      </c>
      <c r="K14" s="60">
        <f>'Trajectoire'!$X$34</f>
        <v/>
      </c>
      <c r="L14" s="102">
        <f>I14+ROW()/1000000</f>
        <v/>
      </c>
      <c r="M14" s="58">
        <f>'Trajectoire'!$W$58</f>
        <v/>
      </c>
      <c r="N14" s="58">
        <f>'Trajectoire'!$X$58</f>
        <v/>
      </c>
      <c r="O14" s="42">
        <f>ABS(N14-M14)</f>
        <v/>
      </c>
    </row>
    <row r="15">
      <c r="A15" s="22" t="inlineStr">
        <is>
          <t>tuck</t>
        </is>
      </c>
      <c r="B15" s="101">
        <f>'Hypothèses'!$B$15</f>
        <v/>
      </c>
      <c r="C15" s="75">
        <f>'Hypothèses'!$D$15</f>
        <v/>
      </c>
      <c r="D15" s="75">
        <f>'Hypothèses'!$E$15</f>
        <v/>
      </c>
      <c r="E15" s="58">
        <f>'Trajectoire'!$Y$47</f>
        <v/>
      </c>
      <c r="F15" s="58">
        <f>'Trajectoire'!$Z$47</f>
        <v/>
      </c>
      <c r="G15" s="61">
        <f>E15-'Trajectoire'!$D$47</f>
        <v/>
      </c>
      <c r="H15" s="61">
        <f>F15-'Trajectoire'!$D$47</f>
        <v/>
      </c>
      <c r="I15" s="42">
        <f>ABS(F15-E15)</f>
        <v/>
      </c>
      <c r="J15" s="60">
        <f>'Trajectoire'!$Y$34</f>
        <v/>
      </c>
      <c r="K15" s="60">
        <f>'Trajectoire'!$Z$34</f>
        <v/>
      </c>
      <c r="L15" s="102">
        <f>I15+ROW()/1000000</f>
        <v/>
      </c>
      <c r="M15" s="58">
        <f>'Trajectoire'!$Y$58</f>
        <v/>
      </c>
      <c r="N15" s="58">
        <f>'Trajectoire'!$Z$58</f>
        <v/>
      </c>
      <c r="O15" s="42">
        <f>ABS(N15-M15)</f>
        <v/>
      </c>
    </row>
    <row r="16">
      <c r="A16" s="22" t="inlineStr">
        <is>
          <t>ffo</t>
        </is>
      </c>
      <c r="B16" s="101">
        <f>'Hypothèses'!$B$16</f>
        <v/>
      </c>
      <c r="C16" s="69">
        <f>'Hypothèses'!$D$16</f>
        <v/>
      </c>
      <c r="D16" s="69">
        <f>'Hypothèses'!$E$16</f>
        <v/>
      </c>
      <c r="E16" s="58">
        <f>'Trajectoire'!$AA$47</f>
        <v/>
      </c>
      <c r="F16" s="58">
        <f>'Trajectoire'!$AB$47</f>
        <v/>
      </c>
      <c r="G16" s="61">
        <f>E16-'Trajectoire'!$D$47</f>
        <v/>
      </c>
      <c r="H16" s="61">
        <f>F16-'Trajectoire'!$D$47</f>
        <v/>
      </c>
      <c r="I16" s="42">
        <f>ABS(F16-E16)</f>
        <v/>
      </c>
      <c r="J16" s="60">
        <f>'Trajectoire'!$AA$34</f>
        <v/>
      </c>
      <c r="K16" s="60">
        <f>'Trajectoire'!$AB$34</f>
        <v/>
      </c>
      <c r="L16" s="102">
        <f>I16+ROW()/1000000</f>
        <v/>
      </c>
      <c r="M16" s="58">
        <f>'Trajectoire'!$AA$58</f>
        <v/>
      </c>
      <c r="N16" s="58">
        <f>'Trajectoire'!$AB$58</f>
        <v/>
      </c>
      <c r="O16" s="42">
        <f>ABS(N16-M16)</f>
        <v/>
      </c>
    </row>
    <row r="17">
      <c r="A17" s="22" t="inlineStr">
        <is>
          <t>mTuck</t>
        </is>
      </c>
      <c r="B17" s="101">
        <f>'Hypothèses'!$B$21</f>
        <v/>
      </c>
      <c r="C17" s="86">
        <f>'Hypothèses'!$D$21</f>
        <v/>
      </c>
      <c r="D17" s="86">
        <f>'Hypothèses'!$E$21</f>
        <v/>
      </c>
      <c r="E17" s="58">
        <f>'Trajectoire'!$AC$47</f>
        <v/>
      </c>
      <c r="F17" s="58">
        <f>'Trajectoire'!$AD$47</f>
        <v/>
      </c>
      <c r="G17" s="61">
        <f>E17-'Trajectoire'!$D$47</f>
        <v/>
      </c>
      <c r="H17" s="61">
        <f>F17-'Trajectoire'!$D$47</f>
        <v/>
      </c>
      <c r="I17" s="42">
        <f>ABS(F17-E17)</f>
        <v/>
      </c>
      <c r="J17" s="60">
        <f>'Trajectoire'!$AC$34</f>
        <v/>
      </c>
      <c r="K17" s="60">
        <f>'Trajectoire'!$AD$34</f>
        <v/>
      </c>
      <c r="L17" s="102">
        <f>I17+ROW()/1000000</f>
        <v/>
      </c>
      <c r="M17" s="58">
        <f>'Trajectoire'!$AC$58</f>
        <v/>
      </c>
      <c r="N17" s="58">
        <f>'Trajectoire'!$AD$58</f>
        <v/>
      </c>
      <c r="O17" s="42">
        <f>ABS(N17-M17)</f>
        <v/>
      </c>
    </row>
    <row r="18">
      <c r="A18" s="2" t="n"/>
      <c r="B18" s="2" t="n"/>
      <c r="C18" s="2" t="n"/>
      <c r="D18" s="2" t="n"/>
      <c r="E18" s="2" t="n"/>
      <c r="F18" s="2" t="n"/>
      <c r="G18" s="2" t="n"/>
      <c r="H18" s="2" t="n"/>
      <c r="I18" s="2" t="n"/>
      <c r="J18" s="2" t="n"/>
      <c r="K18" s="2" t="n"/>
      <c r="L18" s="2" t="n"/>
      <c r="M18" s="2" t="n"/>
      <c r="N18" s="2" t="n"/>
      <c r="O18" s="2" t="n"/>
    </row>
    <row r="19">
      <c r="A19" s="2" t="n"/>
      <c r="B19" s="20" t="inlineStr">
        <is>
          <t>Base : marge de manœuvre fin 2027 sous 3x · sous le seuil S&amp;P</t>
        </is>
      </c>
      <c r="C19" s="2" t="n"/>
      <c r="D19" s="2" t="n"/>
      <c r="E19" s="65">
        <f>'Trajectoire'!$D$47</f>
        <v/>
      </c>
      <c r="F19" s="2" t="n"/>
      <c r="G19" s="2" t="n"/>
      <c r="H19" s="2" t="n"/>
      <c r="I19" s="2" t="n"/>
      <c r="J19" s="2" t="n"/>
      <c r="K19" s="2" t="n"/>
      <c r="L19" s="2" t="n"/>
      <c r="M19" s="65">
        <f>'Trajectoire'!$D$58</f>
        <v/>
      </c>
      <c r="N19" s="2" t="n"/>
      <c r="O19" s="2" t="n"/>
    </row>
    <row r="20">
      <c r="A20" s="2" t="n"/>
      <c r="B20" s="2" t="n"/>
      <c r="C20" s="2" t="n"/>
      <c r="D20" s="2" t="n"/>
      <c r="E20" s="2" t="n"/>
      <c r="F20" s="2" t="n"/>
      <c r="G20" s="2" t="n"/>
      <c r="H20" s="2" t="n"/>
      <c r="I20" s="2" t="n"/>
      <c r="J20" s="2" t="n"/>
      <c r="K20" s="2" t="n"/>
      <c r="L20" s="2" t="n"/>
      <c r="M20" s="2" t="n"/>
      <c r="N20" s="2" t="n"/>
      <c r="O20" s="2" t="n"/>
    </row>
    <row r="21">
      <c r="A21" s="20" t="inlineStr">
        <is>
          <t>Classement</t>
        </is>
      </c>
      <c r="B21" s="2" t="n"/>
      <c r="C21" s="2" t="n"/>
      <c r="D21" s="2" t="n"/>
      <c r="E21" s="2" t="n"/>
      <c r="F21" s="2" t="n"/>
      <c r="G21" s="2" t="n"/>
      <c r="H21" s="2" t="n"/>
      <c r="I21" s="2" t="n"/>
      <c r="J21" s="2" t="n"/>
      <c r="K21" s="2" t="n"/>
      <c r="L21" s="2" t="n"/>
      <c r="M21" s="2" t="n"/>
      <c r="N21" s="2" t="n"/>
      <c r="O21" s="2" t="n"/>
    </row>
    <row r="22">
      <c r="A22" s="19" t="inlineStr">
        <is>
          <t>Rang</t>
        </is>
      </c>
      <c r="B22" s="19" t="inlineStr">
        <is>
          <t>Hypothèse</t>
        </is>
      </c>
      <c r="C22" s="19" t="inlineStr">
        <is>
          <t>Δ bas</t>
        </is>
      </c>
      <c r="D22" s="19" t="inlineStr">
        <is>
          <t>Δ haut</t>
        </is>
      </c>
      <c r="E22" s="19" t="inlineStr">
        <is>
          <t>Amplitude</t>
        </is>
      </c>
      <c r="F22" s="2" t="n"/>
      <c r="G22" s="2" t="n"/>
      <c r="H22" s="2" t="n"/>
      <c r="I22" s="2" t="n"/>
      <c r="J22" s="2" t="n"/>
      <c r="K22" s="2" t="n"/>
      <c r="L22" s="2" t="n"/>
      <c r="M22" s="2" t="n"/>
      <c r="N22" s="2" t="n"/>
      <c r="O22" s="2" t="n"/>
    </row>
    <row r="23">
      <c r="A23" s="23" t="n">
        <v>1</v>
      </c>
      <c r="B23" s="5">
        <f>INDEX($B$5:$B$17,MATCH(LARGE($L$5:$L$17,A23),$L$5:$L$17,0))</f>
        <v/>
      </c>
      <c r="C23" s="61">
        <f>INDEX($G$5:$G$17,MATCH(LARGE($L$5:$L$17,A23),$L$5:$L$17,0))</f>
        <v/>
      </c>
      <c r="D23" s="61">
        <f>INDEX($H$5:$H$17,MATCH(LARGE($L$5:$L$17,A23),$L$5:$L$17,0))</f>
        <v/>
      </c>
      <c r="E23" s="42">
        <f>INDEX($I$5:$I$17,MATCH(LARGE($L$5:$L$17,A23),$L$5:$L$17,0))</f>
        <v/>
      </c>
      <c r="F23" s="2" t="n"/>
      <c r="G23" s="2" t="n"/>
      <c r="H23" s="2" t="n"/>
      <c r="I23" s="2" t="n"/>
      <c r="J23" s="2" t="n"/>
      <c r="K23" s="2" t="n"/>
      <c r="L23" s="2" t="n"/>
      <c r="M23" s="2" t="n"/>
      <c r="N23" s="2" t="n"/>
      <c r="O23" s="2" t="n"/>
    </row>
    <row r="24">
      <c r="A24" s="23" t="n">
        <v>2</v>
      </c>
      <c r="B24" s="5">
        <f>INDEX($B$5:$B$17,MATCH(LARGE($L$5:$L$17,A24),$L$5:$L$17,0))</f>
        <v/>
      </c>
      <c r="C24" s="61">
        <f>INDEX($G$5:$G$17,MATCH(LARGE($L$5:$L$17,A24),$L$5:$L$17,0))</f>
        <v/>
      </c>
      <c r="D24" s="61">
        <f>INDEX($H$5:$H$17,MATCH(LARGE($L$5:$L$17,A24),$L$5:$L$17,0))</f>
        <v/>
      </c>
      <c r="E24" s="42">
        <f>INDEX($I$5:$I$17,MATCH(LARGE($L$5:$L$17,A24),$L$5:$L$17,0))</f>
        <v/>
      </c>
      <c r="F24" s="2" t="n"/>
      <c r="G24" s="2" t="n"/>
      <c r="H24" s="2" t="n"/>
      <c r="I24" s="2" t="n"/>
      <c r="J24" s="2" t="n"/>
      <c r="K24" s="2" t="n"/>
      <c r="L24" s="2" t="n"/>
      <c r="M24" s="2" t="n"/>
      <c r="N24" s="2" t="n"/>
      <c r="O24" s="2" t="n"/>
    </row>
    <row r="25">
      <c r="A25" s="23" t="n">
        <v>3</v>
      </c>
      <c r="B25" s="5">
        <f>INDEX($B$5:$B$17,MATCH(LARGE($L$5:$L$17,A25),$L$5:$L$17,0))</f>
        <v/>
      </c>
      <c r="C25" s="61">
        <f>INDEX($G$5:$G$17,MATCH(LARGE($L$5:$L$17,A25),$L$5:$L$17,0))</f>
        <v/>
      </c>
      <c r="D25" s="61">
        <f>INDEX($H$5:$H$17,MATCH(LARGE($L$5:$L$17,A25),$L$5:$L$17,0))</f>
        <v/>
      </c>
      <c r="E25" s="42">
        <f>INDEX($I$5:$I$17,MATCH(LARGE($L$5:$L$17,A25),$L$5:$L$17,0))</f>
        <v/>
      </c>
      <c r="F25" s="2" t="n"/>
      <c r="G25" s="2" t="n"/>
      <c r="H25" s="2" t="n"/>
      <c r="I25" s="2" t="n"/>
      <c r="J25" s="2" t="n"/>
      <c r="K25" s="2" t="n"/>
      <c r="L25" s="2" t="n"/>
      <c r="M25" s="2" t="n"/>
      <c r="N25" s="2" t="n"/>
      <c r="O25" s="2" t="n"/>
    </row>
    <row r="26">
      <c r="A26" s="23" t="n">
        <v>4</v>
      </c>
      <c r="B26" s="5">
        <f>INDEX($B$5:$B$17,MATCH(LARGE($L$5:$L$17,A26),$L$5:$L$17,0))</f>
        <v/>
      </c>
      <c r="C26" s="61">
        <f>INDEX($G$5:$G$17,MATCH(LARGE($L$5:$L$17,A26),$L$5:$L$17,0))</f>
        <v/>
      </c>
      <c r="D26" s="61">
        <f>INDEX($H$5:$H$17,MATCH(LARGE($L$5:$L$17,A26),$L$5:$L$17,0))</f>
        <v/>
      </c>
      <c r="E26" s="42">
        <f>INDEX($I$5:$I$17,MATCH(LARGE($L$5:$L$17,A26),$L$5:$L$17,0))</f>
        <v/>
      </c>
      <c r="F26" s="2" t="n"/>
      <c r="G26" s="2" t="n"/>
      <c r="H26" s="2" t="n"/>
      <c r="I26" s="2" t="n"/>
      <c r="J26" s="2" t="n"/>
      <c r="K26" s="2" t="n"/>
      <c r="L26" s="2" t="n"/>
      <c r="M26" s="2" t="n"/>
      <c r="N26" s="2" t="n"/>
      <c r="O26" s="2" t="n"/>
    </row>
    <row r="27">
      <c r="A27" s="23" t="n">
        <v>5</v>
      </c>
      <c r="B27" s="5">
        <f>INDEX($B$5:$B$17,MATCH(LARGE($L$5:$L$17,A27),$L$5:$L$17,0))</f>
        <v/>
      </c>
      <c r="C27" s="61">
        <f>INDEX($G$5:$G$17,MATCH(LARGE($L$5:$L$17,A27),$L$5:$L$17,0))</f>
        <v/>
      </c>
      <c r="D27" s="61">
        <f>INDEX($H$5:$H$17,MATCH(LARGE($L$5:$L$17,A27),$L$5:$L$17,0))</f>
        <v/>
      </c>
      <c r="E27" s="42">
        <f>INDEX($I$5:$I$17,MATCH(LARGE($L$5:$L$17,A27),$L$5:$L$17,0))</f>
        <v/>
      </c>
      <c r="F27" s="2" t="n"/>
      <c r="G27" s="2" t="n"/>
      <c r="H27" s="2" t="n"/>
      <c r="I27" s="2" t="n"/>
      <c r="J27" s="2" t="n"/>
      <c r="K27" s="2" t="n"/>
      <c r="L27" s="2" t="n"/>
      <c r="M27" s="2" t="n"/>
      <c r="N27" s="2" t="n"/>
      <c r="O27" s="2" t="n"/>
    </row>
    <row r="28">
      <c r="A28" s="23" t="n">
        <v>6</v>
      </c>
      <c r="B28" s="5">
        <f>INDEX($B$5:$B$17,MATCH(LARGE($L$5:$L$17,A28),$L$5:$L$17,0))</f>
        <v/>
      </c>
      <c r="C28" s="61">
        <f>INDEX($G$5:$G$17,MATCH(LARGE($L$5:$L$17,A28),$L$5:$L$17,0))</f>
        <v/>
      </c>
      <c r="D28" s="61">
        <f>INDEX($H$5:$H$17,MATCH(LARGE($L$5:$L$17,A28),$L$5:$L$17,0))</f>
        <v/>
      </c>
      <c r="E28" s="42">
        <f>INDEX($I$5:$I$17,MATCH(LARGE($L$5:$L$17,A28),$L$5:$L$17,0))</f>
        <v/>
      </c>
      <c r="F28" s="2" t="n"/>
      <c r="G28" s="2" t="n"/>
      <c r="H28" s="2" t="n"/>
      <c r="I28" s="2" t="n"/>
      <c r="J28" s="2" t="n"/>
      <c r="K28" s="2" t="n"/>
      <c r="L28" s="2" t="n"/>
      <c r="M28" s="2" t="n"/>
      <c r="N28" s="2" t="n"/>
      <c r="O28" s="2" t="n"/>
    </row>
    <row r="29">
      <c r="A29" s="23" t="n">
        <v>7</v>
      </c>
      <c r="B29" s="5">
        <f>INDEX($B$5:$B$17,MATCH(LARGE($L$5:$L$17,A29),$L$5:$L$17,0))</f>
        <v/>
      </c>
      <c r="C29" s="61">
        <f>INDEX($G$5:$G$17,MATCH(LARGE($L$5:$L$17,A29),$L$5:$L$17,0))</f>
        <v/>
      </c>
      <c r="D29" s="61">
        <f>INDEX($H$5:$H$17,MATCH(LARGE($L$5:$L$17,A29),$L$5:$L$17,0))</f>
        <v/>
      </c>
      <c r="E29" s="42">
        <f>INDEX($I$5:$I$17,MATCH(LARGE($L$5:$L$17,A29),$L$5:$L$17,0))</f>
        <v/>
      </c>
      <c r="F29" s="2" t="n"/>
      <c r="G29" s="2" t="n"/>
      <c r="H29" s="2" t="n"/>
      <c r="I29" s="2" t="n"/>
      <c r="J29" s="2" t="n"/>
      <c r="K29" s="2" t="n"/>
      <c r="L29" s="2" t="n"/>
      <c r="M29" s="2" t="n"/>
      <c r="N29" s="2" t="n"/>
      <c r="O29" s="2" t="n"/>
    </row>
    <row r="30">
      <c r="A30" s="23" t="n">
        <v>8</v>
      </c>
      <c r="B30" s="5">
        <f>INDEX($B$5:$B$17,MATCH(LARGE($L$5:$L$17,A30),$L$5:$L$17,0))</f>
        <v/>
      </c>
      <c r="C30" s="61">
        <f>INDEX($G$5:$G$17,MATCH(LARGE($L$5:$L$17,A30),$L$5:$L$17,0))</f>
        <v/>
      </c>
      <c r="D30" s="61">
        <f>INDEX($H$5:$H$17,MATCH(LARGE($L$5:$L$17,A30),$L$5:$L$17,0))</f>
        <v/>
      </c>
      <c r="E30" s="42">
        <f>INDEX($I$5:$I$17,MATCH(LARGE($L$5:$L$17,A30),$L$5:$L$17,0))</f>
        <v/>
      </c>
      <c r="F30" s="2" t="n"/>
      <c r="G30" s="2" t="n"/>
      <c r="H30" s="2" t="n"/>
      <c r="I30" s="2" t="n"/>
      <c r="J30" s="2" t="n"/>
      <c r="K30" s="2" t="n"/>
      <c r="L30" s="2" t="n"/>
      <c r="M30" s="2" t="n"/>
      <c r="N30" s="2" t="n"/>
      <c r="O30" s="2" t="n"/>
    </row>
    <row r="31">
      <c r="A31" s="23" t="n">
        <v>9</v>
      </c>
      <c r="B31" s="5">
        <f>INDEX($B$5:$B$17,MATCH(LARGE($L$5:$L$17,A31),$L$5:$L$17,0))</f>
        <v/>
      </c>
      <c r="C31" s="61">
        <f>INDEX($G$5:$G$17,MATCH(LARGE($L$5:$L$17,A31),$L$5:$L$17,0))</f>
        <v/>
      </c>
      <c r="D31" s="61">
        <f>INDEX($H$5:$H$17,MATCH(LARGE($L$5:$L$17,A31),$L$5:$L$17,0))</f>
        <v/>
      </c>
      <c r="E31" s="42">
        <f>INDEX($I$5:$I$17,MATCH(LARGE($L$5:$L$17,A31),$L$5:$L$17,0))</f>
        <v/>
      </c>
      <c r="F31" s="2" t="n"/>
      <c r="G31" s="2" t="n"/>
      <c r="H31" s="2" t="n"/>
      <c r="I31" s="2" t="n"/>
      <c r="J31" s="2" t="n"/>
      <c r="K31" s="2" t="n"/>
      <c r="L31" s="2" t="n"/>
      <c r="M31" s="2" t="n"/>
      <c r="N31" s="2" t="n"/>
      <c r="O31" s="2" t="n"/>
    </row>
    <row r="32">
      <c r="A32" s="23" t="n">
        <v>10</v>
      </c>
      <c r="B32" s="5">
        <f>INDEX($B$5:$B$17,MATCH(LARGE($L$5:$L$17,A32),$L$5:$L$17,0))</f>
        <v/>
      </c>
      <c r="C32" s="61">
        <f>INDEX($G$5:$G$17,MATCH(LARGE($L$5:$L$17,A32),$L$5:$L$17,0))</f>
        <v/>
      </c>
      <c r="D32" s="61">
        <f>INDEX($H$5:$H$17,MATCH(LARGE($L$5:$L$17,A32),$L$5:$L$17,0))</f>
        <v/>
      </c>
      <c r="E32" s="42">
        <f>INDEX($I$5:$I$17,MATCH(LARGE($L$5:$L$17,A32),$L$5:$L$17,0))</f>
        <v/>
      </c>
      <c r="F32" s="2" t="n"/>
      <c r="G32" s="2" t="n"/>
      <c r="H32" s="2" t="n"/>
      <c r="I32" s="2" t="n"/>
      <c r="J32" s="2" t="n"/>
      <c r="K32" s="2" t="n"/>
      <c r="L32" s="2" t="n"/>
      <c r="M32" s="2" t="n"/>
      <c r="N32" s="2" t="n"/>
      <c r="O32" s="2" t="n"/>
    </row>
    <row r="33">
      <c r="A33" s="23" t="n">
        <v>11</v>
      </c>
      <c r="B33" s="5">
        <f>INDEX($B$5:$B$17,MATCH(LARGE($L$5:$L$17,A33),$L$5:$L$17,0))</f>
        <v/>
      </c>
      <c r="C33" s="61">
        <f>INDEX($G$5:$G$17,MATCH(LARGE($L$5:$L$17,A33),$L$5:$L$17,0))</f>
        <v/>
      </c>
      <c r="D33" s="61">
        <f>INDEX($H$5:$H$17,MATCH(LARGE($L$5:$L$17,A33),$L$5:$L$17,0))</f>
        <v/>
      </c>
      <c r="E33" s="42">
        <f>INDEX($I$5:$I$17,MATCH(LARGE($L$5:$L$17,A33),$L$5:$L$17,0))</f>
        <v/>
      </c>
      <c r="F33" s="2" t="n"/>
      <c r="G33" s="2" t="n"/>
      <c r="H33" s="2" t="n"/>
      <c r="I33" s="2" t="n"/>
      <c r="J33" s="2" t="n"/>
      <c r="K33" s="2" t="n"/>
      <c r="L33" s="2" t="n"/>
      <c r="M33" s="2" t="n"/>
      <c r="N33" s="2" t="n"/>
      <c r="O33" s="2" t="n"/>
    </row>
    <row r="34">
      <c r="A34" s="23" t="n">
        <v>12</v>
      </c>
      <c r="B34" s="5">
        <f>INDEX($B$5:$B$17,MATCH(LARGE($L$5:$L$17,A34),$L$5:$L$17,0))</f>
        <v/>
      </c>
      <c r="C34" s="61">
        <f>INDEX($G$5:$G$17,MATCH(LARGE($L$5:$L$17,A34),$L$5:$L$17,0))</f>
        <v/>
      </c>
      <c r="D34" s="61">
        <f>INDEX($H$5:$H$17,MATCH(LARGE($L$5:$L$17,A34),$L$5:$L$17,0))</f>
        <v/>
      </c>
      <c r="E34" s="42">
        <f>INDEX($I$5:$I$17,MATCH(LARGE($L$5:$L$17,A34),$L$5:$L$17,0))</f>
        <v/>
      </c>
      <c r="F34" s="2" t="n"/>
      <c r="G34" s="2" t="n"/>
      <c r="H34" s="2" t="n"/>
      <c r="I34" s="2" t="n"/>
      <c r="J34" s="2" t="n"/>
      <c r="K34" s="2" t="n"/>
      <c r="L34" s="2" t="n"/>
      <c r="M34" s="2" t="n"/>
      <c r="N34" s="2" t="n"/>
      <c r="O34" s="2" t="n"/>
    </row>
    <row r="35">
      <c r="A35" s="23" t="n">
        <v>13</v>
      </c>
      <c r="B35" s="5">
        <f>INDEX($B$5:$B$17,MATCH(LARGE($L$5:$L$17,A35),$L$5:$L$17,0))</f>
        <v/>
      </c>
      <c r="C35" s="61">
        <f>INDEX($G$5:$G$17,MATCH(LARGE($L$5:$L$17,A35),$L$5:$L$17,0))</f>
        <v/>
      </c>
      <c r="D35" s="61">
        <f>INDEX($H$5:$H$17,MATCH(LARGE($L$5:$L$17,A35),$L$5:$L$17,0))</f>
        <v/>
      </c>
      <c r="E35" s="42">
        <f>INDEX($I$5:$I$17,MATCH(LARGE($L$5:$L$17,A35),$L$5:$L$17,0))</f>
        <v/>
      </c>
      <c r="F35" s="2" t="n"/>
      <c r="G35" s="2" t="n"/>
      <c r="H35" s="2" t="n"/>
      <c r="I35" s="2" t="n"/>
      <c r="J35" s="2" t="n"/>
      <c r="K35" s="2" t="n"/>
      <c r="L35" s="2" t="n"/>
      <c r="M35" s="2" t="n"/>
      <c r="N35" s="2" t="n"/>
      <c r="O35" s="2" t="n"/>
    </row>
    <row r="36">
      <c r="A36" s="2" t="n"/>
      <c r="B36" s="2" t="n"/>
      <c r="C36" s="2" t="n"/>
      <c r="D36" s="2" t="n"/>
      <c r="E36" s="2" t="n"/>
      <c r="F36" s="2" t="n"/>
      <c r="G36" s="2" t="n"/>
      <c r="H36" s="2" t="n"/>
      <c r="I36" s="2" t="n"/>
      <c r="J36" s="2" t="n"/>
      <c r="K36" s="2" t="n"/>
      <c r="L36" s="2" t="n"/>
      <c r="M36" s="2" t="n"/>
      <c r="N36" s="2" t="n"/>
      <c r="O36" s="2" t="n"/>
    </row>
    <row r="37">
      <c r="A37" s="20" t="inlineStr">
        <is>
          <t>Élasticités — ce que vaut 100 M€ de chaque levier sur la marge 2027</t>
        </is>
      </c>
      <c r="B37" s="2" t="n"/>
      <c r="C37" s="2" t="n"/>
      <c r="D37" s="2" t="n"/>
      <c r="E37" s="2" t="n"/>
      <c r="F37" s="2" t="n"/>
      <c r="G37" s="2" t="n"/>
      <c r="H37" s="2" t="n"/>
      <c r="I37" s="2" t="n"/>
      <c r="J37" s="2" t="n"/>
      <c r="K37" s="2" t="n"/>
      <c r="L37" s="2" t="n"/>
      <c r="M37" s="2" t="n"/>
      <c r="N37" s="2" t="n"/>
      <c r="O37" s="2" t="n"/>
    </row>
    <row r="38">
      <c r="A38" s="19" t="inlineStr"/>
      <c r="B38" s="19" t="inlineStr">
        <is>
          <t>Levier (+100 M€)</t>
        </is>
      </c>
      <c r="C38" s="19" t="inlineStr">
        <is>
          <t>Δ marge</t>
        </is>
      </c>
      <c r="D38" s="19" t="inlineStr"/>
      <c r="E38" s="19" t="inlineStr">
        <is>
          <t>Pourquoi</t>
        </is>
      </c>
      <c r="F38" s="2" t="n"/>
      <c r="G38" s="2" t="n"/>
      <c r="H38" s="2" t="n"/>
      <c r="I38" s="2" t="n"/>
      <c r="J38" s="2" t="n"/>
      <c r="K38" s="2" t="n"/>
      <c r="L38" s="2" t="n"/>
      <c r="M38" s="2" t="n"/>
      <c r="N38" s="2" t="n"/>
      <c r="O38" s="2" t="n"/>
    </row>
    <row r="39">
      <c r="A39" s="2" t="n"/>
      <c r="B39" s="5" t="inlineStr">
        <is>
          <t>EBITDA 2027</t>
        </is>
      </c>
      <c r="C39" s="61">
        <f>100*('Hypothèses'!$J$26+'Hypothèses'!$J$10)</f>
        <v/>
      </c>
      <c r="D39" s="2" t="n"/>
      <c r="E39" s="22" t="inlineStr">
        <is>
          <t>× plafond, plus le cash qu'il génère (conversion)</t>
        </is>
      </c>
      <c r="F39" s="2" t="n"/>
      <c r="G39" s="2" t="n"/>
      <c r="H39" s="2" t="n"/>
      <c r="I39" s="2" t="n"/>
      <c r="J39" s="2" t="n"/>
      <c r="K39" s="2" t="n"/>
      <c r="L39" s="2" t="n"/>
      <c r="M39" s="2" t="n"/>
      <c r="N39" s="2" t="n"/>
      <c r="O39" s="2" t="n"/>
    </row>
    <row r="40">
      <c r="A40" s="2" t="n"/>
      <c r="B40" s="5" t="inlineStr">
        <is>
          <t>Cash-flow libre</t>
        </is>
      </c>
      <c r="C40" s="61">
        <f>100</f>
        <v/>
      </c>
      <c r="D40" s="2" t="n"/>
      <c r="E40" s="22" t="inlineStr">
        <is>
          <t>un pour un</t>
        </is>
      </c>
      <c r="F40" s="2" t="n"/>
      <c r="G40" s="2" t="n"/>
      <c r="H40" s="2" t="n"/>
      <c r="I40" s="2" t="n"/>
      <c r="J40" s="2" t="n"/>
      <c r="K40" s="2" t="n"/>
      <c r="L40" s="2" t="n"/>
      <c r="M40" s="2" t="n"/>
      <c r="N40" s="2" t="n"/>
      <c r="O40" s="2" t="n"/>
    </row>
    <row r="41">
      <c r="A41" s="2" t="n"/>
      <c r="B41" s="5" t="inlineStr">
        <is>
          <t>Cessions (au multiple central)</t>
        </is>
      </c>
      <c r="C41" s="61">
        <f>100*(1-'Hypothèses'!$J$26/'Hypothèses'!$J$14)</f>
        <v/>
      </c>
      <c r="D41" s="2" t="n"/>
      <c r="E41" s="22" t="inlineStr">
        <is>
          <t>on encaisse, mais on perd de l'EBITDA × plafond</t>
        </is>
      </c>
      <c r="F41" s="2" t="n"/>
      <c r="G41" s="2" t="n"/>
      <c r="H41" s="2" t="n"/>
      <c r="I41" s="2" t="n"/>
      <c r="J41" s="2" t="n"/>
      <c r="K41" s="2" t="n"/>
      <c r="L41" s="2" t="n"/>
      <c r="M41" s="2" t="n"/>
      <c r="N41" s="2" t="n"/>
      <c r="O41" s="2" t="n"/>
    </row>
    <row r="42">
      <c r="A42" s="2" t="n"/>
      <c r="B42" s="5" t="inlineStr">
        <is>
          <t>Tuck-ins (au multiple des tuck-ins)</t>
        </is>
      </c>
      <c r="C42" s="61">
        <f>-100*(1-'Hypothèses'!$J$26/'Hypothèses'!$J$21)</f>
        <v/>
      </c>
      <c r="D42" s="2" t="n"/>
      <c r="E42" s="22" t="inlineStr">
        <is>
          <t>symétrique : on paie plus que 3x ce qu'on achète</t>
        </is>
      </c>
      <c r="F42" s="2" t="n"/>
      <c r="G42" s="2" t="n"/>
      <c r="H42" s="2" t="n"/>
      <c r="I42" s="2" t="n"/>
      <c r="J42" s="2" t="n"/>
      <c r="K42" s="2" t="n"/>
      <c r="L42" s="2" t="n"/>
      <c r="M42" s="2" t="n"/>
      <c r="N42" s="2" t="n"/>
      <c r="O42" s="2" t="n"/>
    </row>
    <row r="43">
      <c r="A43" s="2" t="n"/>
      <c r="B43" s="5" t="inlineStr">
        <is>
          <t>Dividendes</t>
        </is>
      </c>
      <c r="C43" s="61">
        <f>-100</f>
        <v/>
      </c>
      <c r="D43" s="2" t="n"/>
      <c r="E43" s="22" t="inlineStr">
        <is>
          <t>un pour un</t>
        </is>
      </c>
      <c r="F43" s="2" t="n"/>
      <c r="G43" s="2" t="n"/>
      <c r="H43" s="2" t="n"/>
      <c r="I43" s="2" t="n"/>
      <c r="J43" s="2" t="n"/>
      <c r="K43" s="2" t="n"/>
      <c r="L43" s="2" t="n"/>
      <c r="M43" s="2" t="n"/>
      <c r="N43" s="2" t="n"/>
      <c r="O43" s="2" t="n"/>
    </row>
    <row r="44">
      <c r="A44" s="2" t="n"/>
      <c r="B44" s="5" t="inlineStr">
        <is>
          <t>Dette requalifiée (hybrides, provisions)</t>
        </is>
      </c>
      <c r="C44" s="61">
        <f>-100</f>
        <v/>
      </c>
      <c r="D44" s="2" t="n"/>
      <c r="E44" s="22" t="inlineStr">
        <is>
          <t>un pour un, sans contrepartie d'EBITDA</t>
        </is>
      </c>
      <c r="F44" s="2" t="n"/>
      <c r="G44" s="2" t="n"/>
      <c r="H44" s="2" t="n"/>
      <c r="I44" s="2" t="n"/>
      <c r="J44" s="2" t="n"/>
      <c r="K44" s="2" t="n"/>
      <c r="L44" s="2" t="n"/>
      <c r="M44" s="2" t="n"/>
      <c r="N44" s="2" t="n"/>
      <c r="O44" s="2" t="n"/>
    </row>
    <row r="45">
      <c r="A45" s="2" t="n"/>
      <c r="B45" s="2" t="n"/>
      <c r="C45" s="2" t="n"/>
      <c r="D45" s="2" t="n"/>
      <c r="E45" s="2" t="n"/>
      <c r="F45" s="2" t="n"/>
      <c r="G45" s="2" t="n"/>
      <c r="H45" s="2" t="n"/>
      <c r="I45" s="2" t="n"/>
      <c r="J45" s="2" t="n"/>
      <c r="K45" s="2" t="n"/>
      <c r="L45" s="2" t="n"/>
      <c r="M45" s="2" t="n"/>
      <c r="N45" s="2" t="n"/>
      <c r="O45" s="2" t="n"/>
    </row>
    <row r="46">
      <c r="A46" s="20" t="inlineStr">
        <is>
          <t>Macro — ce que valent l'énergie, le dollar et les taux sur la marge 2027 (DEU 2025 p.406, 409, 416, 418 ; résultats 2025 ; amendement)</t>
        </is>
      </c>
      <c r="B46" s="2" t="n"/>
      <c r="C46" s="2" t="n"/>
      <c r="D46" s="2" t="n"/>
      <c r="E46" s="2" t="n"/>
      <c r="F46" s="2" t="n"/>
      <c r="G46" s="2" t="n"/>
      <c r="H46" s="2" t="n"/>
      <c r="I46" s="2" t="n"/>
      <c r="J46" s="2" t="n"/>
      <c r="K46" s="2" t="n"/>
      <c r="L46" s="2" t="n"/>
      <c r="M46" s="2" t="n"/>
      <c r="N46" s="2" t="n"/>
      <c r="O46" s="2" t="n"/>
    </row>
    <row r="47">
      <c r="A47" s="19" t="inlineStr"/>
      <c r="B47" s="19" t="inlineStr">
        <is>
          <t>Entrée externe</t>
        </is>
      </c>
      <c r="C47" s="19" t="inlineStr">
        <is>
          <t>Effet publié</t>
        </is>
      </c>
      <c r="D47" s="19" t="inlineStr">
        <is>
          <t>Unité</t>
        </is>
      </c>
      <c r="E47" s="19" t="inlineStr">
        <is>
          <t>Effet sur la marge 2027 (M EUR)</t>
        </is>
      </c>
      <c r="F47" s="19" t="inlineStr">
        <is>
          <t>Comment</t>
        </is>
      </c>
      <c r="G47" s="2" t="n"/>
      <c r="H47" s="2" t="n"/>
      <c r="I47" s="2" t="n"/>
      <c r="J47" s="2" t="n"/>
      <c r="K47" s="2" t="n"/>
      <c r="L47" s="2" t="n"/>
      <c r="M47" s="2" t="n"/>
      <c r="N47" s="2" t="n"/>
      <c r="O47" s="2" t="n"/>
    </row>
    <row r="48">
      <c r="A48" s="22" t="inlineStr">
        <is>
          <t>energy25</t>
        </is>
      </c>
      <c r="B48" s="5" t="inlineStr">
        <is>
          <t>Énergie et recyclats : effet sur l'EBITDA 2025</t>
        </is>
      </c>
      <c r="C48" s="58">
        <f>'Entrées'!$C$565</f>
        <v/>
      </c>
      <c r="D48" s="22" t="inlineStr">
        <is>
          <t>M EUR</t>
        </is>
      </c>
      <c r="E48" s="42">
        <f>C48*'Hypothèses'!$J$26</f>
        <v/>
      </c>
      <c r="F48" s="22" t="inlineStr">
        <is>
          <t>effet × plafond : si 2027 revit 2025 — F560</t>
        </is>
      </c>
      <c r="G48" s="2" t="n"/>
      <c r="H48" s="2" t="n"/>
      <c r="I48" s="2" t="n"/>
      <c r="J48" s="2" t="n"/>
      <c r="K48" s="2" t="n"/>
      <c r="L48" s="2" t="n"/>
      <c r="M48" s="2" t="n"/>
      <c r="N48" s="2" t="n"/>
      <c r="O48" s="2" t="n"/>
    </row>
    <row r="49">
      <c r="A49" s="22" t="inlineStr">
        <is>
          <t>energyH1</t>
        </is>
      </c>
      <c r="B49" s="5" t="inlineStr">
        <is>
          <t>Énergie et recyclats : effet au S1 2026 (à annualiser : × 2)</t>
        </is>
      </c>
      <c r="C49" s="58">
        <f>'Entrées'!$C$566</f>
        <v/>
      </c>
      <c r="D49" s="22" t="inlineStr">
        <is>
          <t>M EUR</t>
        </is>
      </c>
      <c r="E49" s="42">
        <f>C49*2*'Hypothèses'!$J$26</f>
        <v/>
      </c>
      <c r="F49" s="22" t="inlineStr">
        <is>
          <t>effet × 2 × plafond : si 2027 revit le S1 2026 — F561</t>
        </is>
      </c>
      <c r="G49" s="2" t="n"/>
      <c r="H49" s="2" t="n"/>
      <c r="I49" s="2" t="n"/>
      <c r="J49" s="2" t="n"/>
      <c r="K49" s="2" t="n"/>
      <c r="L49" s="2" t="n"/>
      <c r="M49" s="2" t="n"/>
      <c r="N49" s="2" t="n"/>
      <c r="O49" s="2" t="n"/>
    </row>
    <row r="50">
      <c r="A50" s="22" t="inlineStr">
        <is>
          <t>usd10</t>
        </is>
      </c>
      <c r="B50" s="5" t="inlineStr">
        <is>
          <t>Dollar : dette en USD, effet d'une hausse de 10 % du dollar sur la dette nette</t>
        </is>
      </c>
      <c r="C50" s="58">
        <f>'Entrées'!$C$562</f>
        <v/>
      </c>
      <c r="D50" s="22" t="inlineStr">
        <is>
          <t>M EUR de dette</t>
        </is>
      </c>
      <c r="E50" s="42">
        <f>-C50*0.1</f>
        <v/>
      </c>
      <c r="F50" s="22" t="inlineStr">
        <is>
          <t>10 % de la dette en dollars, convertie — F557</t>
        </is>
      </c>
      <c r="G50" s="2" t="n"/>
      <c r="H50" s="2" t="n"/>
      <c r="I50" s="2" t="n"/>
      <c r="J50" s="2" t="n"/>
      <c r="K50" s="2" t="n"/>
      <c r="L50" s="2" t="n"/>
      <c r="M50" s="2" t="n"/>
      <c r="N50" s="2" t="n"/>
      <c r="O50" s="2" t="n"/>
    </row>
    <row r="51">
      <c r="A51" s="22" t="inlineStr">
        <is>
          <t>fxbond</t>
        </is>
      </c>
      <c r="B51" s="5" t="inlineStr">
        <is>
          <t>Dollar : effet de change réel sur les obligations en USD en 2025 (dollar plus bas)</t>
        </is>
      </c>
      <c r="C51" s="58">
        <f>'Entrées'!$C$564</f>
        <v/>
      </c>
      <c r="D51" s="22" t="inlineStr">
        <is>
          <t>M EUR</t>
        </is>
      </c>
      <c r="E51" s="42">
        <f>-C51</f>
        <v/>
      </c>
      <c r="F51" s="22" t="inlineStr">
        <is>
          <t>signe : une baisse du dollar a réduit la dette — F559</t>
        </is>
      </c>
      <c r="G51" s="2" t="n"/>
      <c r="H51" s="2" t="n"/>
      <c r="I51" s="2" t="n"/>
      <c r="J51" s="2" t="n"/>
      <c r="K51" s="2" t="n"/>
      <c r="L51" s="2" t="n"/>
      <c r="M51" s="2" t="n"/>
      <c r="N51" s="2" t="n"/>
      <c r="O51" s="2" t="n"/>
    </row>
    <row r="52">
      <c r="A52" s="22" t="inlineStr">
        <is>
          <t>fxoi</t>
        </is>
      </c>
      <c r="B52" s="5" t="inlineStr">
        <is>
          <t>Toutes devises : résultat opérationnel si les devises baissent de 10 % (sensibilité DEU)</t>
        </is>
      </c>
      <c r="C52" s="58">
        <f>'Entrées'!$C$554</f>
        <v/>
      </c>
      <c r="D52" s="22" t="inlineStr">
        <is>
          <t>M EUR</t>
        </is>
      </c>
      <c r="E52" s="42">
        <f>C52*'Hypothèses'!$J$26</f>
        <v/>
      </c>
      <c r="F52" s="22" t="inlineStr">
        <is>
          <t>résultat opérationnel ≈ EBITDA à amortissements constants — F549</t>
        </is>
      </c>
      <c r="G52" s="2" t="n"/>
      <c r="H52" s="2" t="n"/>
      <c r="I52" s="2" t="n"/>
      <c r="J52" s="2" t="n"/>
      <c r="K52" s="2" t="n"/>
      <c r="L52" s="2" t="n"/>
      <c r="M52" s="2" t="n"/>
      <c r="N52" s="2" t="n"/>
      <c r="O52" s="2" t="n"/>
    </row>
    <row r="53">
      <c r="A53" s="22" t="inlineStr">
        <is>
          <t>rate1</t>
        </is>
      </c>
      <c r="B53" s="5" t="inlineStr">
        <is>
          <t>Taux : position nette à taux variable ; +1 point de taux = coût en plus</t>
        </is>
      </c>
      <c r="C53" s="58">
        <f>'Entrées'!$C$561</f>
        <v/>
      </c>
      <c r="D53" s="22" t="inlineStr">
        <is>
          <t>M EUR</t>
        </is>
      </c>
      <c r="E53" s="42">
        <f>C53*0.01</f>
        <v/>
      </c>
      <c r="F53" s="22" t="inlineStr">
        <is>
          <t>position × 1 % (la position est un passif net : négatif = coût) — F556</t>
        </is>
      </c>
      <c r="G53" s="2" t="n"/>
      <c r="H53" s="2" t="n"/>
      <c r="I53" s="2" t="n"/>
      <c r="J53" s="2" t="n"/>
      <c r="K53" s="2" t="n"/>
      <c r="L53" s="2" t="n"/>
      <c r="M53" s="2" t="n"/>
      <c r="N53" s="2" t="n"/>
      <c r="O53" s="2" t="n"/>
    </row>
    <row r="54">
      <c r="A54" s="22" t="inlineStr">
        <is>
          <t>fixpct</t>
        </is>
      </c>
      <c r="B54" s="5" t="inlineStr">
        <is>
          <t>Taux : part de la dette brute à taux fixe après couverture</t>
        </is>
      </c>
      <c r="C54" s="69">
        <f>'Entrées'!$C$559/100</f>
        <v/>
      </c>
      <c r="D54" s="22" t="inlineStr">
        <is>
          <t>%</t>
        </is>
      </c>
      <c r="E54" s="2" t="n"/>
      <c r="F54" s="22" t="inlineStr">
        <is>
          <t>pour mémoire — F554</t>
        </is>
      </c>
      <c r="G54" s="2" t="n"/>
      <c r="H54" s="2" t="n"/>
      <c r="I54" s="2" t="n"/>
      <c r="J54" s="2" t="n"/>
      <c r="K54" s="2" t="n"/>
      <c r="L54" s="2" t="n"/>
      <c r="M54" s="2" t="n"/>
      <c r="N54" s="2" t="n"/>
      <c r="O54" s="2" t="n"/>
    </row>
    <row r="55" ht="44" customHeight="1">
      <c r="A55" s="2" t="n"/>
      <c r="B55" s="66" t="inlineStr">
        <is>
          <t>Lecture : aucune de ces entrées ne déplace la marge autant que les cessions ou l'efficacité, mais elles s'additionnent : une année d'énergie comme le S1 2026 (−120 M€ d'EBITDA) coûte 360 M€ de marge, un dollar 10 % plus fort 245 M€ de dette. Le DEU ne donne pas d'élasticité de l'EBITDA au prix de l'énergie : c'est l'effet réalisé qui sert de borne.</t>
        </is>
      </c>
      <c r="C55" s="2" t="n"/>
      <c r="D55" s="2" t="n"/>
      <c r="E55" s="2" t="n"/>
      <c r="F55" s="2" t="n"/>
      <c r="G55" s="2" t="n"/>
      <c r="H55" s="2" t="n"/>
      <c r="I55" s="2" t="n"/>
      <c r="J55" s="2" t="n"/>
      <c r="K55" s="2" t="n"/>
      <c r="L55" s="2" t="n"/>
      <c r="M55" s="2" t="n"/>
      <c r="N55" s="2" t="n"/>
      <c r="O55" s="2" t="n"/>
    </row>
  </sheetData>
  <mergeCells count="1">
    <mergeCell ref="B55:F55"/>
  </mergeCells>
  <pageMargins left="0.75" right="0.75" top="1" bottom="1" header="0.5" footer="0.5"/>
  <pageSetup orientation="landscape" paperSize="9"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fitToPage="1"/>
  </sheetPr>
  <dimension ref="A1:L42"/>
  <sheetViews>
    <sheetView showGridLines="0" workbookViewId="0">
      <selection activeCell="A1" sqref="A1"/>
    </sheetView>
  </sheetViews>
  <sheetFormatPr baseColWidth="8" defaultRowHeight="15"/>
  <cols>
    <col width="4" customWidth="1" min="1" max="1"/>
    <col width="58" customWidth="1" min="2" max="2"/>
    <col width="11" customWidth="1" min="3" max="3"/>
    <col width="11" customWidth="1" min="4" max="4"/>
    <col width="11" customWidth="1" min="5" max="5"/>
    <col width="11" customWidth="1" min="6" max="6"/>
    <col width="10" customWidth="1" min="7" max="7"/>
    <col width="12" customWidth="1" min="8" max="8"/>
    <col width="13" customWidth="1" min="9" max="9"/>
    <col width="11" customWidth="1" min="10" max="10"/>
    <col width="11" customWidth="1" min="11" max="11"/>
    <col width="46" customWidth="1" min="12" max="12"/>
  </cols>
  <sheetData>
    <row r="1">
      <c r="A1" s="1" t="inlineStr">
        <is>
          <t>Rôle 4 (question 1 du cours) — D'où viennent les 8 Md€ : segments, boosters, KPI ESG</t>
        </is>
      </c>
      <c r="B1" s="2" t="n"/>
      <c r="C1" s="2" t="n"/>
      <c r="D1" s="2" t="n"/>
      <c r="E1" s="2" t="n"/>
      <c r="F1" s="2" t="n"/>
      <c r="G1" s="2" t="n"/>
      <c r="H1" s="2" t="n"/>
      <c r="I1" s="2" t="n"/>
      <c r="J1" s="2" t="n"/>
      <c r="K1" s="2" t="n"/>
      <c r="L1" s="2" t="n"/>
    </row>
    <row r="2">
      <c r="A2" s="3" t="inlineStr">
        <is>
          <t>Présentation des résultats 2025 (p.7, p.23, p.25, p.41), rapport de gestion 2025 (p.12-13), présentation S1 2026 (p.10, p.19, p.22), DEU 2025 (p.12, p.191).</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20" t="inlineStr">
        <is>
          <t>A</t>
        </is>
      </c>
      <c r="B4" s="20" t="inlineStr">
        <is>
          <t>Les segments : qui livre la croissance</t>
        </is>
      </c>
      <c r="C4" s="2" t="n"/>
      <c r="D4" s="2" t="n"/>
      <c r="E4" s="2" t="n"/>
      <c r="F4" s="2" t="n"/>
      <c r="G4" s="2" t="n"/>
      <c r="H4" s="2" t="n"/>
      <c r="I4" s="2" t="n"/>
      <c r="J4" s="2" t="n"/>
      <c r="K4" s="2" t="n"/>
      <c r="L4" s="2" t="n"/>
    </row>
    <row r="5">
      <c r="A5" s="19" t="inlineStr"/>
      <c r="B5" s="19" t="inlineStr">
        <is>
          <t>Segment</t>
        </is>
      </c>
      <c r="C5" s="19" t="inlineStr">
        <is>
          <t>CA 2024</t>
        </is>
      </c>
      <c r="D5" s="19" t="inlineStr">
        <is>
          <t>CA 2025</t>
        </is>
      </c>
      <c r="E5" s="19" t="inlineStr">
        <is>
          <t>EBITDA 2024</t>
        </is>
      </c>
      <c r="F5" s="19" t="inlineStr">
        <is>
          <t>EBITDA 2025</t>
        </is>
      </c>
      <c r="G5" s="19" t="inlineStr">
        <is>
          <t>Marge 2025</t>
        </is>
      </c>
      <c r="H5" s="19" t="inlineStr">
        <is>
          <t>Croiss. EBITDA publiée</t>
        </is>
      </c>
      <c r="I5" s="19" t="inlineStr">
        <is>
          <t>Croiss. organique EBITDA 2025</t>
        </is>
      </c>
      <c r="J5" s="19" t="inlineStr">
        <is>
          <t>CA S1 2026</t>
        </is>
      </c>
      <c r="K5" s="19" t="inlineStr">
        <is>
          <t>EBITDA S1 2026</t>
        </is>
      </c>
      <c r="L5" s="19" t="inlineStr">
        <is>
          <t>Réf.</t>
        </is>
      </c>
    </row>
    <row r="6">
      <c r="A6" s="2" t="n"/>
      <c r="B6" s="5" t="inlineStr">
        <is>
          <t>Water Technologies</t>
        </is>
      </c>
      <c r="C6" s="5" t="n"/>
      <c r="D6" s="58">
        <f>'Entrées'!$C$156</f>
        <v/>
      </c>
      <c r="E6" s="5" t="n"/>
      <c r="F6" s="58">
        <f>'Entrées'!$C$158</f>
        <v/>
      </c>
      <c r="G6" s="63">
        <f>IF(AND(ISNUMBER(D6),ISNUMBER(F6),D6&lt;&gt;0),F6/D6,"")</f>
        <v/>
      </c>
      <c r="H6" s="63">
        <f>IF(AND(ISNUMBER(E6),ISNUMBER(F6),E6&lt;&gt;0),F6/E6-1,"")</f>
        <v/>
      </c>
      <c r="I6" s="69">
        <f>'Entrées'!$C$159/100</f>
        <v/>
      </c>
      <c r="J6" s="58">
        <f>'Entrées'!$C$182</f>
        <v/>
      </c>
      <c r="K6" s="58">
        <f>'Entrées'!$C$184</f>
        <v/>
      </c>
      <c r="L6" s="22" t="inlineStr">
        <is>
          <t>F168, F170, F171, F194, F196</t>
        </is>
      </c>
    </row>
    <row r="7">
      <c r="A7" s="2" t="n"/>
      <c r="B7" s="5" t="inlineStr">
        <is>
          <t>Amériques, Asie-Pacifique, Afrique Moyen-Orient</t>
        </is>
      </c>
      <c r="C7" s="58">
        <f>'Entrées'!$C$170</f>
        <v/>
      </c>
      <c r="D7" s="58">
        <f>'Entrées'!$C$160</f>
        <v/>
      </c>
      <c r="E7" s="58">
        <f>'Entrées'!$C$172</f>
        <v/>
      </c>
      <c r="F7" s="58">
        <f>'Entrées'!$C$162</f>
        <v/>
      </c>
      <c r="G7" s="63">
        <f>IF(AND(ISNUMBER(D7),ISNUMBER(F7),D7&lt;&gt;0),F7/D7,"")</f>
        <v/>
      </c>
      <c r="H7" s="63">
        <f>IF(AND(ISNUMBER(E7),ISNUMBER(F7),E7&lt;&gt;0),F7/E7-1,"")</f>
        <v/>
      </c>
      <c r="I7" s="69">
        <f>'Entrées'!$C$163/100</f>
        <v/>
      </c>
      <c r="J7" s="58">
        <f>'Entrées'!$C$215</f>
        <v/>
      </c>
      <c r="K7" s="58">
        <f>'Entrées'!$C$102</f>
        <v/>
      </c>
      <c r="L7" s="22" t="inlineStr">
        <is>
          <t>F182, F172, F184, F174, F175, F227, F97</t>
        </is>
      </c>
    </row>
    <row r="8">
      <c r="A8" s="2" t="n"/>
      <c r="B8" s="5" t="inlineStr">
        <is>
          <t>Europe</t>
        </is>
      </c>
      <c r="C8" s="58">
        <f>'Entrées'!$C$169</f>
        <v/>
      </c>
      <c r="D8" s="58">
        <f>'Entrées'!$C$164</f>
        <v/>
      </c>
      <c r="E8" s="58">
        <f>'Entrées'!$C$171</f>
        <v/>
      </c>
      <c r="F8" s="58">
        <f>'Entrées'!$C$165</f>
        <v/>
      </c>
      <c r="G8" s="63">
        <f>IF(AND(ISNUMBER(D8),ISNUMBER(F8),D8&lt;&gt;0),F8/D8,"")</f>
        <v/>
      </c>
      <c r="H8" s="63">
        <f>IF(AND(ISNUMBER(E8),ISNUMBER(F8),E8&lt;&gt;0),F8/E8-1,"")</f>
        <v/>
      </c>
      <c r="I8" s="69">
        <f>'Entrées'!$C$166/100</f>
        <v/>
      </c>
      <c r="J8" s="58">
        <f>'Entrées'!$C$216</f>
        <v/>
      </c>
      <c r="K8" s="5" t="n"/>
      <c r="L8" s="22" t="inlineStr">
        <is>
          <t>F181, F176, F183, F177, F178, F228</t>
        </is>
      </c>
    </row>
    <row r="9">
      <c r="A9" s="2" t="n"/>
      <c r="B9" s="5" t="inlineStr">
        <is>
          <t>France et Déchets dangereux Europe</t>
        </is>
      </c>
      <c r="C9" s="58">
        <f>'Entrées'!$C$168</f>
        <v/>
      </c>
      <c r="D9" s="58">
        <f>'Entrées'!$C$167</f>
        <v/>
      </c>
      <c r="E9" s="58">
        <f>'Entrées'!$C$42</f>
        <v/>
      </c>
      <c r="F9" s="58">
        <f>'Entrées'!$C$43</f>
        <v/>
      </c>
      <c r="G9" s="63">
        <f>IF(AND(ISNUMBER(D9),ISNUMBER(F9),D9&lt;&gt;0),F9/D9,"")</f>
        <v/>
      </c>
      <c r="H9" s="63">
        <f>IF(AND(ISNUMBER(E9),ISNUMBER(F9),E9&lt;&gt;0),F9/E9-1,"")</f>
        <v/>
      </c>
      <c r="I9" s="5" t="n"/>
      <c r="J9" s="5" t="n"/>
      <c r="K9" s="58">
        <f>'Entrées'!$C$100</f>
        <v/>
      </c>
      <c r="L9" s="22" t="inlineStr">
        <is>
          <t>F180, F179, F37, F38, F95</t>
        </is>
      </c>
    </row>
    <row r="10">
      <c r="A10" s="2" t="n"/>
      <c r="B10" s="20" t="inlineStr">
        <is>
          <t>Somme des quatre segments</t>
        </is>
      </c>
      <c r="C10" s="42">
        <f>SUM(C6:C9)</f>
        <v/>
      </c>
      <c r="D10" s="42">
        <f>SUM(D6:D9)</f>
        <v/>
      </c>
      <c r="E10" s="42">
        <f>SUM(E6:E9)</f>
        <v/>
      </c>
      <c r="F10" s="42">
        <f>SUM(F6:F9)</f>
        <v/>
      </c>
      <c r="G10" s="2" t="n"/>
      <c r="H10" s="2" t="n"/>
      <c r="I10" s="2" t="n"/>
      <c r="J10" s="2" t="n"/>
      <c r="K10" s="2" t="n"/>
      <c r="L10" s="2" t="n"/>
    </row>
    <row r="11">
      <c r="A11" s="2" t="n"/>
      <c r="B11" s="5" t="inlineStr">
        <is>
          <t>EBITDA du groupe publié</t>
        </is>
      </c>
      <c r="C11" s="2" t="n"/>
      <c r="D11" s="2" t="n"/>
      <c r="E11" s="58">
        <f>'Entrées'!$C$22</f>
        <v/>
      </c>
      <c r="F11" s="58">
        <f>'Entrées'!$C$8</f>
        <v/>
      </c>
      <c r="G11" s="2" t="n"/>
      <c r="H11" s="2" t="n"/>
      <c r="I11" s="2" t="n"/>
      <c r="J11" s="2" t="n"/>
      <c r="K11" s="2" t="n"/>
      <c r="L11" s="22" t="inlineStr">
        <is>
          <t>F17, F3</t>
        </is>
      </c>
    </row>
    <row r="12">
      <c r="A12" s="2" t="n"/>
      <c r="B12" s="5" t="inlineStr">
        <is>
          <t>Autres (holding, éliminations) = groupe − segments</t>
        </is>
      </c>
      <c r="C12" s="2" t="n"/>
      <c r="D12" s="2" t="n"/>
      <c r="E12" s="103" t="inlineStr">
        <is>
          <t>n/d</t>
        </is>
      </c>
      <c r="F12" s="61">
        <f>F11-F10</f>
        <v/>
      </c>
      <c r="G12" s="2" t="n"/>
      <c r="H12" s="2" t="n"/>
      <c r="I12" s="2" t="n"/>
      <c r="J12" s="2" t="n"/>
      <c r="K12" s="2" t="n"/>
      <c r="L12" s="22" t="inlineStr">
        <is>
          <t>2024 : l'EBITDA Water Technologies 2024 n'est pas au registre</t>
        </is>
      </c>
    </row>
    <row r="13">
      <c r="A13" s="2" t="n"/>
      <c r="B13" s="2" t="n"/>
      <c r="C13" s="2" t="n"/>
      <c r="D13" s="2" t="n"/>
      <c r="E13" s="2" t="n"/>
      <c r="F13" s="2" t="n"/>
      <c r="G13" s="2" t="n"/>
      <c r="H13" s="2" t="n"/>
      <c r="I13" s="2" t="n"/>
      <c r="J13" s="2" t="n"/>
      <c r="K13" s="2" t="n"/>
      <c r="L13" s="2" t="n"/>
    </row>
    <row r="14">
      <c r="A14" s="20" t="inlineStr">
        <is>
          <t>B</t>
        </is>
      </c>
      <c r="B14" s="20" t="inlineStr">
        <is>
          <t>Les boosters (croissance et marge)</t>
        </is>
      </c>
      <c r="C14" s="2" t="n"/>
      <c r="D14" s="2" t="n"/>
      <c r="E14" s="2" t="n"/>
      <c r="F14" s="2" t="n"/>
      <c r="G14" s="2" t="n"/>
      <c r="H14" s="2" t="n"/>
      <c r="I14" s="2" t="n"/>
      <c r="J14" s="2" t="n"/>
      <c r="K14" s="2" t="n"/>
      <c r="L14" s="2" t="n"/>
    </row>
    <row r="15">
      <c r="A15" s="19" t="inlineStr"/>
      <c r="B15" s="19" t="inlineStr">
        <is>
          <t>Booster</t>
        </is>
      </c>
      <c r="C15" s="19" t="inlineStr">
        <is>
          <t>CA 2024</t>
        </is>
      </c>
      <c r="D15" s="19" t="inlineStr">
        <is>
          <t>CA 2025</t>
        </is>
      </c>
      <c r="E15" s="19" t="inlineStr">
        <is>
          <t>EBITDA 2024</t>
        </is>
      </c>
      <c r="F15" s="19" t="inlineStr">
        <is>
          <t>EBITDA 2025</t>
        </is>
      </c>
      <c r="G15" s="19" t="inlineStr">
        <is>
          <t>Marge 2025</t>
        </is>
      </c>
      <c r="H15" s="19" t="inlineStr">
        <is>
          <t>Croiss. organique CA 2025</t>
        </is>
      </c>
      <c r="I15" s="19" t="inlineStr">
        <is>
          <t>Croiss. organique EBITDA 2025</t>
        </is>
      </c>
      <c r="J15" s="19" t="inlineStr">
        <is>
          <t>CA S1 2026</t>
        </is>
      </c>
      <c r="K15" s="19" t="inlineStr">
        <is>
          <t>EBITDA S1 2026</t>
        </is>
      </c>
      <c r="L15" s="19" t="inlineStr">
        <is>
          <t>Réf.</t>
        </is>
      </c>
    </row>
    <row r="16">
      <c r="A16" s="2" t="n"/>
      <c r="B16" s="5" t="inlineStr">
        <is>
          <t>Tous les boosters</t>
        </is>
      </c>
      <c r="C16" s="5" t="n"/>
      <c r="D16" s="58">
        <f>'Entrées'!$C$173</f>
        <v/>
      </c>
      <c r="E16" s="5" t="n"/>
      <c r="F16" s="58">
        <f>'Entrées'!$C$176</f>
        <v/>
      </c>
      <c r="G16" s="63">
        <f>IF(AND(ISNUMBER(D16),ISNUMBER(F16),D16&lt;&gt;0),F16/D16,"")</f>
        <v/>
      </c>
      <c r="H16" s="69">
        <f>'Entrées'!$C$174/100</f>
        <v/>
      </c>
      <c r="I16" s="69">
        <f>'Entrées'!$C$175/100</f>
        <v/>
      </c>
      <c r="J16" s="58">
        <f>'Entrées'!$C$217</f>
        <v/>
      </c>
      <c r="K16" s="58">
        <f>'Entrées'!$C$219</f>
        <v/>
      </c>
      <c r="L16" s="22" t="inlineStr">
        <is>
          <t>F185, F188, F186, F187, F229, F231</t>
        </is>
      </c>
    </row>
    <row r="17">
      <c r="A17" s="2" t="n"/>
      <c r="B17" s="5" t="inlineStr">
        <is>
          <t>Bioénergie, flexibilité, efficacité énergétique</t>
        </is>
      </c>
      <c r="C17" s="58">
        <f>'Entrées'!$C$180</f>
        <v/>
      </c>
      <c r="D17" s="58">
        <f>'Entrées'!$C$178</f>
        <v/>
      </c>
      <c r="E17" s="58">
        <f>'Entrées'!$C$181</f>
        <v/>
      </c>
      <c r="F17" s="58">
        <f>'Entrées'!$C$179</f>
        <v/>
      </c>
      <c r="G17" s="63">
        <f>IF(AND(ISNUMBER(D17),ISNUMBER(F17),D17&lt;&gt;0),F17/D17,"")</f>
        <v/>
      </c>
      <c r="H17" s="5" t="n"/>
      <c r="I17" s="69">
        <f>'Entrées'!$C$222/100</f>
        <v/>
      </c>
      <c r="J17" s="58">
        <f>'Entrées'!$C$221</f>
        <v/>
      </c>
      <c r="K17" s="5" t="n"/>
      <c r="L17" s="22" t="inlineStr">
        <is>
          <t>F192, F190, F193, F191, F234, F233</t>
        </is>
      </c>
    </row>
    <row r="18">
      <c r="A18" s="2" t="n"/>
      <c r="B18" s="5" t="inlineStr">
        <is>
          <t>Déchets dangereux (pro forma avec Clean Earth, présentation Clean Earth p.9)</t>
        </is>
      </c>
      <c r="C18" s="2" t="n"/>
      <c r="D18" s="58">
        <f>'Entrées'!$C$64*1000</f>
        <v/>
      </c>
      <c r="E18" s="2" t="n"/>
      <c r="F18" s="58">
        <f>'Entrées'!$C$65*1000</f>
        <v/>
      </c>
      <c r="G18" s="63">
        <f>F18/D18</f>
        <v/>
      </c>
      <c r="H18" s="2" t="n"/>
      <c r="I18" s="2" t="n"/>
      <c r="J18" s="2" t="n"/>
      <c r="K18" s="2" t="n"/>
      <c r="L18" s="22" t="inlineStr">
        <is>
          <t>F59, F60 (2025E)</t>
        </is>
      </c>
    </row>
    <row r="19">
      <c r="A19" s="2" t="n"/>
      <c r="B19" s="5" t="inlineStr">
        <is>
          <t>Marge publiée des boosters 2025 (pour contrôle)</t>
        </is>
      </c>
      <c r="C19" s="2" t="n"/>
      <c r="D19" s="2" t="n"/>
      <c r="E19" s="2" t="n"/>
      <c r="F19" s="2" t="n"/>
      <c r="G19" s="69">
        <f>'Entrées'!$C$177/100</f>
        <v/>
      </c>
      <c r="H19" s="2" t="n"/>
      <c r="I19" s="2" t="n"/>
      <c r="J19" s="2" t="n"/>
      <c r="K19" s="2" t="n"/>
      <c r="L19" s="22" t="inlineStr">
        <is>
          <t>F189</t>
        </is>
      </c>
    </row>
    <row r="20">
      <c r="A20" s="2" t="n"/>
      <c r="B20" s="5" t="inlineStr">
        <is>
          <t>Ambition GreenUp bioénergie : CA 2023 → 2027 (Md EUR), et rythme annuel requis</t>
        </is>
      </c>
      <c r="C20" s="75">
        <f>'Entrées'!$C$223</f>
        <v/>
      </c>
      <c r="D20" s="75">
        <f>'Entrées'!$C$224</f>
        <v/>
      </c>
      <c r="E20" s="2" t="n"/>
      <c r="F20" s="2" t="n"/>
      <c r="G20" s="2" t="n"/>
      <c r="H20" s="63">
        <f>(D20/C20)^(1/4)-1</f>
        <v/>
      </c>
      <c r="I20" s="2" t="n"/>
      <c r="J20" s="2" t="n"/>
      <c r="K20" s="2" t="n"/>
      <c r="L20" s="22" t="inlineStr">
        <is>
          <t>F235, F236 — rythme requis sur 4 ans</t>
        </is>
      </c>
    </row>
    <row r="21">
      <c r="A21" s="2" t="n"/>
      <c r="B21" s="5" t="inlineStr">
        <is>
          <t>Rythme constaté 2023 → 2025 (périmètre courant)</t>
        </is>
      </c>
      <c r="C21" s="2" t="n"/>
      <c r="D21" s="2" t="n"/>
      <c r="E21" s="2" t="n"/>
      <c r="F21" s="2" t="n"/>
      <c r="G21" s="2" t="n"/>
      <c r="H21" s="63">
        <f>(D17/1000/C20)^(1/2)-1</f>
        <v/>
      </c>
      <c r="I21" s="2" t="n"/>
      <c r="J21" s="2" t="n"/>
      <c r="K21" s="2" t="n"/>
      <c r="L21" s="22" t="inlineStr">
        <is>
          <t>CA 2025 / base 2023, sur deux ans — effets de périmètre compris</t>
        </is>
      </c>
    </row>
    <row r="22">
      <c r="A22" s="2" t="n"/>
      <c r="B22" s="2" t="n"/>
      <c r="C22" s="2" t="n"/>
      <c r="D22" s="2" t="n"/>
      <c r="E22" s="2" t="n"/>
      <c r="F22" s="2" t="n"/>
      <c r="G22" s="2" t="n"/>
      <c r="H22" s="2" t="n"/>
      <c r="I22" s="2" t="n"/>
      <c r="J22" s="2" t="n"/>
      <c r="K22" s="2" t="n"/>
      <c r="L22" s="2" t="n"/>
    </row>
    <row r="23">
      <c r="A23" s="20" t="inlineStr">
        <is>
          <t>C</t>
        </is>
      </c>
      <c r="B23" s="20" t="inlineStr">
        <is>
          <t>D'où viennent les 8 Md€ : si chaque segment gardait son rythme organique de 2025</t>
        </is>
      </c>
      <c r="C23" s="2" t="n"/>
      <c r="D23" s="2" t="n"/>
      <c r="E23" s="2" t="n"/>
      <c r="F23" s="2" t="n"/>
      <c r="G23" s="2" t="n"/>
      <c r="H23" s="2" t="n"/>
      <c r="I23" s="2" t="n"/>
      <c r="J23" s="2" t="n"/>
      <c r="K23" s="2" t="n"/>
      <c r="L23" s="2" t="n"/>
    </row>
    <row r="24">
      <c r="A24" s="19" t="inlineStr"/>
      <c r="B24" s="19" t="inlineStr">
        <is>
          <t>Segment</t>
        </is>
      </c>
      <c r="C24" s="19" t="inlineStr">
        <is>
          <t>EBITDA 2025</t>
        </is>
      </c>
      <c r="D24" s="19" t="inlineStr">
        <is>
          <t>Rythme organique 2025</t>
        </is>
      </c>
      <c r="E24" s="19" t="inlineStr">
        <is>
          <t>EBITDA 2027 au même rythme</t>
        </is>
      </c>
      <c r="F24" s="19" t="inlineStr"/>
      <c r="G24" s="19" t="inlineStr"/>
      <c r="H24" s="19" t="inlineStr"/>
      <c r="I24" s="19" t="inlineStr"/>
      <c r="J24" s="19" t="inlineStr"/>
      <c r="K24" s="19" t="inlineStr"/>
      <c r="L24" s="19" t="inlineStr">
        <is>
          <t>Note</t>
        </is>
      </c>
    </row>
    <row r="25">
      <c r="A25" s="2" t="n"/>
      <c r="B25" s="5">
        <f>B6</f>
        <v/>
      </c>
      <c r="C25" s="61">
        <f>F6</f>
        <v/>
      </c>
      <c r="D25" s="63">
        <f>IF(ISNUMBER(I6),I6,H6)</f>
        <v/>
      </c>
      <c r="E25" s="61">
        <f>IF(AND(ISNUMBER(C25),ISNUMBER(D25)),C25*(1+D25)^2,"")</f>
        <v/>
      </c>
      <c r="F25" s="2" t="n"/>
      <c r="G25" s="2" t="n"/>
      <c r="H25" s="2" t="n"/>
      <c r="I25" s="2" t="n"/>
      <c r="J25" s="2" t="n"/>
      <c r="K25" s="2" t="n"/>
      <c r="L25" s="22" t="inlineStr"/>
    </row>
    <row r="26">
      <c r="A26" s="2" t="n"/>
      <c r="B26" s="5">
        <f>B7</f>
        <v/>
      </c>
      <c r="C26" s="61">
        <f>F7</f>
        <v/>
      </c>
      <c r="D26" s="63">
        <f>IF(ISNUMBER(I7),I7,H7)</f>
        <v/>
      </c>
      <c r="E26" s="61">
        <f>IF(AND(ISNUMBER(C26),ISNUMBER(D26)),C26*(1+D26)^2,"")</f>
        <v/>
      </c>
      <c r="F26" s="2" t="n"/>
      <c r="G26" s="2" t="n"/>
      <c r="H26" s="2" t="n"/>
      <c r="I26" s="2" t="n"/>
      <c r="J26" s="2" t="n"/>
      <c r="K26" s="2" t="n"/>
      <c r="L26" s="22" t="inlineStr"/>
    </row>
    <row r="27">
      <c r="A27" s="2" t="n"/>
      <c r="B27" s="5">
        <f>B8</f>
        <v/>
      </c>
      <c r="C27" s="61">
        <f>F8</f>
        <v/>
      </c>
      <c r="D27" s="63">
        <f>IF(ISNUMBER(I8),I8,H8)</f>
        <v/>
      </c>
      <c r="E27" s="61">
        <f>IF(AND(ISNUMBER(C27),ISNUMBER(D27)),C27*(1+D27)^2,"")</f>
        <v/>
      </c>
      <c r="F27" s="2" t="n"/>
      <c r="G27" s="2" t="n"/>
      <c r="H27" s="2" t="n"/>
      <c r="I27" s="2" t="n"/>
      <c r="J27" s="2" t="n"/>
      <c r="K27" s="2" t="n"/>
      <c r="L27" s="22" t="inlineStr"/>
    </row>
    <row r="28">
      <c r="A28" s="2" t="n"/>
      <c r="B28" s="5">
        <f>B9</f>
        <v/>
      </c>
      <c r="C28" s="61">
        <f>F9</f>
        <v/>
      </c>
      <c r="D28" s="63">
        <f>IF(ISNUMBER(I9),I9,H9)</f>
        <v/>
      </c>
      <c r="E28" s="61">
        <f>IF(AND(ISNUMBER(C28),ISNUMBER(D28)),C28*(1+D28)^2,"")</f>
        <v/>
      </c>
      <c r="F28" s="2" t="n"/>
      <c r="G28" s="2" t="n"/>
      <c r="H28" s="2" t="n"/>
      <c r="I28" s="2" t="n"/>
      <c r="J28" s="2" t="n"/>
      <c r="K28" s="2" t="n"/>
      <c r="L28" s="22" t="inlineStr">
        <is>
          <t>croissance publiée à défaut d'organique</t>
        </is>
      </c>
    </row>
    <row r="29">
      <c r="A29" s="2" t="n"/>
      <c r="B29" s="5" t="inlineStr">
        <is>
          <t>Autres (holding), supposés stables</t>
        </is>
      </c>
      <c r="C29" s="61">
        <f>'Segments'!$F$12</f>
        <v/>
      </c>
      <c r="D29" s="2" t="n"/>
      <c r="E29" s="61">
        <f>C29</f>
        <v/>
      </c>
      <c r="F29" s="2" t="n"/>
      <c r="G29" s="2" t="n"/>
      <c r="H29" s="2" t="n"/>
      <c r="I29" s="2" t="n"/>
      <c r="J29" s="2" t="n"/>
      <c r="K29" s="2" t="n"/>
      <c r="L29" s="2" t="n"/>
    </row>
    <row r="30">
      <c r="A30" s="2" t="n"/>
      <c r="B30" s="5" t="inlineStr">
        <is>
          <t>Clean Earth en année pleine (hypothèse ceEb, convertie)</t>
        </is>
      </c>
      <c r="C30" s="2" t="n"/>
      <c r="D30" s="2" t="n"/>
      <c r="E30" s="58">
        <f>'Hypothèses'!$J$7/'Hypothèses'!$J$19</f>
        <v/>
      </c>
      <c r="F30" s="2" t="n"/>
      <c r="G30" s="2" t="n"/>
      <c r="H30" s="2" t="n"/>
      <c r="I30" s="2" t="n"/>
      <c r="J30" s="2" t="n"/>
      <c r="K30" s="2" t="n"/>
      <c r="L30" s="2" t="n"/>
    </row>
    <row r="31">
      <c r="A31" s="2" t="n"/>
      <c r="B31" s="20" t="inlineStr">
        <is>
          <t>EBITDA 2027 « au rythme de 2025 »</t>
        </is>
      </c>
      <c r="C31" s="2" t="n"/>
      <c r="D31" s="2" t="n"/>
      <c r="E31" s="42">
        <f>SUM(E25:E30)</f>
        <v/>
      </c>
      <c r="F31" s="2" t="n"/>
      <c r="G31" s="2" t="n"/>
      <c r="H31" s="2" t="n"/>
      <c r="I31" s="2" t="n"/>
      <c r="J31" s="2" t="n"/>
      <c r="K31" s="2" t="n"/>
      <c r="L31" s="2" t="n"/>
    </row>
    <row r="32">
      <c r="A32" s="2" t="n"/>
      <c r="B32" s="5" t="inlineStr">
        <is>
          <t>Objectif GreenUp ≥</t>
        </is>
      </c>
      <c r="C32" s="2" t="n"/>
      <c r="D32" s="2" t="n"/>
      <c r="E32" s="58">
        <f>'Entrées'!$C$17*1000</f>
        <v/>
      </c>
      <c r="F32" s="2" t="n"/>
      <c r="G32" s="2" t="n"/>
      <c r="H32" s="2" t="n"/>
      <c r="I32" s="2" t="n"/>
      <c r="J32" s="2" t="n"/>
      <c r="K32" s="2" t="n"/>
      <c r="L32" s="2" t="n"/>
    </row>
    <row r="33">
      <c r="A33" s="2" t="n"/>
      <c r="B33" s="5" t="inlineStr">
        <is>
          <t>EBITDA 2027 du modèle (Trajectoire, central)</t>
        </is>
      </c>
      <c r="C33" s="2" t="n"/>
      <c r="D33" s="2" t="n"/>
      <c r="E33" s="58">
        <f>'Trajectoire'!$D$42</f>
        <v/>
      </c>
      <c r="F33" s="2" t="n"/>
      <c r="G33" s="2" t="n"/>
      <c r="H33" s="2" t="n"/>
      <c r="I33" s="2" t="n"/>
      <c r="J33" s="2" t="n"/>
      <c r="K33" s="2" t="n"/>
      <c r="L33" s="2" t="n"/>
    </row>
    <row r="34" ht="30" customHeight="1">
      <c r="A34" s="2" t="n"/>
      <c r="B34" s="66" t="inlineStr">
        <is>
          <t>Lecture : les Amériques (+9 %) et Water Technologies (+14 %) portent la croissance ; l'Europe (+2 %) et la France-DD (+6 %) non. Prolonger 2025 deux ans mène près de l'objectif, avant cessions : c'est ce qui fonde l'hypothèse g27 du modèle.</t>
        </is>
      </c>
      <c r="C34" s="2" t="n"/>
      <c r="D34" s="2" t="n"/>
      <c r="E34" s="2" t="n"/>
      <c r="F34" s="2" t="n"/>
      <c r="G34" s="2" t="n"/>
      <c r="H34" s="2" t="n"/>
      <c r="I34" s="2" t="n"/>
      <c r="J34" s="2" t="n"/>
      <c r="K34" s="2" t="n"/>
      <c r="L34" s="2" t="n"/>
    </row>
    <row r="35">
      <c r="A35" s="2" t="n"/>
      <c r="B35" s="2" t="n"/>
      <c r="C35" s="2" t="n"/>
      <c r="D35" s="2" t="n"/>
      <c r="E35" s="2" t="n"/>
      <c r="F35" s="2" t="n"/>
      <c r="G35" s="2" t="n"/>
      <c r="H35" s="2" t="n"/>
      <c r="I35" s="2" t="n"/>
      <c r="J35" s="2" t="n"/>
      <c r="K35" s="2" t="n"/>
      <c r="L35" s="2" t="n"/>
    </row>
    <row r="36">
      <c r="A36" s="20" t="inlineStr">
        <is>
          <t>D</t>
        </is>
      </c>
      <c r="B36" s="20" t="inlineStr">
        <is>
          <t>Les KPI environnementaux de GreenUp face à 2027</t>
        </is>
      </c>
      <c r="C36" s="2" t="n"/>
      <c r="D36" s="2" t="n"/>
      <c r="E36" s="2" t="n"/>
      <c r="F36" s="2" t="n"/>
      <c r="G36" s="2" t="n"/>
      <c r="H36" s="2" t="n"/>
      <c r="I36" s="2" t="n"/>
      <c r="J36" s="2" t="n"/>
      <c r="K36" s="2" t="n"/>
      <c r="L36" s="2" t="n"/>
    </row>
    <row r="37">
      <c r="A37" s="19" t="inlineStr"/>
      <c r="B37" s="19" t="inlineStr">
        <is>
          <t>KPI</t>
        </is>
      </c>
      <c r="C37" s="19" t="inlineStr">
        <is>
          <t>Base 2023</t>
        </is>
      </c>
      <c r="D37" s="19" t="inlineStr">
        <is>
          <t>2024</t>
        </is>
      </c>
      <c r="E37" s="19" t="inlineStr">
        <is>
          <t>2025</t>
        </is>
      </c>
      <c r="F37" s="19" t="inlineStr">
        <is>
          <t>Objectif 2027</t>
        </is>
      </c>
      <c r="G37" s="19" t="inlineStr">
        <is>
          <t>Écart 2025 → objectif</t>
        </is>
      </c>
      <c r="H37" s="19" t="inlineStr"/>
      <c r="I37" s="19" t="inlineStr"/>
      <c r="J37" s="19" t="inlineStr"/>
      <c r="K37" s="19" t="inlineStr"/>
      <c r="L37" s="19" t="inlineStr">
        <is>
          <t>Réf.</t>
        </is>
      </c>
    </row>
    <row r="38">
      <c r="A38" s="2" t="n"/>
      <c r="B38" s="5" t="inlineStr">
        <is>
          <t>CO2e évité (scope 4), Mt — reconstitué : base × (1 + progression)</t>
        </is>
      </c>
      <c r="C38" s="75">
        <f>'Entrées'!$C$185</f>
        <v/>
      </c>
      <c r="D38" s="76">
        <f>C38*(1+'Entrées'!$C$186/100)</f>
        <v/>
      </c>
      <c r="E38" s="76">
        <f>C38*(1+'Entrées'!$C$187/100)</f>
        <v/>
      </c>
      <c r="F38" s="76">
        <f>C38*(1+'Entrées'!$C$188/100)</f>
        <v/>
      </c>
      <c r="G38" s="76">
        <f>F38-E38</f>
        <v/>
      </c>
      <c r="H38" s="2" t="n"/>
      <c r="I38" s="2" t="n"/>
      <c r="J38" s="2" t="n"/>
      <c r="K38" s="2" t="n"/>
      <c r="L38" s="22" t="inlineStr">
        <is>
          <t>F197, F198, F199, F200</t>
        </is>
      </c>
    </row>
    <row r="39">
      <c r="A39" s="2" t="n"/>
      <c r="B39" s="5" t="inlineStr">
        <is>
          <t>CO2e évité : objectif tel qu'énoncé (18 Mt)</t>
        </is>
      </c>
      <c r="C39" s="2" t="n"/>
      <c r="D39" s="2" t="n"/>
      <c r="E39" s="2" t="n"/>
      <c r="F39" s="75">
        <f>'Entrées'!$C$192</f>
        <v/>
      </c>
      <c r="G39" s="2" t="n"/>
      <c r="H39" s="2" t="n"/>
      <c r="I39" s="2" t="n"/>
      <c r="J39" s="2" t="n"/>
      <c r="K39" s="2" t="n"/>
      <c r="L39" s="22" t="inlineStr">
        <is>
          <t>F204 — 13,45 × 1,30 = 17,5, pas 18 : deux formulations</t>
        </is>
      </c>
    </row>
    <row r="40">
      <c r="A40" s="2" t="n"/>
      <c r="B40" s="5" t="inlineStr">
        <is>
          <t>Eau douce économisée, Md m³</t>
        </is>
      </c>
      <c r="C40" s="2" t="n"/>
      <c r="D40" s="104">
        <f>'Entrées'!$C$189</f>
        <v/>
      </c>
      <c r="E40" s="104">
        <f>'Entrées'!$C$190</f>
        <v/>
      </c>
      <c r="F40" s="104">
        <f>'Entrées'!$C$191</f>
        <v/>
      </c>
      <c r="G40" s="105">
        <f>F40-E40</f>
        <v/>
      </c>
      <c r="H40" s="2" t="n"/>
      <c r="I40" s="2" t="n"/>
      <c r="J40" s="2" t="n"/>
      <c r="K40" s="2" t="n"/>
      <c r="L40" s="22" t="inlineStr">
        <is>
          <t>F201, F202, F203 — déjà dépassé</t>
        </is>
      </c>
    </row>
    <row r="41">
      <c r="A41" s="2" t="n"/>
      <c r="B41" s="5" t="inlineStr">
        <is>
          <t>Déchets dangereux traités, kt</t>
        </is>
      </c>
      <c r="C41" s="2" t="n"/>
      <c r="D41" s="58">
        <f>'Entrées'!$C$38</f>
        <v/>
      </c>
      <c r="E41" s="58">
        <f>'Entrées'!$C$39</f>
        <v/>
      </c>
      <c r="F41" s="58">
        <f>'Entrées'!$C$40*1000</f>
        <v/>
      </c>
      <c r="G41" s="61">
        <f>F41-E41</f>
        <v/>
      </c>
      <c r="H41" s="2" t="n"/>
      <c r="I41" s="2" t="n"/>
      <c r="J41" s="2" t="n"/>
      <c r="K41" s="2" t="n"/>
      <c r="L41" s="22" t="inlineStr">
        <is>
          <t>F33, F34, F35 — déjà atteint</t>
        </is>
      </c>
    </row>
    <row r="42" ht="30" customHeight="1">
      <c r="A42" s="2" t="n"/>
      <c r="B42" s="66" t="inlineStr">
        <is>
          <t>Lecture : deux KPI sur trois sont déjà atteints ; seul le CO2 évité reste en chemin (16,6 → 17,5-18 Mt). Pour le périmètre capacité, la question 1 se réduit à l'EBITDA.</t>
        </is>
      </c>
      <c r="C42" s="2" t="n"/>
      <c r="D42" s="2" t="n"/>
      <c r="E42" s="2" t="n"/>
      <c r="F42" s="2" t="n"/>
      <c r="G42" s="2" t="n"/>
      <c r="H42" s="2" t="n"/>
      <c r="I42" s="2" t="n"/>
      <c r="J42" s="2" t="n"/>
      <c r="K42" s="2" t="n"/>
      <c r="L42" s="2" t="n"/>
    </row>
  </sheetData>
  <mergeCells count="2">
    <mergeCell ref="B34:L34"/>
    <mergeCell ref="B42:L42"/>
  </mergeCells>
  <pageMargins left="0.75" right="0.75" top="1" bottom="1" header="0.5" footer="0.5"/>
  <pageSetup orientation="landscape" paperSize="9" fitToHeight="0" fitToWidth="1"/>
</worksheet>
</file>

<file path=xl/worksheets/sheet11.xml><?xml version="1.0" encoding="utf-8"?>
<worksheet xmlns="http://schemas.openxmlformats.org/spreadsheetml/2006/main">
  <sheetPr>
    <outlinePr summaryBelow="1" summaryRight="1"/>
    <pageSetUpPr fitToPage="1"/>
  </sheetPr>
  <dimension ref="A1:F92"/>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4" customWidth="1" min="1" max="1"/>
    <col width="76" customWidth="1" min="2" max="2"/>
    <col width="15" customWidth="1" min="3" max="3"/>
    <col width="15" customWidth="1" min="4" max="4"/>
    <col width="15" customWidth="1" min="5" max="5"/>
    <col width="30" customWidth="1" min="6" max="6"/>
  </cols>
  <sheetData>
    <row r="1">
      <c r="A1" s="1" t="inlineStr">
        <is>
          <t>Rôles 3 et 4 (question 1 du cours) — Le pont de l'EBITDA : ce que GreenUp promet, ce que 2025 a livré, ce que le modèle projette</t>
        </is>
      </c>
      <c r="B1" s="2" t="n"/>
      <c r="C1" s="2" t="n"/>
      <c r="D1" s="2" t="n"/>
      <c r="E1" s="2" t="n"/>
      <c r="F1" s="2" t="n"/>
    </row>
    <row r="2">
      <c r="A2" s="3" t="inlineStr">
        <is>
          <t>GreenUp (p.58, p.69), présentation des résultats 2025 (p.21, p.24), Trajectoire. Une marche = une ligne ; chaque marche renvoie à une entrée ou à une hypothèse.</t>
        </is>
      </c>
      <c r="B2" s="2" t="n"/>
      <c r="C2" s="2" t="n"/>
      <c r="D2" s="2" t="n"/>
      <c r="E2" s="2" t="n"/>
      <c r="F2" s="2" t="n"/>
    </row>
    <row r="3">
      <c r="A3" s="2" t="n"/>
      <c r="B3" s="2" t="n"/>
      <c r="C3" s="2" t="n"/>
      <c r="D3" s="2" t="n"/>
      <c r="E3" s="2" t="n"/>
      <c r="F3" s="2" t="n"/>
    </row>
    <row r="4">
      <c r="A4" s="20" t="inlineStr">
        <is>
          <t>A</t>
        </is>
      </c>
      <c r="B4" s="20" t="inlineStr">
        <is>
          <t>Ce que le plan promet (GreenUp 2024-2027)</t>
        </is>
      </c>
      <c r="C4" s="2" t="n"/>
      <c r="D4" s="2" t="n"/>
      <c r="E4" s="2" t="n"/>
      <c r="F4" s="2" t="n"/>
    </row>
    <row r="5">
      <c r="A5" s="19" t="inlineStr"/>
      <c r="B5" s="19" t="inlineStr">
        <is>
          <t>Libellé</t>
        </is>
      </c>
      <c r="C5" s="19" t="inlineStr">
        <is>
          <t>Valeur</t>
        </is>
      </c>
      <c r="D5" s="19" t="inlineStr">
        <is>
          <t>Unité</t>
        </is>
      </c>
      <c r="E5" s="19" t="inlineStr">
        <is>
          <t>Réf. / calcul</t>
        </is>
      </c>
      <c r="F5" s="2" t="n"/>
    </row>
    <row r="6">
      <c r="A6" s="2" t="n"/>
      <c r="B6" s="5" t="inlineStr">
        <is>
          <t>EBITDA de base 2023 (GreenUp)</t>
        </is>
      </c>
      <c r="C6" s="61">
        <f>'Entrées'!$C$423*1000</f>
        <v/>
      </c>
      <c r="D6" s="22" t="inlineStr">
        <is>
          <t>M EUR</t>
        </is>
      </c>
      <c r="E6" s="22" t="inlineStr">
        <is>
          <t>F418</t>
        </is>
      </c>
      <c r="F6" s="2" t="n"/>
    </row>
    <row r="7">
      <c r="A7" s="2" t="n"/>
      <c r="B7" s="5" t="inlineStr">
        <is>
          <t>Objectif 2027 : au moins</t>
        </is>
      </c>
      <c r="C7" s="61">
        <f>'Entrées'!$C$17*1000</f>
        <v/>
      </c>
      <c r="D7" s="22" t="inlineStr">
        <is>
          <t>M EUR</t>
        </is>
      </c>
      <c r="E7" s="22" t="inlineStr">
        <is>
          <t>F12</t>
        </is>
      </c>
      <c r="F7" s="2" t="n"/>
    </row>
    <row r="8">
      <c r="A8" s="2" t="n"/>
      <c r="B8" s="20" t="inlineStr">
        <is>
          <t>Écart à combler en quatre ans</t>
        </is>
      </c>
      <c r="C8" s="42">
        <f>C7-C6</f>
        <v/>
      </c>
      <c r="D8" s="22" t="inlineStr">
        <is>
          <t>M EUR</t>
        </is>
      </c>
      <c r="E8" s="22" t="inlineStr">
        <is>
          <t>objectif − base</t>
        </is>
      </c>
      <c r="F8" s="2" t="n"/>
    </row>
    <row r="9">
      <c r="A9" s="2" t="n"/>
      <c r="B9" s="5" t="inlineStr">
        <is>
          <t>Croissance annuelle implicite 2023 → 2027</t>
        </is>
      </c>
      <c r="C9" s="63">
        <f>(C7/C6)^(1/4)-1</f>
        <v/>
      </c>
      <c r="D9" s="22" t="inlineStr">
        <is>
          <t>%</t>
        </is>
      </c>
      <c r="E9" s="22" t="inlineStr">
        <is>
          <t>(objectif / base)^(1/4) − 1</t>
        </is>
      </c>
      <c r="F9" s="2" t="n"/>
    </row>
    <row r="10">
      <c r="A10" s="2" t="n"/>
      <c r="B10" s="5" t="inlineStr">
        <is>
          <t>Croissance annuelle annoncée, environ</t>
        </is>
      </c>
      <c r="C10" s="63">
        <f>'Entrées'!$C$424/100</f>
        <v/>
      </c>
      <c r="D10" s="22" t="inlineStr">
        <is>
          <t>%</t>
        </is>
      </c>
      <c r="E10" s="22" t="inlineStr">
        <is>
          <t>F419</t>
        </is>
      </c>
      <c r="F10" s="2" t="n"/>
    </row>
    <row r="11">
      <c r="A11" s="2" t="n"/>
      <c r="B11" s="5" t="inlineStr">
        <is>
          <t>Gains d'efficacité promis, par an</t>
        </is>
      </c>
      <c r="C11" s="58">
        <f>'Entrées'!$C$425</f>
        <v/>
      </c>
      <c r="D11" s="22" t="inlineStr">
        <is>
          <t>M EUR</t>
        </is>
      </c>
      <c r="E11" s="22" t="inlineStr">
        <is>
          <t>F420</t>
        </is>
      </c>
      <c r="F11" s="2" t="n"/>
    </row>
    <row r="12">
      <c r="A12" s="2" t="n"/>
      <c r="B12" s="20" t="inlineStr">
        <is>
          <t>… sur quatre ans (2024-2027)</t>
        </is>
      </c>
      <c r="C12" s="42">
        <f>4*C11</f>
        <v/>
      </c>
      <c r="D12" s="22" t="inlineStr">
        <is>
          <t>M EUR</t>
        </is>
      </c>
      <c r="E12" s="22" t="inlineStr">
        <is>
          <t>4 × 350</t>
        </is>
      </c>
      <c r="F12" s="2" t="n"/>
    </row>
    <row r="13">
      <c r="A13" s="2" t="n"/>
      <c r="B13" s="20" t="inlineStr">
        <is>
          <t>Part de l'écart couverte par la seule efficacité</t>
        </is>
      </c>
      <c r="C13" s="38">
        <f>C12/'Pont EBITDA'!$C$8</f>
        <v/>
      </c>
      <c r="D13" s="22" t="inlineStr">
        <is>
          <t>%</t>
        </is>
      </c>
      <c r="E13" s="22" t="inlineStr">
        <is>
          <t>efficacité × 4 / écart</t>
        </is>
      </c>
      <c r="F13" s="2" t="n"/>
    </row>
    <row r="14">
      <c r="A14" s="2" t="n"/>
      <c r="B14" s="5" t="inlineStr">
        <is>
          <t>Synergies de coûts Suez attendues en 2024-2025, environ</t>
        </is>
      </c>
      <c r="C14" s="58">
        <f>'Entrées'!$C$426</f>
        <v/>
      </c>
      <c r="D14" s="22" t="inlineStr">
        <is>
          <t>M EUR</t>
        </is>
      </c>
      <c r="E14" s="22" t="inlineStr">
        <is>
          <t>F421</t>
        </is>
      </c>
      <c r="F14" s="2" t="n"/>
    </row>
    <row r="15">
      <c r="A15" s="2" t="n"/>
      <c r="B15" s="5" t="inlineStr">
        <is>
          <t>Synergies Suez cumulées 2022-2025 confirmées par le plan</t>
        </is>
      </c>
      <c r="C15" s="58">
        <f>'Entrées'!$C$427</f>
        <v/>
      </c>
      <c r="D15" s="22" t="inlineStr">
        <is>
          <t>M EUR</t>
        </is>
      </c>
      <c r="E15" s="22" t="inlineStr">
        <is>
          <t>F422 ; réalisé 2025 : voir §B</t>
        </is>
      </c>
      <c r="F15" s="2" t="n"/>
    </row>
    <row r="16">
      <c r="A16" s="2" t="n"/>
      <c r="B16" s="20" t="inlineStr">
        <is>
          <t>Efficacité × 4 + synergies 2024-2025, en part de l'écart</t>
        </is>
      </c>
      <c r="C16" s="38">
        <f>('Pont EBITDA'!$C$12+'Pont EBITDA'!$C$14)/'Pont EBITDA'!$C$8</f>
        <v/>
      </c>
      <c r="D16" s="22" t="inlineStr">
        <is>
          <t>%</t>
        </is>
      </c>
      <c r="E16" s="22" t="inlineStr"/>
      <c r="F16" s="2" t="n"/>
    </row>
    <row r="17" ht="44" customHeight="1">
      <c r="A17" s="2" t="n"/>
      <c r="B17" s="66" t="inlineStr">
        <is>
          <t>Lecture : GreenUp est d'abord un plan de coûts. L'efficacité promise (350 M€ par an) couvre à elle seule l'essentiel des 1,5 Md€ entre 2023 et 2027 ; la croissance du chiffre d'affaires et les boosters apportent le reste. Un plan de coûts se vérifie année par année (§B).</t>
        </is>
      </c>
      <c r="C17" s="2" t="n"/>
      <c r="D17" s="2" t="n"/>
      <c r="E17" s="2" t="n"/>
      <c r="F17" s="2" t="n"/>
    </row>
    <row r="18">
      <c r="A18" s="2" t="n"/>
      <c r="B18" s="2" t="n"/>
      <c r="C18" s="2" t="n"/>
      <c r="D18" s="2" t="n"/>
      <c r="E18" s="2" t="n"/>
      <c r="F18" s="2" t="n"/>
    </row>
    <row r="19">
      <c r="A19" s="20" t="inlineStr">
        <is>
          <t>B</t>
        </is>
      </c>
      <c r="B19" s="20" t="inlineStr">
        <is>
          <t>Ce que 2024 et 2025 ont livré (présentations des résultats)</t>
        </is>
      </c>
      <c r="C19" s="2" t="n"/>
      <c r="D19" s="2" t="n"/>
      <c r="E19" s="2" t="n"/>
      <c r="F19" s="2" t="n"/>
    </row>
    <row r="20">
      <c r="A20" s="19" t="inlineStr"/>
      <c r="B20" s="19" t="inlineStr">
        <is>
          <t>Libellé</t>
        </is>
      </c>
      <c r="C20" s="19" t="inlineStr">
        <is>
          <t>2025</t>
        </is>
      </c>
      <c r="D20" s="19" t="inlineStr">
        <is>
          <t>2024</t>
        </is>
      </c>
      <c r="E20" s="19" t="inlineStr">
        <is>
          <t>Réf. / calcul</t>
        </is>
      </c>
      <c r="F20" s="2" t="n"/>
    </row>
    <row r="21">
      <c r="A21" s="2" t="n"/>
      <c r="B21" s="5" t="inlineStr">
        <is>
          <t>EBITDA publié</t>
        </is>
      </c>
      <c r="C21" s="58">
        <f>'Entrées'!$C$8</f>
        <v/>
      </c>
      <c r="D21" s="58">
        <f>'Entrées'!$C$22</f>
        <v/>
      </c>
      <c r="E21" s="22" t="inlineStr">
        <is>
          <t>F3, F17</t>
        </is>
      </c>
      <c r="F21" s="2" t="n"/>
    </row>
    <row r="22">
      <c r="A22" s="2" t="n"/>
      <c r="B22" s="5" t="inlineStr">
        <is>
          <t>EBITDA de l'année précédente, tel que publié</t>
        </is>
      </c>
      <c r="C22" s="58">
        <f>'Entrées'!$C$22</f>
        <v/>
      </c>
      <c r="D22" s="58">
        <f>'Pont EBITDA'!$C$6</f>
        <v/>
      </c>
      <c r="E22" s="22" t="inlineStr">
        <is>
          <t>F17 ; 2023 : base GreenUp (6,5 Md€, arrondi)</t>
        </is>
      </c>
      <c r="F22" s="2" t="n"/>
    </row>
    <row r="23">
      <c r="A23" s="2" t="n"/>
      <c r="B23" s="5" t="inlineStr">
        <is>
          <t>Croissance organique de l'EBITDA publiée</t>
        </is>
      </c>
      <c r="C23" s="69">
        <f>'Entrées'!$C$430/100</f>
        <v/>
      </c>
      <c r="D23" s="103" t="inlineStr">
        <is>
          <t>n/d</t>
        </is>
      </c>
      <c r="E23" s="22" t="inlineStr">
        <is>
          <t>F425</t>
        </is>
      </c>
      <c r="F23" s="2" t="n"/>
    </row>
    <row r="24">
      <c r="A24" s="2" t="n"/>
      <c r="B24" s="20" t="inlineStr">
        <is>
          <t>… en M EUR, sur la base publiée de l'année précédente (approximation : la base organique n'est pas publiée)</t>
        </is>
      </c>
      <c r="C24" s="42">
        <f>C23*D21</f>
        <v/>
      </c>
      <c r="D24" s="103" t="inlineStr">
        <is>
          <t>n/d</t>
        </is>
      </c>
      <c r="E24" s="22" t="inlineStr">
        <is>
          <t>croissance × EBITDA N−1 publié</t>
        </is>
      </c>
      <c r="F24" s="2" t="n"/>
    </row>
    <row r="25">
      <c r="A25" s="2" t="n"/>
      <c r="B25" s="5" t="inlineStr">
        <is>
          <t>Gains d'efficacité de l'année</t>
        </is>
      </c>
      <c r="C25" s="58">
        <f>'Entrées'!$C$429</f>
        <v/>
      </c>
      <c r="D25" s="58">
        <f>'Entrées'!$C$193</f>
        <v/>
      </c>
      <c r="E25" s="22" t="inlineStr">
        <is>
          <t>F424, F205</t>
        </is>
      </c>
      <c r="F25" s="2" t="n"/>
    </row>
    <row r="26">
      <c r="A26" s="2" t="n"/>
      <c r="B26" s="5" t="inlineStr">
        <is>
          <t>Synergies Suez supplémentaires dans l'année (cumul N − cumul N−1)</t>
        </is>
      </c>
      <c r="C26" s="61">
        <f>'Entrées'!$C$196-'Entrées'!$C$194</f>
        <v/>
      </c>
      <c r="D26" s="103" t="inlineStr">
        <is>
          <t>n/d</t>
        </is>
      </c>
      <c r="E26" s="22" t="inlineStr">
        <is>
          <t>F208 − F206</t>
        </is>
      </c>
      <c r="F26" s="2" t="n"/>
    </row>
    <row r="27">
      <c r="A27" s="2" t="n"/>
      <c r="B27" s="20" t="inlineStr">
        <is>
          <t>Efficacité + synergies de l'année</t>
        </is>
      </c>
      <c r="C27" s="42">
        <f>C25+C26</f>
        <v/>
      </c>
      <c r="D27" s="103" t="inlineStr">
        <is>
          <t>n/d</t>
        </is>
      </c>
      <c r="E27" s="22" t="inlineStr"/>
      <c r="F27" s="2" t="n"/>
    </row>
    <row r="28">
      <c r="A28" s="2" t="n"/>
      <c r="B28" s="20" t="inlineStr">
        <is>
          <t>Part de la croissance organique expliquée par l'efficacité seule</t>
        </is>
      </c>
      <c r="C28" s="38">
        <f>C25/'Pont EBITDA'!$C$24</f>
        <v/>
      </c>
      <c r="D28" s="103" t="inlineStr">
        <is>
          <t>n/d</t>
        </is>
      </c>
      <c r="E28" s="22" t="inlineStr">
        <is>
          <t>efficacité / croissance organique en M EUR</t>
        </is>
      </c>
      <c r="F28" s="2" t="n"/>
    </row>
    <row r="29">
      <c r="A29" s="2" t="n"/>
      <c r="B29" s="20" t="inlineStr">
        <is>
          <t>Reste : volumes, prix, énergie, inflation des coûts (croissance organique − efficacité − synergies)</t>
        </is>
      </c>
      <c r="C29" s="42">
        <f>'Pont EBITDA'!$C$24-C27</f>
        <v/>
      </c>
      <c r="D29" s="103" t="inlineStr">
        <is>
          <t>n/d</t>
        </is>
      </c>
      <c r="E29" s="22" t="inlineStr">
        <is>
          <t>négatif = hors efficacité et synergies, l'EBITDA organique recule</t>
        </is>
      </c>
      <c r="F29" s="2" t="n"/>
    </row>
    <row r="30">
      <c r="A30" s="2" t="n"/>
      <c r="B30" s="5" t="inlineStr">
        <is>
          <t>Marge d'EBITDA publiée</t>
        </is>
      </c>
      <c r="C30" s="69">
        <f>'Entrées'!$C$431/100</f>
        <v/>
      </c>
      <c r="D30" s="103" t="inlineStr">
        <is>
          <t>n/d</t>
        </is>
      </c>
      <c r="E30" s="22" t="inlineStr">
        <is>
          <t>F426</t>
        </is>
      </c>
      <c r="F30" s="2" t="n"/>
    </row>
    <row r="31">
      <c r="A31" s="2" t="n"/>
      <c r="B31" s="20" t="inlineStr">
        <is>
          <t>Contre-épreuve par les familles d'activités (présentation 2025, p.24 et p.7)</t>
        </is>
      </c>
      <c r="C31" s="2" t="n"/>
      <c r="D31" s="2" t="n"/>
      <c r="E31" s="2" t="n"/>
      <c r="F31" s="2" t="n"/>
    </row>
    <row r="32">
      <c r="A32" s="2" t="n"/>
      <c r="B32" s="5" t="inlineStr">
        <is>
          <t>Strongholds : EBITDA × croissance organique</t>
        </is>
      </c>
      <c r="C32" s="61">
        <f>'Entrées'!$C$436*'Entrées'!$C$437/100</f>
        <v/>
      </c>
      <c r="D32" s="103" t="inlineStr">
        <is>
          <t>n/d</t>
        </is>
      </c>
      <c r="E32" s="22" t="inlineStr">
        <is>
          <t>F431 × F432</t>
        </is>
      </c>
      <c r="F32" s="2" t="n"/>
    </row>
    <row r="33">
      <c r="A33" s="2" t="n"/>
      <c r="B33" s="5" t="inlineStr">
        <is>
          <t>Boosters : EBITDA × croissance organique</t>
        </is>
      </c>
      <c r="C33" s="61">
        <f>'Entrées'!$C$176*'Entrées'!$C$175/100</f>
        <v/>
      </c>
      <c r="D33" s="103" t="inlineStr">
        <is>
          <t>n/d</t>
        </is>
      </c>
      <c r="E33" s="22" t="inlineStr">
        <is>
          <t>F188 × F187</t>
        </is>
      </c>
      <c r="F33" s="2" t="n"/>
    </row>
    <row r="34">
      <c r="A34" s="2" t="n"/>
      <c r="B34" s="20" t="inlineStr">
        <is>
          <t>Somme des deux familles (sur les EBITDA 2025, approximation)</t>
        </is>
      </c>
      <c r="C34" s="42">
        <f>C32+C33</f>
        <v/>
      </c>
      <c r="D34" s="103" t="inlineStr">
        <is>
          <t>n/d</t>
        </is>
      </c>
      <c r="E34" s="22" t="inlineStr">
        <is>
          <t>à comparer à la croissance organique du groupe en M EUR</t>
        </is>
      </c>
      <c r="F34" s="2" t="n"/>
    </row>
    <row r="35" ht="58" customHeight="1">
      <c r="A35" s="2" t="n"/>
      <c r="B35" s="66" t="inlineStr">
        <is>
          <t>Lecture : en 2025, les gains d'efficacité (399 M€) pèsent à peu près autant que toute la croissance organique de l'EBITDA ; avec les synergies Suez, ils la dépassent. Hors ces deux programmes, l'EBITDA organique ne progresse pas : volumes, prix et énergie absorbent l'inflation des coûts, pas plus. La capacité d'acquisition de 2027 repose donc sur un programme de coûts qui doit être livré deux années de plus (§D).</t>
        </is>
      </c>
      <c r="C35" s="2" t="n"/>
      <c r="D35" s="2" t="n"/>
      <c r="E35" s="2" t="n"/>
      <c r="F35" s="2" t="n"/>
    </row>
    <row r="36">
      <c r="A36" s="2" t="n"/>
      <c r="B36" s="2" t="n"/>
      <c r="C36" s="2" t="n"/>
      <c r="D36" s="2" t="n"/>
      <c r="E36" s="2" t="n"/>
      <c r="F36" s="2" t="n"/>
    </row>
    <row r="37">
      <c r="A37" s="20" t="inlineStr">
        <is>
          <t>C</t>
        </is>
      </c>
      <c r="B37" s="20" t="inlineStr">
        <is>
          <t>Le pont du modèle 2025 → 2027, marche par marche (Trajectoire)</t>
        </is>
      </c>
      <c r="C37" s="2" t="n"/>
      <c r="D37" s="2" t="n"/>
      <c r="E37" s="2" t="n"/>
      <c r="F37" s="2" t="n"/>
    </row>
    <row r="38">
      <c r="A38" s="19" t="inlineStr"/>
      <c r="B38" s="19" t="inlineStr">
        <is>
          <t>Marche</t>
        </is>
      </c>
      <c r="C38" s="19" t="inlineStr">
        <is>
          <t>Scénario actif</t>
        </is>
      </c>
      <c r="D38" s="19" t="inlineStr">
        <is>
          <t>Défavorable combiné</t>
        </is>
      </c>
      <c r="E38" s="19" t="inlineStr">
        <is>
          <t>Favorable combiné</t>
        </is>
      </c>
      <c r="F38" s="19" t="inlineStr">
        <is>
          <t>Ce qui la porte</t>
        </is>
      </c>
    </row>
    <row r="39">
      <c r="A39" s="2" t="n"/>
      <c r="B39" s="20" t="inlineStr">
        <is>
          <t>EBITDA 2025 publié</t>
        </is>
      </c>
      <c r="C39" s="65">
        <f>'Entrées'!$C$8</f>
        <v/>
      </c>
      <c r="D39" s="65">
        <f>'Entrées'!$C$8</f>
        <v/>
      </c>
      <c r="E39" s="65">
        <f>'Entrées'!$C$8</f>
        <v/>
      </c>
      <c r="F39" s="22" t="inlineStr">
        <is>
          <t>F3</t>
        </is>
      </c>
    </row>
    <row r="40">
      <c r="A40" s="2" t="n"/>
      <c r="B40" s="5" t="inlineStr">
        <is>
          <t>+ croissance organique 2026 (hypothèse g26)</t>
        </is>
      </c>
      <c r="C40" s="61">
        <f>'Trajectoire'!$D$28-'Entrées'!$C$8</f>
        <v/>
      </c>
      <c r="D40" s="61">
        <f>'Trajectoire'!$AE$28-'Entrées'!$C$8</f>
        <v/>
      </c>
      <c r="E40" s="61">
        <f>'Trajectoire'!$AF$28-'Entrées'!$C$8</f>
        <v/>
      </c>
      <c r="F40" s="22" t="inlineStr">
        <is>
          <t>A26 − EBITDA 2025</t>
        </is>
      </c>
    </row>
    <row r="41">
      <c r="A41" s="2" t="n"/>
      <c r="B41" s="5" t="inlineStr">
        <is>
          <t>+ Clean Earth 2026 (mois consolidés, converti)</t>
        </is>
      </c>
      <c r="C41" s="58">
        <f>'Trajectoire'!$D$29</f>
        <v/>
      </c>
      <c r="D41" s="58">
        <f>'Trajectoire'!$AE$29</f>
        <v/>
      </c>
      <c r="E41" s="58">
        <f>'Trajectoire'!$AF$29</f>
        <v/>
      </c>
      <c r="F41" s="22" t="inlineStr">
        <is>
          <t>CE26</t>
        </is>
      </c>
    </row>
    <row r="42">
      <c r="A42" s="2" t="n"/>
      <c r="B42" s="5" t="inlineStr">
        <is>
          <t>− EBITDA cédé en 2026</t>
        </is>
      </c>
      <c r="C42" s="58">
        <f>'Trajectoire'!$D$31</f>
        <v/>
      </c>
      <c r="D42" s="58">
        <f>'Trajectoire'!$AE$31</f>
        <v/>
      </c>
      <c r="E42" s="58">
        <f>'Trajectoire'!$AF$31</f>
        <v/>
      </c>
      <c r="F42" s="22" t="inlineStr">
        <is>
          <t>DE26</t>
        </is>
      </c>
    </row>
    <row r="43">
      <c r="A43" s="2" t="n"/>
      <c r="B43" s="20" t="inlineStr">
        <is>
          <t>EBITDA 2026 (sous-total)</t>
        </is>
      </c>
      <c r="C43" s="65">
        <f>'Trajectoire'!$D$32</f>
        <v/>
      </c>
      <c r="D43" s="65">
        <f>'Trajectoire'!$AE$32</f>
        <v/>
      </c>
      <c r="E43" s="65">
        <f>'Trajectoire'!$AF$32</f>
        <v/>
      </c>
      <c r="F43" s="22" t="inlineStr">
        <is>
          <t>EB26</t>
        </is>
      </c>
    </row>
    <row r="44">
      <c r="A44" s="2" t="n"/>
      <c r="B44" s="5" t="inlineStr">
        <is>
          <t>+ croissance organique 2027 (hypothèse g27, sur la base 2026 Clean Earth en année pleine)</t>
        </is>
      </c>
      <c r="C44" s="61">
        <f>'Trajectoire'!$D$37-('Trajectoire'!$D$28+'Trajectoire'!$D$31+'Trajectoire'!$D$8/'Trajectoire'!$D$19)</f>
        <v/>
      </c>
      <c r="D44" s="61">
        <f>'Trajectoire'!$AE$37-('Trajectoire'!$AE$28+'Trajectoire'!$AE$31+'Trajectoire'!$AE$8/'Trajectoire'!$AE$19)</f>
        <v/>
      </c>
      <c r="E44" s="61">
        <f>'Trajectoire'!$AF$37-('Trajectoire'!$AF$28+'Trajectoire'!$AF$31+'Trajectoire'!$AF$8/'Trajectoire'!$AF$19)</f>
        <v/>
      </c>
      <c r="F44" s="22" t="inlineStr">
        <is>
          <t>B27 − base</t>
        </is>
      </c>
    </row>
    <row r="45">
      <c r="A45" s="2" t="n"/>
      <c r="B45" s="5" t="inlineStr">
        <is>
          <t>+ complément Clean Earth (12 mois − mois 2026)</t>
        </is>
      </c>
      <c r="C45" s="61">
        <f>'Trajectoire'!$D$8/'Trajectoire'!$D$19-'Trajectoire'!$D$29</f>
        <v/>
      </c>
      <c r="D45" s="61">
        <f>'Trajectoire'!$AE$8/'Trajectoire'!$AE$19-'Trajectoire'!$AE$29</f>
        <v/>
      </c>
      <c r="E45" s="61">
        <f>'Trajectoire'!$AF$8/'Trajectoire'!$AF$19-'Trajectoire'!$AF$29</f>
        <v/>
      </c>
      <c r="F45" s="22" t="inlineStr">
        <is>
          <t>ceEb / fx − CE26</t>
        </is>
      </c>
    </row>
    <row r="46">
      <c r="A46" s="2" t="n"/>
      <c r="B46" s="5" t="inlineStr">
        <is>
          <t>+ synergies Clean Earth réalisées en 2027</t>
        </is>
      </c>
      <c r="C46" s="58">
        <f>'Trajectoire'!$D$38</f>
        <v/>
      </c>
      <c r="D46" s="58">
        <f>'Trajectoire'!$AE$38</f>
        <v/>
      </c>
      <c r="E46" s="58">
        <f>'Trajectoire'!$AF$38</f>
        <v/>
      </c>
      <c r="F46" s="22" t="inlineStr">
        <is>
          <t>SYN27</t>
        </is>
      </c>
    </row>
    <row r="47">
      <c r="A47" s="2" t="n"/>
      <c r="B47" s="5" t="inlineStr">
        <is>
          <t>+ EBITDA apporté par les tuck-ins 2027</t>
        </is>
      </c>
      <c r="C47" s="58">
        <f>'Trajectoire'!$D$39</f>
        <v/>
      </c>
      <c r="D47" s="58">
        <f>'Trajectoire'!$AE$39</f>
        <v/>
      </c>
      <c r="E47" s="58">
        <f>'Trajectoire'!$AF$39</f>
        <v/>
      </c>
      <c r="F47" s="22" t="inlineStr">
        <is>
          <t>TE27</t>
        </is>
      </c>
    </row>
    <row r="48">
      <c r="A48" s="2" t="n"/>
      <c r="B48" s="5" t="inlineStr">
        <is>
          <t>− EBITDA cédé en 2027</t>
        </is>
      </c>
      <c r="C48" s="58">
        <f>'Trajectoire'!$D$41</f>
        <v/>
      </c>
      <c r="D48" s="58">
        <f>'Trajectoire'!$AE$41</f>
        <v/>
      </c>
      <c r="E48" s="58">
        <f>'Trajectoire'!$AF$41</f>
        <v/>
      </c>
      <c r="F48" s="22" t="inlineStr">
        <is>
          <t>DE27</t>
        </is>
      </c>
    </row>
    <row r="49">
      <c r="A49" s="2" t="n"/>
      <c r="B49" s="20" t="inlineStr">
        <is>
          <t>EBITDA 2027 (somme des marches)</t>
        </is>
      </c>
      <c r="C49" s="42">
        <f>C39+SUM(C40:C42)+SUM(C44:C48)</f>
        <v/>
      </c>
      <c r="D49" s="42">
        <f>D39+SUM(D40:D42)+SUM(D44:D48)</f>
        <v/>
      </c>
      <c r="E49" s="42">
        <f>E39+SUM(E40:E42)+SUM(E44:E48)</f>
        <v/>
      </c>
      <c r="F49" s="22" t="inlineStr">
        <is>
          <t>somme</t>
        </is>
      </c>
    </row>
    <row r="50">
      <c r="A50" s="2" t="n"/>
      <c r="B50" s="5" t="inlineStr">
        <is>
          <t>EBITDA 2027 de Trajectoire (contrôle)</t>
        </is>
      </c>
      <c r="C50" s="58">
        <f>'Trajectoire'!$D$42</f>
        <v/>
      </c>
      <c r="D50" s="58">
        <f>'Trajectoire'!$AE$42</f>
        <v/>
      </c>
      <c r="E50" s="58">
        <f>'Trajectoire'!$AF$42</f>
        <v/>
      </c>
      <c r="F50" s="22" t="inlineStr">
        <is>
          <t>EB27</t>
        </is>
      </c>
    </row>
    <row r="51">
      <c r="A51" s="2" t="n"/>
      <c r="B51" s="5" t="inlineStr">
        <is>
          <t>Objectif GreenUp : au moins</t>
        </is>
      </c>
      <c r="C51" s="61">
        <f>'Entrées'!$C$17*1000</f>
        <v/>
      </c>
      <c r="D51" s="61">
        <f>'Entrées'!$C$17*1000</f>
        <v/>
      </c>
      <c r="E51" s="61">
        <f>'Entrées'!$C$17*1000</f>
        <v/>
      </c>
      <c r="F51" s="22" t="inlineStr">
        <is>
          <t>F12</t>
        </is>
      </c>
    </row>
    <row r="52">
      <c r="A52" s="2" t="n"/>
      <c r="B52" s="20" t="inlineStr">
        <is>
          <t>Écart à l'objectif</t>
        </is>
      </c>
      <c r="C52" s="65">
        <f>'Trajectoire'!$D$49</f>
        <v/>
      </c>
      <c r="D52" s="65">
        <f>'Trajectoire'!$AE$49</f>
        <v/>
      </c>
      <c r="E52" s="65">
        <f>'Trajectoire'!$AF$49</f>
        <v/>
      </c>
      <c r="F52" s="22" t="inlineStr">
        <is>
          <t>GAP8</t>
        </is>
      </c>
    </row>
    <row r="53" ht="30" customHeight="1">
      <c r="A53" s="2" t="n"/>
      <c r="B53" s="66" t="inlineStr">
        <is>
          <t>Lecture : la colonne « Scénario actif » suit le sélecteur de Hypothèses. Les marches positives sont la croissance organique (dont l'efficacité, §D), Clean Earth et ses synergies, les tuck-ins ; les cessions retirent leur EBITDA sur l'année entière (prudent).</t>
        </is>
      </c>
      <c r="C53" s="2" t="n"/>
      <c r="D53" s="2" t="n"/>
      <c r="E53" s="2" t="n"/>
      <c r="F53" s="2" t="n"/>
    </row>
    <row r="54">
      <c r="A54" s="2" t="n"/>
      <c r="B54" s="2" t="n"/>
      <c r="C54" s="2" t="n"/>
      <c r="D54" s="2" t="n"/>
      <c r="E54" s="2" t="n"/>
      <c r="F54" s="2" t="n"/>
    </row>
    <row r="55">
      <c r="A55" s="20" t="inlineStr">
        <is>
          <t>D</t>
        </is>
      </c>
      <c r="B55" s="20" t="inlineStr">
        <is>
          <t>L'efficacité porte tout : que vaut la marge 2027 si le programme de coûts n'est pas livré ?</t>
        </is>
      </c>
      <c r="C55" s="2" t="n"/>
      <c r="D55" s="2" t="n"/>
      <c r="E55" s="2" t="n"/>
      <c r="F55" s="2" t="n"/>
    </row>
    <row r="56">
      <c r="A56" s="19" t="inlineStr"/>
      <c r="B56" s="19" t="inlineStr">
        <is>
          <t>Libellé</t>
        </is>
      </c>
      <c r="C56" s="19" t="inlineStr">
        <is>
          <t>Valeur</t>
        </is>
      </c>
      <c r="D56" s="19" t="inlineStr">
        <is>
          <t>Unité</t>
        </is>
      </c>
      <c r="E56" s="19" t="inlineStr">
        <is>
          <t>Réf. / calcul</t>
        </is>
      </c>
      <c r="F56" s="2" t="n"/>
    </row>
    <row r="57">
      <c r="A57" s="2" t="n"/>
      <c r="B57" s="5" t="inlineStr">
        <is>
          <t>Efficacité promise par an (GreenUp)</t>
        </is>
      </c>
      <c r="C57" s="58">
        <f>'Entrées'!$C$425</f>
        <v/>
      </c>
      <c r="D57" s="22" t="inlineStr">
        <is>
          <t>M EUR</t>
        </is>
      </c>
      <c r="E57" s="22" t="inlineStr">
        <is>
          <t>F420</t>
        </is>
      </c>
      <c r="F57" s="2" t="n"/>
    </row>
    <row r="58">
      <c r="A58" s="2" t="n"/>
      <c r="B58" s="5" t="inlineStr">
        <is>
          <t>Croissance organique 2026 du modèle (scénario actif)</t>
        </is>
      </c>
      <c r="C58" s="61">
        <f>'Pont EBITDA'!$C$40</f>
        <v/>
      </c>
      <c r="D58" s="22" t="inlineStr">
        <is>
          <t>M EUR</t>
        </is>
      </c>
      <c r="E58" s="22" t="inlineStr">
        <is>
          <t>§C</t>
        </is>
      </c>
      <c r="F58" s="2" t="n"/>
    </row>
    <row r="59">
      <c r="A59" s="2" t="n"/>
      <c r="B59" s="20" t="inlineStr">
        <is>
          <t>Part de l'organique 2026 que représente l'efficacité promise</t>
        </is>
      </c>
      <c r="C59" s="38">
        <f>'Pont EBITDA'!$C$57/'Pont EBITDA'!$C$58</f>
        <v/>
      </c>
      <c r="D59" s="22" t="inlineStr">
        <is>
          <t>%</t>
        </is>
      </c>
      <c r="E59" s="22" t="inlineStr">
        <is>
          <t>350 / organique 2026</t>
        </is>
      </c>
      <c r="F59" s="2" t="n"/>
    </row>
    <row r="60">
      <c r="A60" s="2" t="n"/>
      <c r="B60" s="5" t="inlineStr">
        <is>
          <t>Croissance organique 2027 du modèle (scénario actif)</t>
        </is>
      </c>
      <c r="C60" s="61">
        <f>'Pont EBITDA'!$C$44</f>
        <v/>
      </c>
      <c r="D60" s="22" t="inlineStr">
        <is>
          <t>M EUR</t>
        </is>
      </c>
      <c r="E60" s="22" t="inlineStr">
        <is>
          <t>§C</t>
        </is>
      </c>
      <c r="F60" s="2" t="n"/>
    </row>
    <row r="61">
      <c r="A61" s="2" t="n"/>
      <c r="B61" s="20" t="inlineStr">
        <is>
          <t>Part de l'organique 2027 que représente l'efficacité promise</t>
        </is>
      </c>
      <c r="C61" s="38">
        <f>'Pont EBITDA'!$C$57/'Pont EBITDA'!$C$60</f>
        <v/>
      </c>
      <c r="D61" s="22" t="inlineStr">
        <is>
          <t>%</t>
        </is>
      </c>
      <c r="E61" s="22" t="inlineStr">
        <is>
          <t>350 / organique 2027</t>
        </is>
      </c>
      <c r="F61" s="2" t="n"/>
    </row>
    <row r="62">
      <c r="A62" s="2" t="n"/>
      <c r="B62" s="20" t="inlineStr">
        <is>
          <t>Taux de réalisation de l'efficacité en 2026 et 2027 (1 = livrée comme promise)</t>
        </is>
      </c>
      <c r="C62" s="40" t="n">
        <v>1</v>
      </c>
      <c r="D62" s="22" t="inlineStr">
        <is>
          <t>%</t>
        </is>
      </c>
      <c r="E62" s="22" t="inlineStr">
        <is>
          <t>cellule jaune : à faire varier (0 = rien, 0,5 = la moitié)</t>
        </is>
      </c>
      <c r="F62" s="2" t="n"/>
    </row>
    <row r="63">
      <c r="A63" s="2" t="n"/>
      <c r="B63" s="20" t="inlineStr">
        <is>
          <t>EBITDA 2027 perdu si l'efficacité n'est livrée qu'à ce taux (deux années)</t>
        </is>
      </c>
      <c r="C63" s="42">
        <f>-(1-'Pont EBITDA'!$C$62)*2*'Pont EBITDA'!$C$57</f>
        <v/>
      </c>
      <c r="D63" s="22" t="inlineStr">
        <is>
          <t>M EUR</t>
        </is>
      </c>
      <c r="E63" s="22" t="inlineStr">
        <is>
          <t>−(1 − taux) × 2 × 350</t>
        </is>
      </c>
      <c r="F63" s="2" t="n"/>
    </row>
    <row r="64">
      <c r="A64" s="2" t="n"/>
      <c r="B64" s="20" t="inlineStr">
        <is>
          <t>EBITDA 2027 au taux choisi</t>
        </is>
      </c>
      <c r="C64" s="42">
        <f>'Trajectoire'!$D$42+'Pont EBITDA'!$C$63</f>
        <v/>
      </c>
      <c r="D64" s="22" t="inlineStr">
        <is>
          <t>M EUR</t>
        </is>
      </c>
      <c r="E64" s="22" t="inlineStr">
        <is>
          <t>EB27 + perte</t>
        </is>
      </c>
      <c r="F64" s="2" t="n"/>
    </row>
    <row r="65">
      <c r="A65" s="2" t="n"/>
      <c r="B65" s="20" t="inlineStr">
        <is>
          <t>Levier fin 2027 au taux choisi (dette inchangée)</t>
        </is>
      </c>
      <c r="C65" s="59">
        <f>'Trajectoire'!$D$45/'Pont EBITDA'!$C$64</f>
        <v/>
      </c>
      <c r="D65" s="22" t="inlineStr">
        <is>
          <t>x</t>
        </is>
      </c>
      <c r="E65" s="22" t="inlineStr">
        <is>
          <t>DFN 2027 / EBITDA 2027 corrigé</t>
        </is>
      </c>
      <c r="F65" s="2" t="n"/>
    </row>
    <row r="66">
      <c r="A66" s="2" t="n"/>
      <c r="B66" s="20" t="inlineStr">
        <is>
          <t>Marge sous 3x fin 2027 au taux choisi</t>
        </is>
      </c>
      <c r="C66" s="42">
        <f>'Hypothèses'!$J$26*'Pont EBITDA'!$C$64-'Trajectoire'!$D$45</f>
        <v/>
      </c>
      <c r="D66" s="22" t="inlineStr">
        <is>
          <t>M EUR</t>
        </is>
      </c>
      <c r="E66" s="22" t="inlineStr">
        <is>
          <t>plafond × EBITDA corrigé − DFN</t>
        </is>
      </c>
      <c r="F66" s="2" t="n"/>
    </row>
    <row r="67">
      <c r="A67" s="2" t="n"/>
      <c r="B67" s="5" t="inlineStr">
        <is>
          <t>Pour mémoire : marge sous 3x fin 2027, scénario actif</t>
        </is>
      </c>
      <c r="C67" s="58">
        <f>'Trajectoire'!$D$47</f>
        <v/>
      </c>
      <c r="D67" s="22" t="inlineStr">
        <is>
          <t>M EUR</t>
        </is>
      </c>
      <c r="E67" s="22" t="inlineStr">
        <is>
          <t>Trajectoire</t>
        </is>
      </c>
      <c r="F67" s="2" t="n"/>
    </row>
    <row r="68">
      <c r="A68" s="2" t="n"/>
      <c r="B68" s="20" t="inlineStr">
        <is>
          <t>Grille : marge sous 3x fin 2027 selon le taux de réalisation de l'efficacité</t>
        </is>
      </c>
      <c r="C68" s="2" t="n"/>
      <c r="D68" s="2" t="n"/>
      <c r="E68" s="2" t="n"/>
      <c r="F68" s="2" t="n"/>
    </row>
    <row r="69">
      <c r="A69" s="19" t="inlineStr"/>
      <c r="B69" s="19" t="inlineStr">
        <is>
          <t>Taux de réalisation</t>
        </is>
      </c>
      <c r="C69" s="19" t="inlineStr">
        <is>
          <t>EBITDA 2027</t>
        </is>
      </c>
      <c r="D69" s="19" t="inlineStr">
        <is>
          <t>Levier 2027</t>
        </is>
      </c>
      <c r="E69" s="19" t="inlineStr">
        <is>
          <t>Marge sous 3x (M EUR)</t>
        </is>
      </c>
      <c r="F69" s="2" t="n"/>
    </row>
    <row r="70">
      <c r="A70" s="2" t="n"/>
      <c r="B70" s="106" t="n">
        <v>0</v>
      </c>
      <c r="C70" s="61">
        <f>'Trajectoire'!$D$42-(1-B70)*2*'Pont EBITDA'!$C$57</f>
        <v/>
      </c>
      <c r="D70" s="72">
        <f>'Trajectoire'!$D$45/C70</f>
        <v/>
      </c>
      <c r="E70" s="42">
        <f>'Hypothèses'!$J$26*C70-'Trajectoire'!$D$45</f>
        <v/>
      </c>
      <c r="F70" s="2" t="n"/>
    </row>
    <row r="71">
      <c r="A71" s="2" t="n"/>
      <c r="B71" s="106" t="n">
        <v>0.25</v>
      </c>
      <c r="C71" s="61">
        <f>'Trajectoire'!$D$42-(1-B71)*2*'Pont EBITDA'!$C$57</f>
        <v/>
      </c>
      <c r="D71" s="72">
        <f>'Trajectoire'!$D$45/C71</f>
        <v/>
      </c>
      <c r="E71" s="42">
        <f>'Hypothèses'!$J$26*C71-'Trajectoire'!$D$45</f>
        <v/>
      </c>
      <c r="F71" s="2" t="n"/>
    </row>
    <row r="72">
      <c r="A72" s="2" t="n"/>
      <c r="B72" s="106" t="n">
        <v>0.5</v>
      </c>
      <c r="C72" s="61">
        <f>'Trajectoire'!$D$42-(1-B72)*2*'Pont EBITDA'!$C$57</f>
        <v/>
      </c>
      <c r="D72" s="72">
        <f>'Trajectoire'!$D$45/C72</f>
        <v/>
      </c>
      <c r="E72" s="42">
        <f>'Hypothèses'!$J$26*C72-'Trajectoire'!$D$45</f>
        <v/>
      </c>
      <c r="F72" s="2" t="n"/>
    </row>
    <row r="73">
      <c r="A73" s="2" t="n"/>
      <c r="B73" s="106" t="n">
        <v>0.75</v>
      </c>
      <c r="C73" s="61">
        <f>'Trajectoire'!$D$42-(1-B73)*2*'Pont EBITDA'!$C$57</f>
        <v/>
      </c>
      <c r="D73" s="72">
        <f>'Trajectoire'!$D$45/C73</f>
        <v/>
      </c>
      <c r="E73" s="42">
        <f>'Hypothèses'!$J$26*C73-'Trajectoire'!$D$45</f>
        <v/>
      </c>
      <c r="F73" s="2" t="n"/>
    </row>
    <row r="74">
      <c r="A74" s="2" t="n"/>
      <c r="B74" s="106" t="n">
        <v>1</v>
      </c>
      <c r="C74" s="61">
        <f>'Trajectoire'!$D$42-(1-B74)*2*'Pont EBITDA'!$C$57</f>
        <v/>
      </c>
      <c r="D74" s="72">
        <f>'Trajectoire'!$D$45/C74</f>
        <v/>
      </c>
      <c r="E74" s="42">
        <f>'Hypothèses'!$J$26*C74-'Trajectoire'!$D$45</f>
        <v/>
      </c>
      <c r="F74" s="2" t="n"/>
    </row>
    <row r="75" ht="44" customHeight="1">
      <c r="A75" s="2" t="n"/>
      <c r="B75" s="66" t="inlineStr">
        <is>
          <t>Lecture : chaque euro d'efficacité non livré coûte trois euros de capacité d'endettement (plafond × EBITDA) et ne rapporte rien en cash-flow en face. Sans efficacité en 2026-2027, la marge sous 3x disparaît : la question à poser à Veolia le 16 octobre est moins « combien achèterez-vous ? » que « les 350 M€ d'efficacité par an sont-ils sécurisés ? ».</t>
        </is>
      </c>
      <c r="C75" s="2" t="n"/>
      <c r="D75" s="2" t="n"/>
      <c r="E75" s="2" t="n"/>
      <c r="F75" s="2" t="n"/>
    </row>
    <row r="76">
      <c r="A76" s="2" t="n"/>
      <c r="B76" s="2" t="n"/>
      <c r="C76" s="2" t="n"/>
      <c r="D76" s="2" t="n"/>
      <c r="E76" s="2" t="n"/>
      <c r="F76" s="2" t="n"/>
    </row>
    <row r="77">
      <c r="A77" s="20" t="inlineStr">
        <is>
          <t>E</t>
        </is>
      </c>
      <c r="B77" s="20" t="inlineStr">
        <is>
          <t>Veolia tient-elle ses plans ? Objectifs annoncés et réalisés (Impact 2023, guidance 2025)</t>
        </is>
      </c>
      <c r="C77" s="2" t="n"/>
      <c r="D77" s="2" t="n"/>
      <c r="E77" s="2" t="n"/>
      <c r="F77" s="2" t="n"/>
    </row>
    <row r="78">
      <c r="A78" s="19" t="inlineStr"/>
      <c r="B78" s="19" t="inlineStr">
        <is>
          <t>Objectif</t>
        </is>
      </c>
      <c r="C78" s="19" t="inlineStr">
        <is>
          <t>Visé</t>
        </is>
      </c>
      <c r="D78" s="19" t="inlineStr">
        <is>
          <t>Réalisé</t>
        </is>
      </c>
      <c r="E78" s="19" t="inlineStr">
        <is>
          <t>Tenu ?</t>
        </is>
      </c>
      <c r="F78" s="19" t="inlineStr">
        <is>
          <t>Réf.</t>
        </is>
      </c>
    </row>
    <row r="79">
      <c r="A79" s="2" t="n"/>
      <c r="B79" s="5" t="inlineStr">
        <is>
          <t>Impact 2023 : EBITDA 2023 (Md EUR, bas de fourchette)</t>
        </is>
      </c>
      <c r="C79" s="75">
        <f>'Entrées'!$C$581</f>
        <v/>
      </c>
      <c r="D79" s="75">
        <f>'Entrées'!$C$583</f>
        <v/>
      </c>
      <c r="E79" s="107">
        <f>IF(D79&gt;=C79,"oui","non")</f>
        <v/>
      </c>
      <c r="F79" s="22" t="inlineStr">
        <is>
          <t>F576, F578</t>
        </is>
      </c>
    </row>
    <row r="80">
      <c r="A80" s="2" t="n"/>
      <c r="B80" s="5" t="inlineStr">
        <is>
          <t>Impact 2023 : résultat net courant 2023 (M EUR)</t>
        </is>
      </c>
      <c r="C80" s="58">
        <f>'Entrées'!$C$584*1000</f>
        <v/>
      </c>
      <c r="D80" s="75">
        <f>'Entrées'!$C$585</f>
        <v/>
      </c>
      <c r="E80" s="107">
        <f>IF(D80&gt;=C80,"oui","non")</f>
        <v/>
      </c>
      <c r="F80" s="22" t="inlineStr">
        <is>
          <t>F579, F580</t>
        </is>
      </c>
    </row>
    <row r="81">
      <c r="A81" s="2" t="n"/>
      <c r="B81" s="5" t="inlineStr">
        <is>
          <t>Impact 2023 : CA déchets liquides et dangereux (Md EUR)</t>
        </is>
      </c>
      <c r="C81" s="75">
        <f>'Entrées'!$C$587</f>
        <v/>
      </c>
      <c r="D81" s="75">
        <f>'Entrées'!$C$588</f>
        <v/>
      </c>
      <c r="E81" s="107">
        <f>IF(D81&gt;=C81,"oui","non")</f>
        <v/>
      </c>
      <c r="F81" s="22" t="inlineStr">
        <is>
          <t>F582, F583</t>
        </is>
      </c>
    </row>
    <row r="82">
      <c r="A82" s="2" t="n"/>
      <c r="B82" s="5" t="inlineStr">
        <is>
          <t>Impact 2023 : émissions évitées (Mt CO2eq)</t>
        </is>
      </c>
      <c r="C82" s="75">
        <f>'Entrées'!$C$589</f>
        <v/>
      </c>
      <c r="D82" s="75">
        <f>'Entrées'!$C$590</f>
        <v/>
      </c>
      <c r="E82" s="107">
        <f>IF(D82&gt;=C82,"oui","non")</f>
        <v/>
      </c>
      <c r="F82" s="22" t="inlineStr">
        <is>
          <t>F584, F585</t>
        </is>
      </c>
    </row>
    <row r="83">
      <c r="A83" s="2" t="n"/>
      <c r="B83" s="5" t="inlineStr">
        <is>
          <t>Impact 2023 : plastiques transformés (kt)</t>
        </is>
      </c>
      <c r="C83" s="75">
        <f>'Entrées'!$C$591</f>
        <v/>
      </c>
      <c r="D83" s="75">
        <f>'Entrées'!$C$592</f>
        <v/>
      </c>
      <c r="E83" s="107">
        <f>IF(D83&gt;=C83,"oui","non")</f>
        <v/>
      </c>
      <c r="F83" s="22" t="inlineStr">
        <is>
          <t>F586, F587</t>
        </is>
      </c>
    </row>
    <row r="84">
      <c r="A84" s="2" t="n"/>
      <c r="B84" s="5" t="inlineStr">
        <is>
          <t>Impact 2023 : femmes parmi les 500 cadres dirigeants nommés (%)</t>
        </is>
      </c>
      <c r="C84" s="75">
        <f>'Entrées'!$C$593</f>
        <v/>
      </c>
      <c r="D84" s="75">
        <f>'Entrées'!$C$594</f>
        <v/>
      </c>
      <c r="E84" s="107">
        <f>IF(D84&gt;=C84,"oui","non")</f>
        <v/>
      </c>
      <c r="F84" s="22" t="inlineStr">
        <is>
          <t>F588, F589</t>
        </is>
      </c>
    </row>
    <row r="85">
      <c r="A85" s="2" t="n"/>
      <c r="B85" s="5" t="inlineStr">
        <is>
          <t>Guidance 2025 : croissance organique de l'EBITDA (%, bas de fourchette)</t>
        </is>
      </c>
      <c r="C85" s="75">
        <f>'Entrées'!$C$595</f>
        <v/>
      </c>
      <c r="D85" s="75">
        <f>'Entrées'!$C$430</f>
        <v/>
      </c>
      <c r="E85" s="107">
        <f>IF(D85&gt;=C85,"oui","non")</f>
        <v/>
      </c>
      <c r="F85" s="22" t="inlineStr">
        <is>
          <t>F590, F425</t>
        </is>
      </c>
    </row>
    <row r="86">
      <c r="A86" s="2" t="n"/>
      <c r="B86" s="5" t="inlineStr">
        <is>
          <t>Guidance 2025 : gains d'efficacité (M EUR, plus de)</t>
        </is>
      </c>
      <c r="C86" s="75">
        <f>'Entrées'!$C$597</f>
        <v/>
      </c>
      <c r="D86" s="75">
        <f>'Entrées'!$C$429</f>
        <v/>
      </c>
      <c r="E86" s="107">
        <f>IF(D86&gt;=C86,"oui","non")</f>
        <v/>
      </c>
      <c r="F86" s="22" t="inlineStr">
        <is>
          <t>F592, F424</t>
        </is>
      </c>
    </row>
    <row r="87">
      <c r="A87" s="2" t="n"/>
      <c r="B87" s="5" t="inlineStr">
        <is>
          <t>Guidance 2025 : synergies cumulées 2022-2025 (M EUR)</t>
        </is>
      </c>
      <c r="C87" s="75">
        <f>'Entrées'!$C$598</f>
        <v/>
      </c>
      <c r="D87" s="75">
        <f>'Entrées'!$C$196</f>
        <v/>
      </c>
      <c r="E87" s="107">
        <f>IF(D87&gt;=C87,"oui","non")</f>
        <v/>
      </c>
      <c r="F87" s="22" t="inlineStr">
        <is>
          <t>F593, F208</t>
        </is>
      </c>
    </row>
    <row r="88">
      <c r="A88" s="2" t="n"/>
      <c r="B88" s="5" t="inlineStr">
        <is>
          <t>Guidance 2025 : croissance du résultat net courant (%, environ)</t>
        </is>
      </c>
      <c r="C88" s="75">
        <f>'Entrées'!$C$600</f>
        <v/>
      </c>
      <c r="D88" s="75">
        <f>'Entrées'!$C$601</f>
        <v/>
      </c>
      <c r="E88" s="107">
        <f>IF(D88&gt;=C88,"oui","non")</f>
        <v/>
      </c>
      <c r="F88" s="22" t="inlineStr">
        <is>
          <t>F595, F596</t>
        </is>
      </c>
    </row>
    <row r="89">
      <c r="A89" s="2" t="n"/>
      <c r="B89" s="5" t="inlineStr">
        <is>
          <t>Guidance 2025 : levier &lt; 3x</t>
        </is>
      </c>
      <c r="C89" s="75">
        <f>'Entrées'!$C$61</f>
        <v/>
      </c>
      <c r="D89" s="75">
        <f>'Entrées'!$C$21</f>
        <v/>
      </c>
      <c r="E89" s="107">
        <f>IF(D89&lt;=C89,"oui","non")</f>
        <v/>
      </c>
      <c r="F89" s="22" t="inlineStr">
        <is>
          <t>F56, F16</t>
        </is>
      </c>
    </row>
    <row r="90">
      <c r="A90" s="2" t="n"/>
      <c r="B90" s="20" t="inlineStr">
        <is>
          <t>Objectifs tenus (sur ceux du tableau)</t>
        </is>
      </c>
      <c r="C90" s="108">
        <f>COUNTIF(E79:E89,"oui")&amp;" / "&amp;COUNTA(E79:E89)</f>
        <v/>
      </c>
      <c r="D90" s="22" t="inlineStr"/>
      <c r="E90" s="22" t="inlineStr"/>
      <c r="F90" s="2" t="n"/>
    </row>
    <row r="91">
      <c r="A91" s="2" t="n"/>
      <c r="B91" s="20" t="inlineStr">
        <is>
          <t>Objectifs financiers tenus</t>
        </is>
      </c>
      <c r="C91" s="108">
        <f>COUNTIF(E79:E81,"oui")+COUNTIF(E85:E89,"oui")&amp;" / "&amp;(COUNTA(E79:E81)+COUNTA(E85:E89))</f>
        <v/>
      </c>
      <c r="D91" s="22" t="inlineStr"/>
      <c r="E91" s="22" t="inlineStr">
        <is>
          <t>EBITDA, résultat net, CA déchets dangereux, guidance 2025</t>
        </is>
      </c>
      <c r="F91" s="2" t="n"/>
    </row>
    <row r="92" ht="44" customHeight="1">
      <c r="A92" s="2" t="n"/>
      <c r="B92" s="66" t="inlineStr">
        <is>
          <t>Lecture : sur les objectifs financiers, Veolia a tenu tout ce qu'elle a annoncé depuis 2020 (Impact 2023 dépassé, guidance 2025 dépassée) ; les objectifs manqués sont non financiers (plastiques, mixité). Cela fonde le poids du scénario central sur le favorable pour la guidance 2026 — et n'enlève rien à la fragilité propre à l'efficacité (§D) : un plan tenu cinq ans de suite n'est pas tenu la sixième par décret.</t>
        </is>
      </c>
      <c r="C92" s="2" t="n"/>
      <c r="D92" s="2" t="n"/>
      <c r="E92" s="2" t="n"/>
      <c r="F92" s="2" t="n"/>
    </row>
  </sheetData>
  <mergeCells count="5">
    <mergeCell ref="B53:F53"/>
    <mergeCell ref="B17:E17"/>
    <mergeCell ref="B75:F75"/>
    <mergeCell ref="B35:E35"/>
    <mergeCell ref="B92:F92"/>
  </mergeCells>
  <pageMargins left="0.75" right="0.75" top="1" bottom="1" header="0.5" footer="0.5"/>
  <pageSetup orientation="landscape" paperSize="9" fitToHeight="0" fitToWidth="1"/>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K56"/>
  <sheetViews>
    <sheetView showGridLines="0" workbookViewId="0">
      <selection activeCell="A1" sqref="A1"/>
    </sheetView>
  </sheetViews>
  <sheetFormatPr baseColWidth="8" defaultRowHeight="15"/>
  <cols>
    <col width="4" customWidth="1" min="1" max="1"/>
    <col width="60" customWidth="1" min="2" max="2"/>
    <col width="13" customWidth="1" min="3" max="3"/>
    <col width="12" customWidth="1" min="4" max="4"/>
    <col width="40" customWidth="1" min="5" max="5"/>
    <col width="11" customWidth="1" min="6" max="6"/>
    <col width="9" customWidth="1" min="7" max="7"/>
    <col width="11" customWidth="1" min="8" max="8"/>
    <col width="20" customWidth="1" min="9" max="9"/>
    <col width="7" customWidth="1" min="10" max="10"/>
    <col width="60" customWidth="1" min="11" max="11"/>
  </cols>
  <sheetData>
    <row r="1">
      <c r="A1" s="1" t="inlineStr">
        <is>
          <t>Rôle 4 — Où en est le booster Déchets dangereux face à 2027</t>
        </is>
      </c>
      <c r="B1" s="2" t="n"/>
      <c r="C1" s="2" t="n"/>
      <c r="D1" s="2" t="n"/>
      <c r="E1" s="2" t="n"/>
      <c r="F1" s="2" t="n"/>
      <c r="G1" s="2" t="n"/>
      <c r="H1" s="2" t="n"/>
      <c r="I1" s="2" t="n"/>
      <c r="J1" s="2" t="n"/>
      <c r="K1" s="2" t="n"/>
    </row>
    <row r="2">
      <c r="A2" s="3" t="inlineStr">
        <is>
          <t>Volumes (URD 2025 p.226, GreenUp p.9), profil financier (présentation Clean Earth), moteur organique (CP S1 2026 p.7).</t>
        </is>
      </c>
      <c r="B2" s="2" t="n"/>
      <c r="C2" s="2" t="n"/>
      <c r="D2" s="2" t="n"/>
      <c r="E2" s="2" t="n"/>
      <c r="F2" s="2" t="n"/>
      <c r="G2" s="2" t="n"/>
      <c r="H2" s="2" t="n"/>
      <c r="I2" s="2" t="n"/>
      <c r="J2" s="2" t="n"/>
      <c r="K2" s="2" t="n"/>
    </row>
    <row r="3">
      <c r="A3" s="2" t="n"/>
      <c r="B3" s="2" t="n"/>
      <c r="C3" s="2" t="n"/>
      <c r="D3" s="2" t="n"/>
      <c r="E3" s="2" t="n"/>
      <c r="F3" s="2" t="n"/>
      <c r="G3" s="2" t="n"/>
      <c r="H3" s="2" t="n"/>
      <c r="I3" s="2" t="n"/>
      <c r="J3" s="2" t="n"/>
      <c r="K3" s="2" t="n"/>
    </row>
    <row r="4">
      <c r="A4" s="20" t="inlineStr">
        <is>
          <t>A</t>
        </is>
      </c>
      <c r="B4" s="20" t="inlineStr">
        <is>
          <t>Volumes traités</t>
        </is>
      </c>
      <c r="C4" s="2" t="n"/>
      <c r="D4" s="2" t="n"/>
      <c r="E4" s="2" t="n"/>
      <c r="F4" s="2" t="n"/>
      <c r="G4" s="2" t="n"/>
      <c r="H4" s="2" t="n"/>
      <c r="I4" s="2" t="n"/>
      <c r="J4" s="2" t="n"/>
      <c r="K4" s="2" t="n"/>
    </row>
    <row r="5">
      <c r="A5" s="2" t="n"/>
      <c r="B5" s="5" t="inlineStr">
        <is>
          <t>Traités en 2024</t>
        </is>
      </c>
      <c r="C5" s="58">
        <f>'Entrées'!$C$38</f>
        <v/>
      </c>
      <c r="D5" s="22" t="inlineStr">
        <is>
          <t>kt</t>
        </is>
      </c>
      <c r="E5" s="22" t="inlineStr">
        <is>
          <t>F33</t>
        </is>
      </c>
      <c r="F5" s="2" t="n"/>
      <c r="G5" s="2" t="n"/>
      <c r="H5" s="2" t="n"/>
      <c r="I5" s="2" t="n"/>
      <c r="J5" s="2" t="n"/>
      <c r="K5" s="2" t="n"/>
    </row>
    <row r="6">
      <c r="A6" s="2" t="n"/>
      <c r="B6" s="5" t="inlineStr">
        <is>
          <t>Traités en 2025</t>
        </is>
      </c>
      <c r="C6" s="58">
        <f>'Entrées'!$C$39</f>
        <v/>
      </c>
      <c r="D6" s="22" t="inlineStr">
        <is>
          <t>kt</t>
        </is>
      </c>
      <c r="E6" s="22" t="inlineStr">
        <is>
          <t>F34</t>
        </is>
      </c>
      <c r="F6" s="2" t="n"/>
      <c r="G6" s="2" t="n"/>
      <c r="H6" s="2" t="n"/>
      <c r="I6" s="2" t="n"/>
      <c r="J6" s="2" t="n"/>
      <c r="K6" s="2" t="n"/>
    </row>
    <row r="7">
      <c r="A7" s="2" t="n"/>
      <c r="B7" s="5" t="inlineStr">
        <is>
          <t>Variation 2024 → 2025</t>
        </is>
      </c>
      <c r="C7" s="63">
        <f>C6/C5-1</f>
        <v/>
      </c>
      <c r="D7" s="22" t="inlineStr">
        <is>
          <t>%</t>
        </is>
      </c>
      <c r="E7" s="22" t="inlineStr"/>
      <c r="F7" s="2" t="n"/>
      <c r="G7" s="2" t="n"/>
      <c r="H7" s="2" t="n"/>
      <c r="I7" s="2" t="n"/>
      <c r="J7" s="2" t="n"/>
      <c r="K7" s="2" t="n"/>
    </row>
    <row r="8">
      <c r="A8" s="2" t="n"/>
      <c r="B8" s="5" t="inlineStr">
        <is>
          <t>Objectif 2027 (URD 2025)</t>
        </is>
      </c>
      <c r="C8" s="61">
        <f>'Entrées'!$C$40*1000</f>
        <v/>
      </c>
      <c r="D8" s="22" t="inlineStr">
        <is>
          <t>kt</t>
        </is>
      </c>
      <c r="E8" s="22" t="inlineStr">
        <is>
          <t>F35</t>
        </is>
      </c>
      <c r="F8" s="2" t="n"/>
      <c r="G8" s="2" t="n"/>
      <c r="H8" s="2" t="n"/>
      <c r="I8" s="2" t="n"/>
      <c r="J8" s="2" t="n"/>
      <c r="K8" s="2" t="n"/>
    </row>
    <row r="9">
      <c r="A9" s="2" t="n"/>
      <c r="B9" s="5" t="inlineStr">
        <is>
          <t>Objectif 2027 initial (GreenUp 2024, « déchets dangereux et polluants »)</t>
        </is>
      </c>
      <c r="C9" s="61">
        <f>'Entrées'!$C$41*1000</f>
        <v/>
      </c>
      <c r="D9" s="22" t="inlineStr">
        <is>
          <t>kt</t>
        </is>
      </c>
      <c r="E9" s="22" t="inlineStr">
        <is>
          <t>F36</t>
        </is>
      </c>
      <c r="F9" s="2" t="n"/>
      <c r="G9" s="2" t="n"/>
      <c r="H9" s="2" t="n"/>
      <c r="I9" s="2" t="n"/>
      <c r="J9" s="2" t="n"/>
      <c r="K9" s="2" t="n"/>
    </row>
    <row r="10">
      <c r="A10" s="2" t="n"/>
      <c r="B10" s="20" t="inlineStr">
        <is>
          <t>Écart à l'objectif actuel</t>
        </is>
      </c>
      <c r="C10" s="42">
        <f>C6-C8</f>
        <v/>
      </c>
      <c r="D10" s="22" t="inlineStr">
        <is>
          <t>kt</t>
        </is>
      </c>
      <c r="E10" s="22" t="inlineStr">
        <is>
          <t>atteint dès 2024</t>
        </is>
      </c>
      <c r="F10" s="2" t="n"/>
      <c r="G10" s="2" t="n"/>
      <c r="H10" s="2" t="n"/>
      <c r="I10" s="2" t="n"/>
      <c r="J10" s="2" t="n"/>
      <c r="K10" s="2" t="n"/>
    </row>
    <row r="11">
      <c r="A11" s="2" t="n"/>
      <c r="B11" s="20" t="inlineStr">
        <is>
          <t>Écart à l'objectif initial</t>
        </is>
      </c>
      <c r="C11" s="42">
        <f>C6-C9</f>
        <v/>
      </c>
      <c r="D11" s="22" t="inlineStr">
        <is>
          <t>kt</t>
        </is>
      </c>
      <c r="E11" s="22" t="inlineStr"/>
      <c r="F11" s="2" t="n"/>
      <c r="G11" s="2" t="n"/>
      <c r="H11" s="2" t="n"/>
      <c r="I11" s="2" t="n"/>
      <c r="J11" s="2" t="n"/>
      <c r="K11" s="2" t="n"/>
    </row>
    <row r="12">
      <c r="A12" s="2" t="n"/>
      <c r="B12" s="5" t="inlineStr">
        <is>
          <t>Capacité en construction (5 usines)</t>
        </is>
      </c>
      <c r="C12" s="58">
        <f>'Entrées'!$C$68</f>
        <v/>
      </c>
      <c r="D12" s="22" t="inlineStr">
        <is>
          <t>kt</t>
        </is>
      </c>
      <c r="E12" s="22" t="inlineStr">
        <is>
          <t>F63</t>
        </is>
      </c>
      <c r="F12" s="2" t="n"/>
      <c r="G12" s="2" t="n"/>
      <c r="H12" s="2" t="n"/>
      <c r="I12" s="2" t="n"/>
      <c r="J12" s="2" t="n"/>
      <c r="K12" s="2" t="n"/>
    </row>
    <row r="13">
      <c r="A13" s="2" t="n"/>
      <c r="B13" s="5" t="inlineStr">
        <is>
          <t>Écart à l'objectif initial, capacité nouvelle comprise</t>
        </is>
      </c>
      <c r="C13" s="61">
        <f>C11+C12</f>
        <v/>
      </c>
      <c r="D13" s="22" t="inlineStr">
        <is>
          <t>kt</t>
        </is>
      </c>
      <c r="E13" s="22" t="inlineStr"/>
      <c r="F13" s="2" t="n"/>
      <c r="G13" s="2" t="n"/>
      <c r="H13" s="2" t="n"/>
      <c r="I13" s="2" t="n"/>
      <c r="J13" s="2" t="n"/>
      <c r="K13" s="2" t="n"/>
    </row>
    <row r="14" ht="30" customHeight="1">
      <c r="A14" s="2" t="n"/>
      <c r="B14" s="66" t="inlineStr">
        <is>
          <t>Lecture : l'objectif de volume a été ramené de 10 Mt à 9 Mt, et le périmètre a changé (« et polluants » a disparu). À expliquer à l'oral avant toute comparaison.</t>
        </is>
      </c>
      <c r="C14" s="2" t="n"/>
      <c r="D14" s="2" t="n"/>
      <c r="E14" s="2" t="n"/>
      <c r="F14" s="2" t="n"/>
      <c r="G14" s="2" t="n"/>
      <c r="H14" s="2" t="n"/>
      <c r="I14" s="2" t="n"/>
      <c r="J14" s="2" t="n"/>
      <c r="K14" s="2" t="n"/>
    </row>
    <row r="15">
      <c r="A15" s="2" t="n"/>
      <c r="B15" s="2" t="n"/>
      <c r="C15" s="2" t="n"/>
      <c r="D15" s="2" t="n"/>
      <c r="E15" s="2" t="n"/>
      <c r="F15" s="2" t="n"/>
      <c r="G15" s="2" t="n"/>
      <c r="H15" s="2" t="n"/>
      <c r="I15" s="2" t="n"/>
      <c r="J15" s="2" t="n"/>
      <c r="K15" s="2" t="n"/>
    </row>
    <row r="16">
      <c r="A16" s="20" t="inlineStr">
        <is>
          <t>B</t>
        </is>
      </c>
      <c r="B16" s="20" t="inlineStr">
        <is>
          <t>Profil financier et ambition</t>
        </is>
      </c>
      <c r="C16" s="2" t="n"/>
      <c r="D16" s="2" t="n"/>
      <c r="E16" s="2" t="n"/>
      <c r="F16" s="2" t="n"/>
      <c r="G16" s="2" t="n"/>
      <c r="H16" s="2" t="n"/>
      <c r="I16" s="2" t="n"/>
      <c r="J16" s="2" t="n"/>
      <c r="K16" s="2" t="n"/>
    </row>
    <row r="17">
      <c r="A17" s="2" t="n"/>
      <c r="B17" s="5" t="inlineStr">
        <is>
          <t>Chiffre d'affaires DD de Veolia 2024</t>
        </is>
      </c>
      <c r="C17" s="75">
        <f>'Entrées'!$C$63</f>
        <v/>
      </c>
      <c r="D17" s="22" t="inlineStr">
        <is>
          <t>Md EUR</t>
        </is>
      </c>
      <c r="E17" s="22" t="inlineStr">
        <is>
          <t>F58</t>
        </is>
      </c>
      <c r="F17" s="2" t="n"/>
      <c r="G17" s="2" t="n"/>
      <c r="H17" s="2" t="n"/>
      <c r="I17" s="2" t="n"/>
      <c r="J17" s="2" t="n"/>
      <c r="K17" s="2" t="n"/>
    </row>
    <row r="18">
      <c r="A18" s="2" t="n"/>
      <c r="B18" s="5" t="inlineStr">
        <is>
          <t>Chiffre d'affaires DD pro forma 2025E (avec Clean Earth)</t>
        </is>
      </c>
      <c r="C18" s="75">
        <f>'Entrées'!$C$64</f>
        <v/>
      </c>
      <c r="D18" s="22" t="inlineStr">
        <is>
          <t>Md EUR</t>
        </is>
      </c>
      <c r="E18" s="22" t="inlineStr">
        <is>
          <t>F59</t>
        </is>
      </c>
      <c r="F18" s="2" t="n"/>
      <c r="G18" s="2" t="n"/>
      <c r="H18" s="2" t="n"/>
      <c r="I18" s="2" t="n"/>
      <c r="J18" s="2" t="n"/>
      <c r="K18" s="2" t="n"/>
    </row>
    <row r="19">
      <c r="A19" s="2" t="n"/>
      <c r="B19" s="5" t="inlineStr">
        <is>
          <t>EBITDA DD pro forma 2025E</t>
        </is>
      </c>
      <c r="C19" s="75">
        <f>'Entrées'!$C$65</f>
        <v/>
      </c>
      <c r="D19" s="22" t="inlineStr">
        <is>
          <t>Md EUR</t>
        </is>
      </c>
      <c r="E19" s="22" t="inlineStr">
        <is>
          <t>F60</t>
        </is>
      </c>
      <c r="F19" s="2" t="n"/>
      <c r="G19" s="2" t="n"/>
      <c r="H19" s="2" t="n"/>
      <c r="I19" s="2" t="n"/>
      <c r="J19" s="2" t="n"/>
      <c r="K19" s="2" t="n"/>
    </row>
    <row r="20">
      <c r="A20" s="2" t="n"/>
      <c r="B20" s="5" t="inlineStr">
        <is>
          <t>Marge pro forma recalculée</t>
        </is>
      </c>
      <c r="C20" s="63">
        <f>C19/C18</f>
        <v/>
      </c>
      <c r="D20" s="22" t="inlineStr">
        <is>
          <t>%</t>
        </is>
      </c>
      <c r="E20" s="22" t="inlineStr">
        <is>
          <t>publiée : F61</t>
        </is>
      </c>
      <c r="F20" s="2" t="n"/>
      <c r="G20" s="2" t="n"/>
      <c r="H20" s="2" t="n"/>
      <c r="I20" s="2" t="n"/>
      <c r="J20" s="2" t="n"/>
      <c r="K20" s="2" t="n"/>
    </row>
    <row r="21">
      <c r="A21" s="2" t="n"/>
      <c r="B21" s="5" t="inlineStr">
        <is>
          <t>Ambition : croissance annuelle de l'EBITDA DD 2024-2027, plus de</t>
        </is>
      </c>
      <c r="C21" s="63">
        <f>'Entrées'!$C$67/100</f>
        <v/>
      </c>
      <c r="D21" s="22" t="inlineStr">
        <is>
          <t>%</t>
        </is>
      </c>
      <c r="E21" s="22" t="inlineStr">
        <is>
          <t>F62</t>
        </is>
      </c>
      <c r="F21" s="2" t="n"/>
      <c r="G21" s="2" t="n"/>
      <c r="H21" s="2" t="n"/>
      <c r="I21" s="2" t="n"/>
      <c r="J21" s="2" t="n"/>
      <c r="K21" s="2" t="n"/>
    </row>
    <row r="22">
      <c r="A22" s="2" t="n"/>
      <c r="B22" s="20" t="inlineStr">
        <is>
          <t>Illustration : EBITDA DD 2027 si +10 %/an depuis le pro forma 2025E</t>
        </is>
      </c>
      <c r="C22" s="48">
        <f>C19*(1+C21)^2</f>
        <v/>
      </c>
      <c r="D22" s="22" t="inlineStr">
        <is>
          <t>Md EUR</t>
        </is>
      </c>
      <c r="E22" s="22" t="inlineStr">
        <is>
          <t>base pro forma × 1,1² — illustratif</t>
        </is>
      </c>
      <c r="F22" s="2" t="n"/>
      <c r="G22" s="2" t="n"/>
      <c r="H22" s="2" t="n"/>
      <c r="I22" s="2" t="n"/>
      <c r="J22" s="2" t="n"/>
      <c r="K22" s="2" t="n"/>
    </row>
    <row r="23">
      <c r="A23" s="2" t="n"/>
      <c r="B23" s="5" t="inlineStr">
        <is>
          <t>Clean Earth : croissance du CA 2025E → 2026E</t>
        </is>
      </c>
      <c r="C23" s="63">
        <f>'Entrées'!$C$57/'Entrées'!$C$59-1</f>
        <v/>
      </c>
      <c r="D23" s="22" t="inlineStr">
        <is>
          <t>%</t>
        </is>
      </c>
      <c r="E23" s="22" t="inlineStr">
        <is>
          <t>F54, F52</t>
        </is>
      </c>
      <c r="F23" s="2" t="n"/>
      <c r="G23" s="2" t="n"/>
      <c r="H23" s="2" t="n"/>
      <c r="I23" s="2" t="n"/>
      <c r="J23" s="2" t="n"/>
      <c r="K23" s="2" t="n"/>
    </row>
    <row r="24">
      <c r="A24" s="2" t="n"/>
      <c r="B24" s="5" t="inlineStr">
        <is>
          <t>Clean Earth : marge d'EBITDA 2026E</t>
        </is>
      </c>
      <c r="C24" s="63">
        <f>'Entrées'!$C$56/'Entrées'!$C$57</f>
        <v/>
      </c>
      <c r="D24" s="22" t="inlineStr">
        <is>
          <t>%</t>
        </is>
      </c>
      <c r="E24" s="22" t="inlineStr">
        <is>
          <t>F51, F52</t>
        </is>
      </c>
      <c r="F24" s="2" t="n"/>
      <c r="G24" s="2" t="n"/>
      <c r="H24" s="2" t="n"/>
      <c r="I24" s="2" t="n"/>
      <c r="J24" s="2" t="n"/>
      <c r="K24" s="2" t="n"/>
    </row>
    <row r="25">
      <c r="A25" s="2" t="n"/>
      <c r="B25" s="2" t="n"/>
      <c r="C25" s="2" t="n"/>
      <c r="D25" s="2" t="n"/>
      <c r="E25" s="2" t="n"/>
      <c r="F25" s="2" t="n"/>
      <c r="G25" s="2" t="n"/>
      <c r="H25" s="2" t="n"/>
      <c r="I25" s="2" t="n"/>
      <c r="J25" s="2" t="n"/>
      <c r="K25" s="2" t="n"/>
    </row>
    <row r="26">
      <c r="A26" s="20" t="inlineStr">
        <is>
          <t>C</t>
        </is>
      </c>
      <c r="B26" s="20" t="inlineStr">
        <is>
          <t>Le moteur organique (S1 2026)</t>
        </is>
      </c>
      <c r="C26" s="2" t="n"/>
      <c r="D26" s="2" t="n"/>
      <c r="E26" s="2" t="n"/>
      <c r="F26" s="2" t="n"/>
      <c r="G26" s="2" t="n"/>
      <c r="H26" s="2" t="n"/>
      <c r="I26" s="2" t="n"/>
      <c r="J26" s="2" t="n"/>
      <c r="K26" s="2" t="n"/>
    </row>
    <row r="27">
      <c r="A27" s="2" t="n"/>
      <c r="B27" s="5" t="inlineStr">
        <is>
          <t>CA Déchets dangereux Europe S1 2026</t>
        </is>
      </c>
      <c r="C27" s="58">
        <f>'Entrées'!$C$44</f>
        <v/>
      </c>
      <c r="D27" s="22" t="inlineStr">
        <is>
          <t>M EUR</t>
        </is>
      </c>
      <c r="E27" s="22" t="inlineStr">
        <is>
          <t>F39</t>
        </is>
      </c>
      <c r="F27" s="2" t="n"/>
      <c r="G27" s="2" t="n"/>
      <c r="H27" s="2" t="n"/>
      <c r="I27" s="2" t="n"/>
      <c r="J27" s="2" t="n"/>
      <c r="K27" s="2" t="n"/>
    </row>
    <row r="28">
      <c r="A28" s="2" t="n"/>
      <c r="B28" s="20" t="inlineStr">
        <is>
          <t>… croissance à périmètre et change constants</t>
        </is>
      </c>
      <c r="C28" s="38">
        <f>'Entrées'!$C$98/100</f>
        <v/>
      </c>
      <c r="D28" s="22" t="inlineStr">
        <is>
          <t>%</t>
        </is>
      </c>
      <c r="E28" s="22" t="inlineStr">
        <is>
          <t>F93</t>
        </is>
      </c>
      <c r="F28" s="2" t="n"/>
      <c r="G28" s="2" t="n"/>
      <c r="H28" s="2" t="n"/>
      <c r="I28" s="2" t="n"/>
      <c r="J28" s="2" t="n"/>
      <c r="K28" s="2" t="n"/>
    </row>
    <row r="29">
      <c r="A29" s="2" t="n"/>
      <c r="B29" s="5" t="inlineStr">
        <is>
          <t>EBITDA France et DD Europe, S1 2026 / S1 2025 (publié)</t>
        </is>
      </c>
      <c r="C29" s="63">
        <f>'Entrées'!$C$100/'Entrées'!$C$99-1</f>
        <v/>
      </c>
      <c r="D29" s="22" t="inlineStr">
        <is>
          <t>%</t>
        </is>
      </c>
      <c r="E29" s="22" t="inlineStr">
        <is>
          <t>F94, F95</t>
        </is>
      </c>
      <c r="F29" s="2" t="n"/>
      <c r="G29" s="2" t="n"/>
      <c r="H29" s="2" t="n"/>
      <c r="I29" s="2" t="n"/>
      <c r="J29" s="2" t="n"/>
      <c r="K29" s="2" t="n"/>
    </row>
    <row r="30">
      <c r="A30" s="2" t="n"/>
      <c r="B30" s="5" t="inlineStr">
        <is>
          <t>EBITDA Amériques-Asie-Afrique, S1 2026 / S1 2025 (publié)</t>
        </is>
      </c>
      <c r="C30" s="63">
        <f>'Entrées'!$C$102/'Entrées'!$C$101-1</f>
        <v/>
      </c>
      <c r="D30" s="22" t="inlineStr">
        <is>
          <t>%</t>
        </is>
      </c>
      <c r="E30" s="22" t="inlineStr">
        <is>
          <t>F96, F97</t>
        </is>
      </c>
      <c r="F30" s="2" t="n"/>
      <c r="G30" s="2" t="n"/>
      <c r="H30" s="2" t="n"/>
      <c r="I30" s="2" t="n"/>
      <c r="J30" s="2" t="n"/>
      <c r="K30" s="2" t="n"/>
    </row>
    <row r="31" ht="30" customHeight="1">
      <c r="A31" s="2" t="n"/>
      <c r="B31" s="66" t="inlineStr">
        <is>
          <t>Lecture : en Europe le booster est à l'arrêt en organique (−0,2 %). Les +10 %/an reposent sur Clean Earth et les États-Unis : c'est de la croissance achetée.</t>
        </is>
      </c>
      <c r="C31" s="2" t="n"/>
      <c r="D31" s="2" t="n"/>
      <c r="E31" s="2" t="n"/>
      <c r="F31" s="2" t="n"/>
      <c r="G31" s="2" t="n"/>
      <c r="H31" s="2" t="n"/>
      <c r="I31" s="2" t="n"/>
      <c r="J31" s="2" t="n"/>
      <c r="K31" s="2" t="n"/>
    </row>
    <row r="32">
      <c r="A32" s="2" t="n"/>
      <c r="B32" s="2" t="n"/>
      <c r="C32" s="2" t="n"/>
      <c r="D32" s="2" t="n"/>
      <c r="E32" s="2" t="n"/>
      <c r="F32" s="2" t="n"/>
      <c r="G32" s="2" t="n"/>
      <c r="H32" s="2" t="n"/>
      <c r="I32" s="2" t="n"/>
      <c r="J32" s="2" t="n"/>
      <c r="K32" s="2" t="n"/>
    </row>
    <row r="33">
      <c r="A33" s="20" t="inlineStr">
        <is>
          <t>D</t>
        </is>
      </c>
      <c r="B33" s="20" t="inlineStr">
        <is>
          <t>Comparables — cadre à remplir (phase D, sources à verser dans la dataroom)</t>
        </is>
      </c>
      <c r="C33" s="2" t="n"/>
      <c r="D33" s="2" t="n"/>
      <c r="E33" s="2" t="n"/>
      <c r="F33" s="2" t="n"/>
      <c r="G33" s="2" t="n"/>
      <c r="H33" s="2" t="n"/>
      <c r="I33" s="2" t="n"/>
      <c r="J33" s="2" t="n"/>
      <c r="K33" s="2" t="n"/>
    </row>
    <row r="34">
      <c r="A34" s="19" t="inlineStr"/>
      <c r="B34" s="19" t="inlineStr">
        <is>
          <t>Société</t>
        </is>
      </c>
      <c r="C34" s="19" t="inlineStr">
        <is>
          <t>Pays</t>
        </is>
      </c>
      <c r="D34" s="19" t="inlineStr">
        <is>
          <t>Part DD du CA</t>
        </is>
      </c>
      <c r="E34" s="19" t="inlineStr">
        <is>
          <t>CA (M)</t>
        </is>
      </c>
      <c r="F34" s="19" t="inlineStr">
        <is>
          <t>EBITDA (M)</t>
        </is>
      </c>
      <c r="G34" s="19" t="inlineStr">
        <is>
          <t>Marge</t>
        </is>
      </c>
      <c r="H34" s="19" t="inlineStr">
        <is>
          <t>VE / EBITDA</t>
        </is>
      </c>
      <c r="I34" s="19" t="inlineStr">
        <is>
          <t>Fichier</t>
        </is>
      </c>
      <c r="J34" s="19" t="inlineStr">
        <is>
          <t>Page</t>
        </is>
      </c>
      <c r="K34" s="19" t="inlineStr">
        <is>
          <t>Pourquoi comparable (ou pas)</t>
        </is>
      </c>
    </row>
    <row r="35">
      <c r="A35" s="2" t="n"/>
      <c r="B35" s="5" t="inlineStr">
        <is>
          <t>Clean Harbors</t>
        </is>
      </c>
      <c r="C35" s="5" t="inlineStr">
        <is>
          <t>États-Unis</t>
        </is>
      </c>
      <c r="D35" s="109" t="inlineStr">
        <is>
          <t>100 % (déchets dangereux et services associés)</t>
        </is>
      </c>
      <c r="E35" s="56">
        <f>'Entrées'!$C$212</f>
        <v/>
      </c>
      <c r="F35" s="56">
        <f>'Entrées'!$C$213/1000</f>
        <v/>
      </c>
      <c r="G35" s="63">
        <f>IF(AND(ISNUMBER(E35),ISNUMBER(F35),E35&lt;&gt;0),F35/E35,"")</f>
        <v/>
      </c>
      <c r="H35" s="110" t="n"/>
      <c r="I35" s="109" t="inlineStr">
        <is>
          <t>01_Financial/clean-harbors-10-k-2025.pdf</t>
        </is>
      </c>
      <c r="J35" s="109" t="inlineStr">
        <is>
          <t>F224 p.33, F225 p.38</t>
        </is>
      </c>
      <c r="K35" s="22" t="inlineStr">
        <is>
          <t>TSDF, incinération ; leader US, concurrent direct de Clean Earth — 2025, M USD ; EBITDA ajusté selon la définition de Clean Harbors</t>
        </is>
      </c>
    </row>
    <row r="36">
      <c r="A36" s="2" t="n"/>
      <c r="B36" s="5" t="inlineStr">
        <is>
          <t>Enviri (ex-Harsco)</t>
        </is>
      </c>
      <c r="C36" s="5" t="inlineStr">
        <is>
          <t>États-Unis</t>
        </is>
      </c>
      <c r="D36" s="109" t="inlineStr">
        <is>
          <t>segment Clean Earth seul</t>
        </is>
      </c>
      <c r="E36" s="56">
        <f>'Entrées'!$C$197</f>
        <v/>
      </c>
      <c r="F36" s="111">
        <f>'Entrées'!$C$199+('Entrées'!$C$201+'Entrées'!$C$202)/1000</f>
        <v/>
      </c>
      <c r="G36" s="63">
        <f>IF(AND(ISNUMBER(E36),ISNUMBER(F36),E36&lt;&gt;0),F36/E36,"")</f>
        <v/>
      </c>
      <c r="H36" s="110" t="n"/>
      <c r="I36" s="109" t="inlineStr">
        <is>
          <t>01_Financial/enviri-10-k-2025.pdf</t>
        </is>
      </c>
      <c r="J36" s="109" t="inlineStr">
        <is>
          <t>F209 p.69, F211 p.70, F213/F214 p.284</t>
        </is>
      </c>
      <c r="K36" s="22" t="inlineStr">
        <is>
          <t>vendeur de Clean Earth : ses comptes donnent l'historique de la cible — 2025, M USD ; EBITDA = résultat opérationnel + D&amp;A du segment, recalculé ici (Enviri ne publie pas d'EBITDA de segment)</t>
        </is>
      </c>
    </row>
    <row r="37">
      <c r="A37" s="2" t="n"/>
      <c r="B37" s="5" t="inlineStr">
        <is>
          <t>Republic Services (US Ecology)</t>
        </is>
      </c>
      <c r="C37" s="5" t="inlineStr">
        <is>
          <t>États-Unis</t>
        </is>
      </c>
      <c r="D37" s="110" t="n"/>
      <c r="E37" s="110" t="n"/>
      <c r="F37" s="110" t="n"/>
      <c r="G37" s="63">
        <f>IF(AND(ISNUMBER(E37),ISNUMBER(F37),E37&lt;&gt;0),F37/E37,"")</f>
        <v/>
      </c>
      <c r="H37" s="110" t="n"/>
      <c r="I37" s="110" t="n"/>
      <c r="J37" s="110" t="n"/>
      <c r="K37" s="22" t="inlineStr">
        <is>
          <t>généraliste ; DD via US Ecology — mix différent</t>
        </is>
      </c>
    </row>
    <row r="38">
      <c r="A38" s="2" t="n"/>
      <c r="B38" s="5" t="inlineStr">
        <is>
          <t>Remondis / SARP</t>
        </is>
      </c>
      <c r="C38" s="5" t="inlineStr">
        <is>
          <t>Allemagne</t>
        </is>
      </c>
      <c r="D38" s="110" t="n"/>
      <c r="E38" s="110" t="n"/>
      <c r="F38" s="110" t="n"/>
      <c r="G38" s="63">
        <f>IF(AND(ISNUMBER(E38),ISNUMBER(F38),E38&lt;&gt;0),F38/E38,"")</f>
        <v/>
      </c>
      <c r="H38" s="110" t="n"/>
      <c r="I38" s="110" t="n"/>
      <c r="J38" s="110" t="n"/>
      <c r="K38" s="22" t="inlineStr">
        <is>
          <t>non coté : comparable métier, pas de multiple de marché</t>
        </is>
      </c>
    </row>
    <row r="39">
      <c r="A39" s="2" t="n"/>
      <c r="B39" s="5" t="inlineStr">
        <is>
          <t>Pour mémoire : marge d'EBITDA ajusté de Clean Harbors publiée</t>
        </is>
      </c>
      <c r="C39" s="2" t="n"/>
      <c r="D39" s="2" t="n"/>
      <c r="E39" s="2" t="n"/>
      <c r="F39" s="2" t="n"/>
      <c r="G39" s="63">
        <f>'Entrées'!$C$214/100</f>
        <v/>
      </c>
      <c r="H39" s="2" t="n"/>
      <c r="I39" s="2" t="n"/>
      <c r="J39" s="2" t="n"/>
      <c r="K39" s="22" t="inlineStr">
        <is>
          <t>F226</t>
        </is>
      </c>
    </row>
    <row r="40">
      <c r="A40" s="2" t="n"/>
      <c r="B40" s="2" t="n"/>
      <c r="C40" s="2" t="n"/>
      <c r="D40" s="2" t="n"/>
      <c r="E40" s="2" t="n"/>
      <c r="F40" s="2" t="n"/>
      <c r="G40" s="2" t="n"/>
      <c r="H40" s="2" t="n"/>
      <c r="I40" s="2" t="n"/>
      <c r="J40" s="2" t="n"/>
      <c r="K40" s="2" t="n"/>
    </row>
    <row r="41">
      <c r="A41" s="20" t="inlineStr">
        <is>
          <t>E</t>
        </is>
      </c>
      <c r="B41" s="20" t="inlineStr">
        <is>
          <t>Clean Earth vu du vendeur (10-K 2025 d'Enviri) : quel EBITDA paie-t-on ?</t>
        </is>
      </c>
      <c r="C41" s="2" t="n"/>
      <c r="D41" s="2" t="n"/>
      <c r="E41" s="2" t="n"/>
      <c r="F41" s="2" t="n"/>
      <c r="G41" s="2" t="n"/>
      <c r="H41" s="2" t="n"/>
      <c r="I41" s="2" t="n"/>
      <c r="J41" s="2" t="n"/>
      <c r="K41" s="2" t="n"/>
    </row>
    <row r="42">
      <c r="A42" s="2" t="n"/>
      <c r="B42" s="5" t="inlineStr">
        <is>
          <t>Chiffre d'affaires du segment</t>
        </is>
      </c>
      <c r="C42" s="95">
        <f>'Entrées'!$C$198</f>
        <v/>
      </c>
      <c r="D42" s="22" t="inlineStr">
        <is>
          <t>M USD</t>
        </is>
      </c>
      <c r="E42" s="22" t="inlineStr">
        <is>
          <t>F210 (2024)</t>
        </is>
      </c>
      <c r="F42" s="2" t="n"/>
      <c r="G42" s="2" t="n"/>
      <c r="H42" s="2" t="n"/>
      <c r="I42" s="2" t="n"/>
      <c r="J42" s="2" t="n"/>
      <c r="K42" s="2" t="n"/>
    </row>
    <row r="43">
      <c r="A43" s="2" t="n"/>
      <c r="B43" s="5" t="inlineStr">
        <is>
          <t>Chiffre d'affaires du segment</t>
        </is>
      </c>
      <c r="C43" s="95">
        <f>'Entrées'!$C$197</f>
        <v/>
      </c>
      <c r="D43" s="22" t="inlineStr">
        <is>
          <t>M USD</t>
        </is>
      </c>
      <c r="E43" s="22" t="inlineStr">
        <is>
          <t>F209 (2025)</t>
        </is>
      </c>
      <c r="F43" s="2" t="n"/>
      <c r="G43" s="2" t="n"/>
      <c r="H43" s="2" t="n"/>
      <c r="I43" s="2" t="n"/>
      <c r="J43" s="2" t="n"/>
      <c r="K43" s="2" t="n"/>
    </row>
    <row r="44">
      <c r="A44" s="2" t="n"/>
      <c r="B44" s="5" t="inlineStr">
        <is>
          <t>Croissance du chiffre d'affaires 2025</t>
        </is>
      </c>
      <c r="C44" s="63">
        <f>C43/C42-1</f>
        <v/>
      </c>
      <c r="D44" s="22" t="inlineStr">
        <is>
          <t>%</t>
        </is>
      </c>
      <c r="E44" s="22" t="inlineStr"/>
      <c r="F44" s="2" t="n"/>
      <c r="G44" s="2" t="n"/>
      <c r="H44" s="2" t="n"/>
      <c r="I44" s="2" t="n"/>
      <c r="J44" s="2" t="n"/>
      <c r="K44" s="2" t="n"/>
    </row>
    <row r="45">
      <c r="A45" s="2" t="n"/>
      <c r="B45" s="5" t="inlineStr">
        <is>
          <t>Résultat opérationnel du segment</t>
        </is>
      </c>
      <c r="C45" s="95">
        <f>'Entrées'!$C$200</f>
        <v/>
      </c>
      <c r="D45" s="22" t="inlineStr">
        <is>
          <t>M USD</t>
        </is>
      </c>
      <c r="E45" s="22" t="inlineStr">
        <is>
          <t>F212 (2024)</t>
        </is>
      </c>
      <c r="F45" s="2" t="n"/>
      <c r="G45" s="2" t="n"/>
      <c r="H45" s="2" t="n"/>
      <c r="I45" s="2" t="n"/>
      <c r="J45" s="2" t="n"/>
      <c r="K45" s="2" t="n"/>
    </row>
    <row r="46">
      <c r="A46" s="2" t="n"/>
      <c r="B46" s="5" t="inlineStr">
        <is>
          <t>Résultat opérationnel du segment</t>
        </is>
      </c>
      <c r="C46" s="95">
        <f>'Entrées'!$C$199</f>
        <v/>
      </c>
      <c r="D46" s="22" t="inlineStr">
        <is>
          <t>M USD</t>
        </is>
      </c>
      <c r="E46" s="22" t="inlineStr">
        <is>
          <t>F211 (2025)</t>
        </is>
      </c>
      <c r="F46" s="2" t="n"/>
      <c r="G46" s="2" t="n"/>
      <c r="H46" s="2" t="n"/>
      <c r="I46" s="2" t="n"/>
      <c r="J46" s="2" t="n"/>
      <c r="K46" s="2" t="n"/>
    </row>
    <row r="47">
      <c r="A47" s="2" t="n"/>
      <c r="B47" s="5" t="inlineStr">
        <is>
          <t>Dépréciation + amortissement du segment</t>
        </is>
      </c>
      <c r="C47" s="96">
        <f>('Entrées'!$C$201+'Entrées'!$C$202)/1000</f>
        <v/>
      </c>
      <c r="D47" s="22" t="inlineStr">
        <is>
          <t>M USD</t>
        </is>
      </c>
      <c r="E47" s="22" t="inlineStr">
        <is>
          <t>F213, F214 (2025)</t>
        </is>
      </c>
      <c r="F47" s="2" t="n"/>
      <c r="G47" s="2" t="n"/>
      <c r="H47" s="2" t="n"/>
      <c r="I47" s="2" t="n"/>
      <c r="J47" s="2" t="n"/>
      <c r="K47" s="2" t="n"/>
    </row>
    <row r="48">
      <c r="A48" s="2" t="n"/>
      <c r="B48" s="20" t="inlineStr">
        <is>
          <t>EBITDA 2025 recalculé (résultat opérationnel + D&amp;A)</t>
        </is>
      </c>
      <c r="C48" s="57">
        <f>C46+C47</f>
        <v/>
      </c>
      <c r="D48" s="22" t="inlineStr">
        <is>
          <t>M USD</t>
        </is>
      </c>
      <c r="E48" s="22" t="inlineStr">
        <is>
          <t>non publié par Enviri : reconstitué</t>
        </is>
      </c>
      <c r="F48" s="2" t="n"/>
      <c r="G48" s="2" t="n"/>
      <c r="H48" s="2" t="n"/>
      <c r="I48" s="2" t="n"/>
      <c r="J48" s="2" t="n"/>
      <c r="K48" s="2" t="n"/>
    </row>
    <row r="49">
      <c r="A49" s="2" t="n"/>
      <c r="B49" s="5" t="inlineStr">
        <is>
          <t>Marge d'EBITDA 2025 recalculée</t>
        </is>
      </c>
      <c r="C49" s="63">
        <f>C48/C43</f>
        <v/>
      </c>
      <c r="D49" s="22" t="inlineStr">
        <is>
          <t>%</t>
        </is>
      </c>
      <c r="E49" s="22" t="inlineStr"/>
      <c r="F49" s="2" t="n"/>
      <c r="G49" s="2" t="n"/>
      <c r="H49" s="2" t="n"/>
      <c r="I49" s="2" t="n"/>
      <c r="J49" s="2" t="n"/>
      <c r="K49" s="2" t="n"/>
    </row>
    <row r="50">
      <c r="A50" s="2" t="n"/>
      <c r="B50" s="5" t="inlineStr">
        <is>
          <t>EBITDA 2026E retenu par Veolia (ajusté, post IFRS 16)</t>
        </is>
      </c>
      <c r="C50" s="95">
        <f>'Entrées'!$C$56</f>
        <v/>
      </c>
      <c r="D50" s="22" t="inlineStr">
        <is>
          <t>M USD</t>
        </is>
      </c>
      <c r="E50" s="22" t="inlineStr">
        <is>
          <t>F51</t>
        </is>
      </c>
      <c r="F50" s="2" t="n"/>
      <c r="G50" s="2" t="n"/>
      <c r="H50" s="2" t="n"/>
      <c r="I50" s="2" t="n"/>
      <c r="J50" s="2" t="n"/>
      <c r="K50" s="2" t="n"/>
    </row>
    <row r="51">
      <c r="A51" s="2" t="n"/>
      <c r="B51" s="20" t="inlineStr">
        <is>
          <t>Écart entre l'EBITDA de Veolia et l'EBITDA 2025 reconstitué</t>
        </is>
      </c>
      <c r="C51" s="38">
        <f>C50/C48-1</f>
        <v/>
      </c>
      <c r="D51" s="22" t="inlineStr">
        <is>
          <t>%</t>
        </is>
      </c>
      <c r="E51" s="22" t="inlineStr">
        <is>
          <t>croissance, IFRS 16, ajustements : à faire expliquer</t>
        </is>
      </c>
      <c r="F51" s="2" t="n"/>
      <c r="G51" s="2" t="n"/>
      <c r="H51" s="2" t="n"/>
      <c r="I51" s="2" t="n"/>
      <c r="J51" s="2" t="n"/>
      <c r="K51" s="2" t="n"/>
    </row>
    <row r="52">
      <c r="A52" s="2" t="n"/>
      <c r="B52" s="20" t="inlineStr">
        <is>
          <t>Multiple sur l'EBITDA 2025 reconstitué (VE / EBITDA)</t>
        </is>
      </c>
      <c r="C52" s="45">
        <f>'Entrées'!$C$51*1000/C48</f>
        <v/>
      </c>
      <c r="D52" s="22" t="inlineStr">
        <is>
          <t>x</t>
        </is>
      </c>
      <c r="E52" s="22" t="inlineStr">
        <is>
          <t>F46 / recalcul</t>
        </is>
      </c>
      <c r="F52" s="2" t="n"/>
      <c r="G52" s="2" t="n"/>
      <c r="H52" s="2" t="n"/>
      <c r="I52" s="2" t="n"/>
      <c r="J52" s="2" t="n"/>
      <c r="K52" s="2" t="n"/>
    </row>
    <row r="53">
      <c r="A53" s="2" t="n"/>
      <c r="B53" s="5" t="inlineStr">
        <is>
          <t>Pour mémoire : multiple publié par Veolia après synergies</t>
        </is>
      </c>
      <c r="C53" s="86">
        <f>'Entrées'!$C$53</f>
        <v/>
      </c>
      <c r="D53" s="22" t="inlineStr">
        <is>
          <t>x</t>
        </is>
      </c>
      <c r="E53" s="22" t="inlineStr">
        <is>
          <t>F48</t>
        </is>
      </c>
      <c r="F53" s="2" t="n"/>
      <c r="G53" s="2" t="n"/>
      <c r="H53" s="2" t="n"/>
      <c r="I53" s="2" t="n"/>
      <c r="J53" s="2" t="n"/>
      <c r="K53" s="2" t="n"/>
    </row>
    <row r="54">
      <c r="A54" s="2" t="n"/>
      <c r="B54" s="5" t="inlineStr">
        <is>
          <t>Actifs totaux du segment</t>
        </is>
      </c>
      <c r="C54" s="96">
        <f>'Entrées'!$C$203/1000</f>
        <v/>
      </c>
      <c r="D54" s="22" t="inlineStr">
        <is>
          <t>M USD</t>
        </is>
      </c>
      <c r="E54" s="22" t="inlineStr">
        <is>
          <t>F215</t>
        </is>
      </c>
      <c r="F54" s="2" t="n"/>
      <c r="G54" s="2" t="n"/>
      <c r="H54" s="2" t="n"/>
      <c r="I54" s="2" t="n"/>
      <c r="J54" s="2" t="n"/>
      <c r="K54" s="2" t="n"/>
    </row>
    <row r="55" ht="30" customHeight="1">
      <c r="A55" s="2" t="n"/>
      <c r="B55" s="66" t="inlineStr">
        <is>
          <t>Lecture : sur l'EBITDA que le vendeur publie, le prix ressort à près de 20x ; le 9,8x de Veolia repose sur un EBITDA 2026E un tiers plus haut, plus 120 M$ de synergies. C'est le pont à faire expliquer le 16 octobre.</t>
        </is>
      </c>
      <c r="C55" s="2" t="n"/>
      <c r="D55" s="2" t="n"/>
      <c r="E55" s="2" t="n"/>
      <c r="F55" s="2" t="n"/>
      <c r="G55" s="2" t="n"/>
      <c r="H55" s="2" t="n"/>
      <c r="I55" s="2" t="n"/>
      <c r="J55" s="2" t="n"/>
      <c r="K55" s="2" t="n"/>
    </row>
    <row r="56">
      <c r="A56" s="2" t="n"/>
      <c r="B56" s="3" t="inlineStr">
        <is>
          <t>Cellules jaunes à remplir uniquement depuis un document versé dans la dataroom (fichier + page).</t>
        </is>
      </c>
      <c r="C56" s="2" t="n"/>
      <c r="D56" s="2" t="n"/>
      <c r="E56" s="2" t="n"/>
      <c r="F56" s="2" t="n"/>
      <c r="G56" s="2" t="n"/>
      <c r="H56" s="2" t="n"/>
      <c r="I56" s="2" t="n"/>
      <c r="J56" s="2" t="n"/>
      <c r="K56" s="2" t="n"/>
    </row>
  </sheetData>
  <mergeCells count="3">
    <mergeCell ref="B31:E31"/>
    <mergeCell ref="B55:E55"/>
    <mergeCell ref="B14:E14"/>
  </mergeCells>
  <pageMargins left="0.75" right="0.75" top="1" bottom="1" header="0.5" footer="0.5"/>
  <pageSetup orientation="landscape" paperSize="9" fitToHeight="0" fitToWidth="1"/>
</worksheet>
</file>

<file path=xl/worksheets/sheet13.xml><?xml version="1.0" encoding="utf-8"?>
<worksheet xmlns="http://schemas.openxmlformats.org/spreadsheetml/2006/main">
  <sheetPr>
    <outlinePr summaryBelow="1" summaryRight="1"/>
    <pageSetUpPr fitToPage="1"/>
  </sheetPr>
  <dimension ref="A1:I49"/>
  <sheetViews>
    <sheetView showGridLines="0" workbookViewId="0">
      <selection activeCell="A1" sqref="A1"/>
    </sheetView>
  </sheetViews>
  <sheetFormatPr baseColWidth="8" defaultRowHeight="15"/>
  <cols>
    <col width="4" customWidth="1" min="1" max="1"/>
    <col width="62" customWidth="1" min="2" max="2"/>
    <col width="14" customWidth="1" min="3" max="3"/>
    <col width="16" customWidth="1" min="4" max="4"/>
    <col width="14" customWidth="1" min="5" max="5"/>
    <col width="16" customWidth="1" min="6" max="6"/>
    <col width="14" customWidth="1" min="7" max="7"/>
    <col width="16" customWidth="1" min="8" max="8"/>
    <col width="40" customWidth="1" min="9" max="9"/>
  </cols>
  <sheetData>
    <row r="1">
      <c r="A1" s="1" t="inlineStr">
        <is>
          <t>Rôle 5 — Le coût ESG : ce qu'une acquisition ajoute en passif et en exposition</t>
        </is>
      </c>
      <c r="B1" s="2" t="n"/>
      <c r="C1" s="2" t="n"/>
      <c r="D1" s="2" t="n"/>
      <c r="E1" s="2" t="n"/>
      <c r="F1" s="2" t="n"/>
      <c r="G1" s="2" t="n"/>
      <c r="H1" s="2" t="n"/>
      <c r="I1" s="2" t="n"/>
    </row>
    <row r="2">
      <c r="A2" s="3" t="inlineStr">
        <is>
          <t>Provisions de fermeture et post-fermeture (URD 2025 p.432, amendement p.65) ; Clean Earth (amendement p.25, p.53).</t>
        </is>
      </c>
      <c r="B2" s="2" t="n"/>
      <c r="C2" s="2" t="n"/>
      <c r="D2" s="2" t="n"/>
      <c r="E2" s="2" t="n"/>
      <c r="F2" s="2" t="n"/>
      <c r="G2" s="2" t="n"/>
      <c r="H2" s="2" t="n"/>
      <c r="I2" s="2" t="n"/>
    </row>
    <row r="3">
      <c r="A3" s="2" t="n"/>
      <c r="B3" s="2" t="n"/>
      <c r="C3" s="2" t="n"/>
      <c r="D3" s="2" t="n"/>
      <c r="E3" s="2" t="n"/>
      <c r="F3" s="2" t="n"/>
      <c r="G3" s="2" t="n"/>
      <c r="H3" s="2" t="n"/>
      <c r="I3" s="2" t="n"/>
    </row>
    <row r="4">
      <c r="A4" s="20" t="inlineStr">
        <is>
          <t>A</t>
        </is>
      </c>
      <c r="B4" s="20" t="inlineStr">
        <is>
          <t>Les passifs environnementaux de Veolia</t>
        </is>
      </c>
      <c r="C4" s="2" t="n"/>
      <c r="D4" s="2" t="n"/>
      <c r="E4" s="2" t="n"/>
      <c r="F4" s="2" t="n"/>
      <c r="G4" s="2" t="n"/>
      <c r="H4" s="2" t="n"/>
      <c r="I4" s="2" t="n"/>
    </row>
    <row r="5">
      <c r="A5" s="19" t="inlineStr"/>
      <c r="B5" s="19" t="inlineStr">
        <is>
          <t>Provisions de fermeture et post-fermeture</t>
        </is>
      </c>
      <c r="C5" s="19" t="inlineStr">
        <is>
          <t>31/12/2024</t>
        </is>
      </c>
      <c r="D5" s="19" t="inlineStr">
        <is>
          <t>31/12/2025</t>
        </is>
      </c>
      <c r="E5" s="19" t="inlineStr">
        <is>
          <t>30/06/2026</t>
        </is>
      </c>
      <c r="F5" s="19" t="inlineStr">
        <is>
          <t>Réf.</t>
        </is>
      </c>
      <c r="G5" s="112" t="inlineStr">
        <is>
          <t>Δ S1 2026</t>
        </is>
      </c>
      <c r="H5" s="2" t="n"/>
      <c r="I5" s="2" t="n"/>
    </row>
    <row r="6">
      <c r="A6" s="2" t="n"/>
      <c r="B6" s="20" t="inlineStr">
        <is>
          <t>Total</t>
        </is>
      </c>
      <c r="C6" s="58">
        <f>'Entrées'!$C$104</f>
        <v/>
      </c>
      <c r="D6" s="58">
        <f>'Entrées'!$C$105</f>
        <v/>
      </c>
      <c r="E6" s="58">
        <f>'Entrées'!$C$49</f>
        <v/>
      </c>
      <c r="F6" s="22" t="inlineStr">
        <is>
          <t>F99, F100, F44</t>
        </is>
      </c>
      <c r="G6" s="42">
        <f>E6-D6</f>
        <v/>
      </c>
      <c r="H6" s="2" t="n"/>
      <c r="I6" s="2" t="n"/>
    </row>
    <row r="7">
      <c r="A7" s="2" t="n"/>
      <c r="B7" s="5" t="inlineStr">
        <is>
          <t xml:space="preserve">   dont Amériques, Asie-Pacifique, Afrique Moyen-Orient</t>
        </is>
      </c>
      <c r="C7" s="2" t="n"/>
      <c r="D7" s="58">
        <f>'Entrées'!$C$106</f>
        <v/>
      </c>
      <c r="E7" s="58">
        <f>'Entrées'!$C$107</f>
        <v/>
      </c>
      <c r="F7" s="22" t="inlineStr">
        <is>
          <t>F101, F102</t>
        </is>
      </c>
      <c r="G7" s="61">
        <f>E7-D7</f>
        <v/>
      </c>
      <c r="H7" s="2" t="n"/>
      <c r="I7" s="2" t="n"/>
    </row>
    <row r="8">
      <c r="A8" s="2" t="n"/>
      <c r="B8" s="5" t="inlineStr">
        <is>
          <t xml:space="preserve">   dont France et Déchets dangereux Europe</t>
        </is>
      </c>
      <c r="C8" s="2" t="n"/>
      <c r="D8" s="58">
        <f>'Entrées'!$C$108</f>
        <v/>
      </c>
      <c r="E8" s="58">
        <f>'Entrées'!$C$50</f>
        <v/>
      </c>
      <c r="F8" s="22" t="inlineStr">
        <is>
          <t>F103, F45</t>
        </is>
      </c>
      <c r="G8" s="61">
        <f>E8-D8</f>
        <v/>
      </c>
      <c r="H8" s="2" t="n"/>
      <c r="I8" s="2" t="n"/>
    </row>
    <row r="9">
      <c r="A9" s="2" t="n"/>
      <c r="B9" s="5" t="inlineStr">
        <is>
          <t xml:space="preserve">   dont Europe</t>
        </is>
      </c>
      <c r="C9" s="2" t="n"/>
      <c r="D9" s="58">
        <f>'Entrées'!$C$109</f>
        <v/>
      </c>
      <c r="E9" s="58">
        <f>'Entrées'!$C$110</f>
        <v/>
      </c>
      <c r="F9" s="22" t="inlineStr">
        <is>
          <t>F104, F105</t>
        </is>
      </c>
      <c r="G9" s="61">
        <f>E9-D9</f>
        <v/>
      </c>
      <c r="H9" s="2" t="n"/>
      <c r="I9" s="2" t="n"/>
    </row>
    <row r="10">
      <c r="A10" s="2" t="n"/>
      <c r="B10" s="2" t="n"/>
      <c r="C10" s="2" t="n"/>
      <c r="D10" s="2" t="n"/>
      <c r="E10" s="2" t="n"/>
      <c r="F10" s="2" t="n"/>
      <c r="G10" s="2" t="n"/>
      <c r="H10" s="2" t="n"/>
      <c r="I10" s="2" t="n"/>
    </row>
    <row r="11">
      <c r="A11" s="2" t="n"/>
      <c r="B11" s="5" t="inlineStr">
        <is>
          <t>Par nature au 31/12/2025 : réhabilitation de sites</t>
        </is>
      </c>
      <c r="C11" s="58">
        <f>'Entrées'!$C$47</f>
        <v/>
      </c>
      <c r="D11" s="22" t="inlineStr">
        <is>
          <t>M EUR</t>
        </is>
      </c>
      <c r="E11" s="22" t="inlineStr">
        <is>
          <t>F42</t>
        </is>
      </c>
      <c r="F11" s="2" t="n"/>
      <c r="G11" s="2" t="n"/>
      <c r="H11" s="2" t="n"/>
      <c r="I11" s="2" t="n"/>
    </row>
    <row r="12">
      <c r="A12" s="2" t="n"/>
      <c r="B12" s="5" t="inlineStr">
        <is>
          <t xml:space="preserve">   + risques environnementaux</t>
        </is>
      </c>
      <c r="C12" s="58">
        <f>'Entrées'!$C$48</f>
        <v/>
      </c>
      <c r="D12" s="22" t="inlineStr">
        <is>
          <t>M EUR</t>
        </is>
      </c>
      <c r="E12" s="22" t="inlineStr">
        <is>
          <t>F43</t>
        </is>
      </c>
      <c r="F12" s="2" t="n"/>
      <c r="G12" s="2" t="n"/>
      <c r="H12" s="2" t="n"/>
      <c r="I12" s="2" t="n"/>
    </row>
    <row r="13">
      <c r="A13" s="2" t="n"/>
      <c r="B13" s="5" t="inlineStr">
        <is>
          <t xml:space="preserve">   + démantèlement</t>
        </is>
      </c>
      <c r="C13" s="58">
        <f>'Entrées'!$C$111</f>
        <v/>
      </c>
      <c r="D13" s="22" t="inlineStr">
        <is>
          <t>M EUR</t>
        </is>
      </c>
      <c r="E13" s="22" t="inlineStr">
        <is>
          <t>F106</t>
        </is>
      </c>
      <c r="F13" s="2" t="n"/>
      <c r="G13" s="2" t="n"/>
      <c r="H13" s="2" t="n"/>
      <c r="I13" s="2" t="n"/>
    </row>
    <row r="14">
      <c r="A14" s="2" t="n"/>
      <c r="B14" s="20" t="inlineStr">
        <is>
          <t xml:space="preserve">   = total par nature</t>
        </is>
      </c>
      <c r="C14" s="42">
        <f>SUM(C11:C13)</f>
        <v/>
      </c>
      <c r="D14" s="22" t="inlineStr">
        <is>
          <t>M EUR</t>
        </is>
      </c>
      <c r="E14" s="22" t="inlineStr">
        <is>
          <t>doit égaler le total au 31/12/2025</t>
        </is>
      </c>
      <c r="F14" s="2" t="n"/>
      <c r="G14" s="2" t="n"/>
      <c r="H14" s="2" t="n"/>
      <c r="I14" s="2" t="n"/>
    </row>
    <row r="15">
      <c r="A15" s="2" t="n"/>
      <c r="B15" s="5" t="inlineStr">
        <is>
          <t>Désactualisation 2025 (charge financière annuelle)</t>
        </is>
      </c>
      <c r="C15" s="58">
        <f>'Entrées'!$C$112</f>
        <v/>
      </c>
      <c r="D15" s="22" t="inlineStr">
        <is>
          <t>M EUR</t>
        </is>
      </c>
      <c r="E15" s="22" t="inlineStr">
        <is>
          <t>F107</t>
        </is>
      </c>
      <c r="F15" s="2" t="n"/>
      <c r="G15" s="2" t="n"/>
      <c r="H15" s="2" t="n"/>
      <c r="I15" s="2" t="n"/>
    </row>
    <row r="16">
      <c r="A16" s="2" t="n"/>
      <c r="B16" s="5" t="inlineStr">
        <is>
          <t>Provisions de fermeture en tours d'EBITDA 2025</t>
        </is>
      </c>
      <c r="C16" s="72">
        <f>'Entrées'!$C$105/'Entrées'!$C$8</f>
        <v/>
      </c>
      <c r="D16" s="22" t="inlineStr">
        <is>
          <t>x</t>
        </is>
      </c>
      <c r="E16" s="22" t="inlineStr"/>
      <c r="F16" s="2" t="n"/>
      <c r="G16" s="2" t="n"/>
      <c r="H16" s="2" t="n"/>
      <c r="I16" s="2" t="n"/>
    </row>
    <row r="17">
      <c r="A17" s="2" t="n"/>
      <c r="B17" s="2" t="n"/>
      <c r="C17" s="2" t="n"/>
      <c r="D17" s="2" t="n"/>
      <c r="E17" s="2" t="n"/>
      <c r="F17" s="2" t="n"/>
      <c r="G17" s="2" t="n"/>
      <c r="H17" s="2" t="n"/>
      <c r="I17" s="2" t="n"/>
    </row>
    <row r="18">
      <c r="A18" s="20" t="inlineStr">
        <is>
          <t>B</t>
        </is>
      </c>
      <c r="B18" s="20" t="inlineStr">
        <is>
          <t>Ce que Clean Earth apporte — et ce qu'on ne voit pas encore</t>
        </is>
      </c>
      <c r="C18" s="2" t="n"/>
      <c r="D18" s="2" t="n"/>
      <c r="E18" s="2" t="n"/>
      <c r="F18" s="2" t="n"/>
      <c r="G18" s="2" t="n"/>
      <c r="H18" s="2" t="n"/>
      <c r="I18" s="2" t="n"/>
    </row>
    <row r="19">
      <c r="A19" s="2" t="n"/>
      <c r="B19" s="5" t="inlineStr">
        <is>
          <t>Prix payé</t>
        </is>
      </c>
      <c r="C19" s="58">
        <f>'Entrées'!$C$46</f>
        <v/>
      </c>
      <c r="D19" s="22" t="inlineStr">
        <is>
          <t>M EUR</t>
        </is>
      </c>
      <c r="E19" s="22" t="inlineStr">
        <is>
          <t>F41</t>
        </is>
      </c>
      <c r="F19" s="2" t="n"/>
      <c r="G19" s="2" t="n"/>
      <c r="H19" s="2" t="n"/>
      <c r="I19" s="2" t="n"/>
    </row>
    <row r="20">
      <c r="A20" s="2" t="n"/>
      <c r="B20" s="5" t="inlineStr">
        <is>
          <t>Goodwill préliminaire</t>
        </is>
      </c>
      <c r="C20" s="58">
        <f>'Entrées'!$C$103</f>
        <v/>
      </c>
      <c r="D20" s="22" t="inlineStr">
        <is>
          <t>M EUR</t>
        </is>
      </c>
      <c r="E20" s="22" t="inlineStr">
        <is>
          <t>F98</t>
        </is>
      </c>
      <c r="F20" s="2" t="n"/>
      <c r="G20" s="2" t="n"/>
      <c r="H20" s="2" t="n"/>
      <c r="I20" s="2" t="n"/>
    </row>
    <row r="21">
      <c r="A21" s="2" t="n"/>
      <c r="B21" s="20" t="inlineStr">
        <is>
          <t>Goodwill en % du prix</t>
        </is>
      </c>
      <c r="C21" s="38">
        <f>C20/C19</f>
        <v/>
      </c>
      <c r="D21" s="22" t="inlineStr">
        <is>
          <t>%</t>
        </is>
      </c>
      <c r="E21" s="22" t="inlineStr">
        <is>
          <t>affectation du prix non réalisée au 30/06/2026</t>
        </is>
      </c>
      <c r="F21" s="2" t="n"/>
      <c r="G21" s="2" t="n"/>
      <c r="H21" s="2" t="n"/>
      <c r="I21" s="2" t="n"/>
    </row>
    <row r="22">
      <c r="A22" s="2" t="n"/>
      <c r="B22" s="5" t="inlineStr">
        <is>
          <t>Hausse des provisions de fermeture, segment Amériques, au S1 2026</t>
        </is>
      </c>
      <c r="C22" s="61">
        <f>G7</f>
        <v/>
      </c>
      <c r="D22" s="22" t="inlineStr">
        <is>
          <t>M EUR</t>
        </is>
      </c>
      <c r="E22" s="22" t="inlineStr">
        <is>
          <t>compatible avec l'entrée de Clean Earth, non attribuée par Veolia</t>
        </is>
      </c>
      <c r="F22" s="2" t="n"/>
      <c r="G22" s="2" t="n"/>
      <c r="H22" s="2" t="n"/>
      <c r="I22" s="2" t="n"/>
    </row>
    <row r="23">
      <c r="A23" s="2" t="n"/>
      <c r="B23" s="5" t="inlineStr">
        <is>
          <t>Hausse des garanties reçues liées aux acquisitions</t>
        </is>
      </c>
      <c r="C23" s="61">
        <f>'Entrées'!$C$114-'Entrées'!$C$113</f>
        <v/>
      </c>
      <c r="D23" s="22" t="inlineStr">
        <is>
          <t>M EUR</t>
        </is>
      </c>
      <c r="E23" s="22" t="inlineStr">
        <is>
          <t>F108, F109</t>
        </is>
      </c>
      <c r="F23" s="2" t="n"/>
      <c r="G23" s="2" t="n"/>
      <c r="H23" s="2" t="n"/>
      <c r="I23" s="2" t="n"/>
    </row>
    <row r="24">
      <c r="A24" s="2" t="n"/>
      <c r="B24" s="5" t="inlineStr">
        <is>
          <t>Clean Harbors : passifs environnementaux en % du chiffre d'affaires</t>
        </is>
      </c>
      <c r="C24" s="63">
        <f>'Entrées'!$C$227/1000/'Entrées'!$C$212</f>
        <v/>
      </c>
      <c r="D24" s="22" t="inlineStr">
        <is>
          <t>%</t>
        </is>
      </c>
      <c r="E24" s="22" t="inlineStr">
        <is>
          <t>F239 / F224 (2025)</t>
        </is>
      </c>
      <c r="F24" s="2" t="n"/>
      <c r="G24" s="2" t="n"/>
      <c r="H24" s="2" t="n"/>
      <c r="I24" s="2" t="n"/>
    </row>
    <row r="25">
      <c r="A25" s="2" t="n"/>
      <c r="B25" s="5" t="inlineStr">
        <is>
          <t>Enviri (groupe entier) : passifs environnementaux</t>
        </is>
      </c>
      <c r="C25" s="96">
        <f>('Entrées'!$C$206+'Entrées'!$C$207)/1000</f>
        <v/>
      </c>
      <c r="D25" s="22" t="inlineStr">
        <is>
          <t>M USD</t>
        </is>
      </c>
      <c r="E25" s="22" t="inlineStr">
        <is>
          <t>F218 + F219</t>
        </is>
      </c>
      <c r="F25" s="2" t="n"/>
      <c r="G25" s="2" t="n"/>
      <c r="H25" s="2" t="n"/>
      <c r="I25" s="2" t="n"/>
    </row>
    <row r="26">
      <c r="A26" s="2" t="n"/>
      <c r="B26" s="5" t="inlineStr">
        <is>
          <t>… en % du chiffre d'affaires de Clean Earth (borne haute : le groupe entier)</t>
        </is>
      </c>
      <c r="C26" s="63">
        <f>C25/'Entrées'!$C$197</f>
        <v/>
      </c>
      <c r="D26" s="22" t="inlineStr">
        <is>
          <t>%</t>
        </is>
      </c>
      <c r="E26" s="22" t="inlineStr">
        <is>
          <t>F209</t>
        </is>
      </c>
      <c r="F26" s="2" t="n"/>
      <c r="G26" s="2" t="n"/>
      <c r="H26" s="2" t="n"/>
      <c r="I26" s="2" t="n"/>
    </row>
    <row r="27">
      <c r="A27" s="2" t="n"/>
      <c r="B27" s="5" t="inlineStr">
        <is>
          <t>Ordre de grandeur par analogie Clean Harbors : % × CA Clean Earth (pas une mesure)</t>
        </is>
      </c>
      <c r="C27" s="96">
        <f>C24*'Entrées'!$C$197</f>
        <v/>
      </c>
      <c r="D27" s="22" t="inlineStr">
        <is>
          <t>M USD</t>
        </is>
      </c>
      <c r="E27" s="22" t="inlineStr">
        <is>
          <t>analogie, à remplacer par la juste valeur à l'affectation du prix</t>
        </is>
      </c>
      <c r="F27" s="2" t="n"/>
      <c r="G27" s="2" t="n"/>
      <c r="H27" s="2" t="n"/>
      <c r="I27" s="2" t="n"/>
    </row>
    <row r="28">
      <c r="A28" s="2" t="n"/>
      <c r="B28" s="20" t="inlineStr">
        <is>
          <t>Passifs environnementaux propres à Clean Earth (à sourcer : 10-Q T1 2026 d'Enviri, Clean Earth en activité abandonnée)</t>
        </is>
      </c>
      <c r="C28" s="43" t="n"/>
      <c r="D28" s="22" t="inlineStr">
        <is>
          <t>M EUR</t>
        </is>
      </c>
      <c r="E28" s="22" t="inlineStr">
        <is>
          <t>cellule à remplir : laisser vide tant qu'aucun document ne le dit</t>
        </is>
      </c>
      <c r="F28" s="2" t="n"/>
      <c r="G28" s="2" t="n"/>
      <c r="H28" s="2" t="n"/>
      <c r="I28" s="2" t="n"/>
    </row>
    <row r="29">
      <c r="A29" s="2" t="n"/>
      <c r="B29" s="20" t="inlineStr">
        <is>
          <t>Effet sur le levier 2027 s'ils étaient traités comme de la dette</t>
        </is>
      </c>
      <c r="C29" s="48">
        <f>IF(ISNUMBER(C28),C28/'Trajectoire'!$D$42,0)</f>
        <v/>
      </c>
      <c r="D29" s="22" t="inlineStr">
        <is>
          <t>x</t>
        </is>
      </c>
      <c r="E29" s="22" t="inlineStr">
        <is>
          <t>passifs / EBITDA 2027 central</t>
        </is>
      </c>
      <c r="F29" s="2" t="n"/>
      <c r="G29" s="2" t="n"/>
      <c r="H29" s="2" t="n"/>
      <c r="I29" s="2" t="n"/>
    </row>
    <row r="30" ht="44" customHeight="1">
      <c r="A30" s="2" t="n"/>
      <c r="B30" s="66" t="inlineStr">
        <is>
          <t>Lecture : 81 % du prix est encore du goodwill. Tant que l'affectation n'est pas faite (au plus tard aux comptes 2026), la juste valeur des passifs environnementaux de Clean Earth n'est pas visible chez Veolia. C'est l'angle mort du rôle 5.</t>
        </is>
      </c>
      <c r="C30" s="2" t="n"/>
      <c r="D30" s="2" t="n"/>
      <c r="E30" s="2" t="n"/>
      <c r="F30" s="2" t="n"/>
      <c r="G30" s="2" t="n"/>
      <c r="H30" s="2" t="n"/>
      <c r="I30" s="2" t="n"/>
    </row>
    <row r="31">
      <c r="A31" s="2" t="n"/>
      <c r="B31" s="2" t="n"/>
      <c r="C31" s="2" t="n"/>
      <c r="D31" s="2" t="n"/>
      <c r="E31" s="2" t="n"/>
      <c r="F31" s="2" t="n"/>
      <c r="G31" s="2" t="n"/>
      <c r="H31" s="2" t="n"/>
      <c r="I31" s="2" t="n"/>
    </row>
    <row r="32">
      <c r="A32" s="20" t="inlineStr">
        <is>
          <t>T</t>
        </is>
      </c>
      <c r="B32" s="20" t="inlineStr">
        <is>
          <t>La taxonomie européenne 2025 : où vont les euros « verts » (DEU 2025, p.250)</t>
        </is>
      </c>
      <c r="C32" s="2" t="n"/>
      <c r="D32" s="2" t="n"/>
      <c r="E32" s="2" t="n"/>
      <c r="F32" s="2" t="n"/>
      <c r="G32" s="2" t="n"/>
      <c r="H32" s="2" t="n"/>
      <c r="I32" s="2" t="n"/>
    </row>
    <row r="33">
      <c r="A33" s="19" t="inlineStr"/>
      <c r="B33" s="19" t="inlineStr">
        <is>
          <t>Secteur d'activités éligibles</t>
        </is>
      </c>
      <c r="C33" s="19" t="inlineStr">
        <is>
          <t>CA éligible</t>
        </is>
      </c>
      <c r="D33" s="19" t="inlineStr">
        <is>
          <t>CA éligible et aligné</t>
        </is>
      </c>
      <c r="E33" s="19" t="inlineStr">
        <is>
          <t>Capex éligible</t>
        </is>
      </c>
      <c r="F33" s="19" t="inlineStr">
        <is>
          <t>Capex éligible et aligné</t>
        </is>
      </c>
      <c r="G33" s="19" t="inlineStr">
        <is>
          <t>Capex aligné / éligible</t>
        </is>
      </c>
      <c r="H33" s="19" t="inlineStr">
        <is>
          <t>Part du capex aligné du groupe</t>
        </is>
      </c>
      <c r="I33" s="19" t="inlineStr">
        <is>
          <t>Réf.</t>
        </is>
      </c>
    </row>
    <row r="34">
      <c r="A34" s="2" t="n"/>
      <c r="B34" s="5" t="inlineStr">
        <is>
          <t>Eau et assainissement</t>
        </is>
      </c>
      <c r="C34" s="58">
        <f>'Entrées'!$C$506*1000</f>
        <v/>
      </c>
      <c r="D34" s="58">
        <f>'Entrées'!$C$507*1000</f>
        <v/>
      </c>
      <c r="E34" s="58">
        <f>'Entrées'!$C$508*1000</f>
        <v/>
      </c>
      <c r="F34" s="58">
        <f>'Entrées'!$C$509*1000</f>
        <v/>
      </c>
      <c r="G34" s="63">
        <f>IF(E34&gt;0,F34/E34,"")</f>
        <v/>
      </c>
      <c r="H34" s="63">
        <f>F34/$F$41</f>
        <v/>
      </c>
      <c r="I34" s="22" t="inlineStr">
        <is>
          <t>F501, F502, F503, F504</t>
        </is>
      </c>
    </row>
    <row r="35">
      <c r="A35" s="2" t="n"/>
      <c r="B35" s="5" t="inlineStr">
        <is>
          <t>Déchets pour l'économie circulaire (déchets dangereux compris)</t>
        </is>
      </c>
      <c r="C35" s="58">
        <f>'Entrées'!$C$510*1000</f>
        <v/>
      </c>
      <c r="D35" s="58">
        <f>'Entrées'!$C$511*1000</f>
        <v/>
      </c>
      <c r="E35" s="58">
        <f>'Entrées'!$C$512*1000</f>
        <v/>
      </c>
      <c r="F35" s="58">
        <f>'Entrées'!$C$513*1000</f>
        <v/>
      </c>
      <c r="G35" s="63">
        <f>IF(E35&gt;0,F35/E35,"")</f>
        <v/>
      </c>
      <c r="H35" s="63">
        <f>F35/$F$41</f>
        <v/>
      </c>
      <c r="I35" s="22" t="inlineStr">
        <is>
          <t>F505, F506, F507, F508</t>
        </is>
      </c>
    </row>
    <row r="36">
      <c r="A36" s="2" t="n"/>
      <c r="B36" s="5" t="inlineStr">
        <is>
          <t>Déchets dangereux, prévention de la pollution (PPC 2.1, 2.2)</t>
        </is>
      </c>
      <c r="C36" s="58">
        <f>'Entrées'!$C$514*1000</f>
        <v/>
      </c>
      <c r="D36" s="58">
        <f>'Entrées'!$C$515*1000</f>
        <v/>
      </c>
      <c r="E36" s="58">
        <f>'Entrées'!$C$516*1000</f>
        <v/>
      </c>
      <c r="F36" s="58">
        <f>'Entrées'!$C$517*1000</f>
        <v/>
      </c>
      <c r="G36" s="63">
        <f>IF(E36&gt;0,F36/E36,"")</f>
        <v/>
      </c>
      <c r="H36" s="63">
        <f>F36/$F$41</f>
        <v/>
      </c>
      <c r="I36" s="22" t="inlineStr">
        <is>
          <t>F509, F510, F511, F512</t>
        </is>
      </c>
    </row>
    <row r="37">
      <c r="A37" s="2" t="n"/>
      <c r="B37" s="5" t="inlineStr">
        <is>
          <t>Énergie produite et distribuée</t>
        </is>
      </c>
      <c r="C37" s="58">
        <f>'Entrées'!$C$518*1000</f>
        <v/>
      </c>
      <c r="D37" s="58">
        <f>'Entrées'!$C$519*1000</f>
        <v/>
      </c>
      <c r="E37" s="58">
        <f>'Entrées'!$C$520*1000</f>
        <v/>
      </c>
      <c r="F37" s="58">
        <f>'Entrées'!$C$521*1000</f>
        <v/>
      </c>
      <c r="G37" s="63">
        <f>IF(E37&gt;0,F37/E37,"")</f>
        <v/>
      </c>
      <c r="H37" s="63">
        <f>F37/$F$41</f>
        <v/>
      </c>
      <c r="I37" s="22" t="inlineStr">
        <is>
          <t>F513, F514, F515, F516</t>
        </is>
      </c>
    </row>
    <row r="38">
      <c r="A38" s="2" t="n"/>
      <c r="B38" s="5" t="inlineStr">
        <is>
          <t>Services énergétiques aux infrastructures</t>
        </is>
      </c>
      <c r="C38" s="58">
        <f>'Entrées'!$C$522*1000</f>
        <v/>
      </c>
      <c r="D38" s="58">
        <f>'Entrées'!$C$523*1000</f>
        <v/>
      </c>
      <c r="E38" s="58">
        <f>'Entrées'!$C$524*1000</f>
        <v/>
      </c>
      <c r="F38" s="58">
        <f>'Entrées'!$C$525*1000</f>
        <v/>
      </c>
      <c r="G38" s="63">
        <f>IF(E38&gt;0,F38/E38,"")</f>
        <v/>
      </c>
      <c r="H38" s="63">
        <f>F38/$F$41</f>
        <v/>
      </c>
      <c r="I38" s="22" t="inlineStr">
        <is>
          <t>F517, F518, F519, F520</t>
        </is>
      </c>
    </row>
    <row r="39">
      <c r="A39" s="2" t="n"/>
      <c r="B39" s="5" t="inlineStr">
        <is>
          <t>Autres activités éligibles</t>
        </is>
      </c>
      <c r="C39" s="58">
        <f>'Entrées'!$C$526*1000</f>
        <v/>
      </c>
      <c r="D39" s="58">
        <f>'Entrées'!$C$527*1000</f>
        <v/>
      </c>
      <c r="E39" s="58">
        <f>'Entrées'!$C$528*1000</f>
        <v/>
      </c>
      <c r="F39" s="58">
        <f>'Entrées'!$C$529*1000</f>
        <v/>
      </c>
      <c r="G39" s="63">
        <f>IF(E39&gt;0,F39/E39,"")</f>
        <v/>
      </c>
      <c r="H39" s="63">
        <f>F39/$F$41</f>
        <v/>
      </c>
      <c r="I39" s="22" t="inlineStr">
        <is>
          <t>F521, F522, F523, F524</t>
        </is>
      </c>
    </row>
    <row r="40">
      <c r="A40" s="2" t="n"/>
      <c r="B40" s="20" t="inlineStr">
        <is>
          <t>Somme des secteurs</t>
        </is>
      </c>
      <c r="C40" s="42">
        <f>SUM(C34:C39)</f>
        <v/>
      </c>
      <c r="D40" s="42">
        <f>SUM(D34:D39)</f>
        <v/>
      </c>
      <c r="E40" s="42">
        <f>SUM(E34:E39)</f>
        <v/>
      </c>
      <c r="F40" s="42">
        <f>SUM(F34:F39)</f>
        <v/>
      </c>
      <c r="G40" s="2" t="n"/>
      <c r="H40" s="2" t="n"/>
      <c r="I40" s="2" t="n"/>
    </row>
    <row r="41">
      <c r="A41" s="2" t="n"/>
      <c r="B41" s="20" t="inlineStr">
        <is>
          <t>Total publié par Veolia (éligible ; éligible et aligné)</t>
        </is>
      </c>
      <c r="C41" s="65">
        <f>'Entrées'!$C$494*1000</f>
        <v/>
      </c>
      <c r="D41" s="65">
        <f>'Entrées'!$C$495*1000</f>
        <v/>
      </c>
      <c r="E41" s="65">
        <f>'Entrées'!$C$497*1000</f>
        <v/>
      </c>
      <c r="F41" s="65">
        <f>'Entrées'!$C$498*1000</f>
        <v/>
      </c>
      <c r="G41" s="2" t="n"/>
      <c r="H41" s="2" t="n"/>
      <c r="I41" s="2" t="n"/>
    </row>
    <row r="42">
      <c r="A42" s="2" t="n"/>
      <c r="B42" s="5" t="inlineStr">
        <is>
          <t>Capex total du groupe (base taxonomie)</t>
        </is>
      </c>
      <c r="C42" s="61">
        <f>'Entrées'!$C$496*1000</f>
        <v/>
      </c>
      <c r="D42" s="22" t="inlineStr">
        <is>
          <t>M EUR</t>
        </is>
      </c>
      <c r="E42" s="22" t="inlineStr">
        <is>
          <t>F491</t>
        </is>
      </c>
      <c r="F42" s="2" t="n"/>
      <c r="G42" s="2" t="n"/>
      <c r="H42" s="2" t="n"/>
      <c r="I42" s="2" t="n"/>
    </row>
    <row r="43">
      <c r="A43" s="2" t="n"/>
      <c r="B43" s="20" t="inlineStr">
        <is>
          <t>Part du capex éligible et aligné, recalculée</t>
        </is>
      </c>
      <c r="C43" s="38">
        <f>F41/C42</f>
        <v/>
      </c>
      <c r="D43" s="22" t="inlineStr">
        <is>
          <t>%</t>
        </is>
      </c>
      <c r="E43" s="22" t="inlineStr">
        <is>
          <t>aligné / total</t>
        </is>
      </c>
      <c r="F43" s="2" t="n"/>
      <c r="G43" s="2" t="n"/>
      <c r="H43" s="2" t="n"/>
      <c r="I43" s="2" t="n"/>
    </row>
    <row r="44">
      <c r="A44" s="2" t="n"/>
      <c r="B44" s="5" t="inlineStr">
        <is>
          <t>… publiée</t>
        </is>
      </c>
      <c r="C44" s="63">
        <f>'Entrées'!$C$504/100</f>
        <v/>
      </c>
      <c r="D44" s="22" t="inlineStr">
        <is>
          <t>%</t>
        </is>
      </c>
      <c r="E44" s="22" t="inlineStr">
        <is>
          <t>F499</t>
        </is>
      </c>
      <c r="F44" s="2" t="n"/>
      <c r="G44" s="2" t="n"/>
      <c r="H44" s="2" t="n"/>
      <c r="I44" s="2" t="n"/>
    </row>
    <row r="45">
      <c r="A45" s="2" t="n"/>
      <c r="B45" s="5" t="inlineStr">
        <is>
          <t>Capex aligné 2024, pour mémoire (total 2024 : 4,1 Md€)</t>
        </is>
      </c>
      <c r="C45" s="61">
        <f>'Entrées'!$C$501*1000</f>
        <v/>
      </c>
      <c r="D45" s="22" t="inlineStr">
        <is>
          <t>M EUR</t>
        </is>
      </c>
      <c r="E45" s="22" t="inlineStr">
        <is>
          <t>F496, F494</t>
        </is>
      </c>
      <c r="F45" s="2" t="n"/>
      <c r="G45" s="2" t="n"/>
      <c r="H45" s="2" t="n"/>
      <c r="I45" s="2" t="n"/>
    </row>
    <row r="46">
      <c r="A46" s="2" t="n"/>
      <c r="B46" s="20" t="inlineStr">
        <is>
          <t>Déchets dangereux (PPC) : part du capex aligné du groupe</t>
        </is>
      </c>
      <c r="C46" s="38">
        <f>F36/F41</f>
        <v/>
      </c>
      <c r="D46" s="22" t="inlineStr">
        <is>
          <t>%</t>
        </is>
      </c>
      <c r="E46" s="22" t="inlineStr"/>
      <c r="F46" s="2" t="n"/>
      <c r="G46" s="2" t="n"/>
      <c r="H46" s="2" t="n"/>
      <c r="I46" s="2" t="n"/>
    </row>
    <row r="47">
      <c r="A47" s="2" t="n"/>
      <c r="B47" s="20" t="inlineStr">
        <is>
          <t>Déchets dangereux (PPC) : capex aligné / éligible</t>
        </is>
      </c>
      <c r="C47" s="38">
        <f>G36</f>
        <v/>
      </c>
      <c r="D47" s="22" t="inlineStr">
        <is>
          <t>%</t>
        </is>
      </c>
      <c r="E47" s="22" t="inlineStr"/>
      <c r="F47" s="2" t="n"/>
      <c r="G47" s="2" t="n"/>
      <c r="H47" s="2" t="n"/>
      <c r="I47" s="2" t="n"/>
    </row>
    <row r="48">
      <c r="A48" s="2" t="n"/>
      <c r="B48" s="5" t="inlineStr">
        <is>
          <t>Capex non éligible (hors taxonomie)</t>
        </is>
      </c>
      <c r="C48" s="61">
        <f>C42-E41</f>
        <v/>
      </c>
      <c r="D48" s="22" t="inlineStr">
        <is>
          <t>M EUR</t>
        </is>
      </c>
      <c r="E48" s="22" t="inlineStr">
        <is>
          <t>total − éligible</t>
        </is>
      </c>
      <c r="F48" s="2" t="n"/>
      <c r="G48" s="2" t="n"/>
      <c r="H48" s="2" t="n"/>
      <c r="I48" s="2" t="n"/>
    </row>
    <row r="49" ht="58" customHeight="1">
      <c r="A49" s="2" t="n"/>
      <c r="B49" s="66" t="inlineStr">
        <is>
          <t>Lecture : près de la moitié du capex du groupe est « vert » au sens de la taxonomie, et l'eau en porte la plus grande part. Les déchets dangereux sont une petite ligne (0,3 Md€ alignés) mais la mieux alignée de toutes. Ce que la taxonomie ne dit pas, et que la question 3 du cours demande : l'impact par euro (tonnes traitées, CO2 évité, m³ économisés par M€ investi). Veolia publie ses KPI au niveau du groupe, pas par booster : c'est une question pour le 16 octobre, pas un calcul.</t>
        </is>
      </c>
      <c r="C49" s="2" t="n"/>
      <c r="D49" s="2" t="n"/>
      <c r="E49" s="2" t="n"/>
      <c r="F49" s="2" t="n"/>
      <c r="G49" s="2" t="n"/>
      <c r="H49" s="2" t="n"/>
      <c r="I49" s="2" t="n"/>
    </row>
  </sheetData>
  <mergeCells count="2">
    <mergeCell ref="B30:F30"/>
    <mergeCell ref="B49:I49"/>
  </mergeCells>
  <pageMargins left="0.75" right="0.75" top="1" bottom="1" header="0.5" footer="0.5"/>
  <pageSetup orientation="landscape" paperSize="9" fitToHeight="0" fitToWidth="1"/>
</worksheet>
</file>

<file path=xl/worksheets/sheet14.xml><?xml version="1.0" encoding="utf-8"?>
<worksheet xmlns="http://schemas.openxmlformats.org/spreadsheetml/2006/main">
  <sheetPr>
    <outlinePr summaryBelow="1" summaryRight="1"/>
    <pageSetUpPr fitToPage="1"/>
  </sheetPr>
  <dimension ref="A1:I60"/>
  <sheetViews>
    <sheetView showGridLines="0" workbookViewId="0">
      <selection activeCell="A1" sqref="A1"/>
    </sheetView>
  </sheetViews>
  <sheetFormatPr baseColWidth="8" defaultRowHeight="15"/>
  <cols>
    <col width="4" customWidth="1" min="1" max="1"/>
    <col width="46" customWidth="1" min="2" max="2"/>
    <col width="14" customWidth="1" min="3" max="3"/>
    <col width="16" customWidth="1" min="4" max="4"/>
    <col width="16" customWidth="1" min="5" max="5"/>
    <col width="16" customWidth="1" min="6" max="6"/>
    <col width="18" customWidth="1" min="7" max="7"/>
    <col width="46" customWidth="1" min="8" max="8"/>
    <col width="7" customWidth="1" min="9" max="9"/>
  </cols>
  <sheetData>
    <row r="1">
      <c r="A1" s="1" t="inlineStr">
        <is>
          <t>Rôle 6 — Calibrer la recommandation sur l'enveloppe</t>
        </is>
      </c>
      <c r="B1" s="2" t="n"/>
      <c r="C1" s="2" t="n"/>
      <c r="D1" s="2" t="n"/>
      <c r="E1" s="2" t="n"/>
      <c r="F1" s="2" t="n"/>
      <c r="G1" s="2" t="n"/>
      <c r="H1" s="2" t="n"/>
      <c r="I1" s="2" t="n"/>
    </row>
    <row r="2">
      <c r="A2" s="3" t="inlineStr">
        <is>
          <t>Taille maximale d'une acquisition payée fin 2027 sans dépasser le plafond : marge / (1 − plafond / multiple).</t>
        </is>
      </c>
      <c r="B2" s="2" t="n"/>
      <c r="C2" s="2" t="n"/>
      <c r="D2" s="2" t="n"/>
      <c r="E2" s="2" t="n"/>
      <c r="F2" s="2" t="n"/>
      <c r="G2" s="2" t="n"/>
      <c r="H2" s="2" t="n"/>
      <c r="I2" s="2" t="n"/>
    </row>
    <row r="3">
      <c r="A3" s="2" t="n"/>
      <c r="B3" s="2" t="n"/>
      <c r="C3" s="2" t="n"/>
      <c r="D3" s="2" t="n"/>
      <c r="E3" s="2" t="n"/>
      <c r="F3" s="2" t="n"/>
      <c r="G3" s="2" t="n"/>
      <c r="H3" s="2" t="n"/>
      <c r="I3" s="2" t="n"/>
    </row>
    <row r="4">
      <c r="A4" s="20" t="inlineStr">
        <is>
          <t>A</t>
        </is>
      </c>
      <c r="B4" s="20" t="inlineStr">
        <is>
          <t>Capacité selon le multiple payé et le scénario</t>
        </is>
      </c>
      <c r="C4" s="2" t="n"/>
      <c r="D4" s="2" t="n"/>
      <c r="E4" s="2" t="n"/>
      <c r="F4" s="2" t="n"/>
      <c r="G4" s="2" t="n"/>
      <c r="H4" s="2" t="n"/>
      <c r="I4" s="2" t="n"/>
    </row>
    <row r="5">
      <c r="A5" s="19" t="inlineStr"/>
      <c r="B5" s="19" t="inlineStr">
        <is>
          <t>Multiple VE / EBITDA payé</t>
        </is>
      </c>
      <c r="C5" s="19" t="inlineStr">
        <is>
          <t>Défavorable</t>
        </is>
      </c>
      <c r="D5" s="19" t="inlineStr">
        <is>
          <t>Central</t>
        </is>
      </c>
      <c r="E5" s="19" t="inlineStr">
        <is>
          <t>Favorable</t>
        </is>
      </c>
      <c r="F5" s="19" t="inlineStr">
        <is>
          <t>Note</t>
        </is>
      </c>
      <c r="G5" s="2" t="n"/>
      <c r="H5" s="2" t="n"/>
      <c r="I5" s="2" t="n"/>
    </row>
    <row r="6">
      <c r="A6" s="2" t="n"/>
      <c r="B6" s="5" t="inlineStr">
        <is>
          <t>Marge de manœuvre fin 2027 sous le levier ≤ 3x (M EUR)</t>
        </is>
      </c>
      <c r="C6" s="58">
        <f>'Trajectoire'!$AE$47</f>
        <v/>
      </c>
      <c r="D6" s="58">
        <f>'Trajectoire'!$D$47</f>
        <v/>
      </c>
      <c r="E6" s="58">
        <f>'Trajectoire'!$AF$47</f>
        <v/>
      </c>
      <c r="F6" s="22" t="inlineStr"/>
      <c r="G6" s="2" t="n"/>
      <c r="H6" s="2" t="n"/>
      <c r="I6" s="2" t="n"/>
    </row>
    <row r="7">
      <c r="A7" s="2" t="n"/>
      <c r="B7" s="5" t="inlineStr">
        <is>
          <t>Marge fin 2027 sous le seuil S&amp;P (FFO / dette ≥ 18 %)</t>
        </is>
      </c>
      <c r="C7" s="58">
        <f>'Trajectoire'!$AE$58</f>
        <v/>
      </c>
      <c r="D7" s="58">
        <f>'Trajectoire'!$D$58</f>
        <v/>
      </c>
      <c r="E7" s="58">
        <f>'Trajectoire'!$AF$58</f>
        <v/>
      </c>
      <c r="F7" s="22" t="inlineStr"/>
      <c r="G7" s="2" t="n"/>
      <c r="H7" s="2" t="n"/>
      <c r="I7" s="2" t="n"/>
    </row>
    <row r="8">
      <c r="A8" s="2" t="n"/>
      <c r="B8" s="20" t="inlineStr">
        <is>
          <t>Marge contraignante fin 2027 (la plus petite des deux)</t>
        </is>
      </c>
      <c r="C8" s="65">
        <f>'Trajectoire'!$AE$59</f>
        <v/>
      </c>
      <c r="D8" s="65">
        <f>'Trajectoire'!$D$59</f>
        <v/>
      </c>
      <c r="E8" s="65">
        <f>'Trajectoire'!$AF$59</f>
        <v/>
      </c>
      <c r="F8" s="22" t="inlineStr">
        <is>
          <t>la grille ci-dessous part de cette ligne</t>
        </is>
      </c>
      <c r="G8" s="2" t="n"/>
      <c r="H8" s="2" t="n"/>
      <c r="I8" s="2" t="n"/>
    </row>
    <row r="9">
      <c r="A9" s="2" t="n"/>
      <c r="B9" s="44" t="n">
        <v>8</v>
      </c>
      <c r="C9" s="61">
        <f>IF($B9&gt;'Hypothèses'!$J$26,MAX(0,C$8)/(1-'Hypothèses'!$J$26/$B9),0)</f>
        <v/>
      </c>
      <c r="D9" s="61">
        <f>IF($B9&gt;'Hypothèses'!$J$26,MAX(0,D$8)/(1-'Hypothèses'!$J$26/$B9),0)</f>
        <v/>
      </c>
      <c r="E9" s="61">
        <f>IF($B9&gt;'Hypothèses'!$J$26,MAX(0,E$8)/(1-'Hypothèses'!$J$26/$B9),0)</f>
        <v/>
      </c>
      <c r="F9" s="22" t="inlineStr">
        <is>
          <t>bas de marché supposé</t>
        </is>
      </c>
      <c r="G9" s="2" t="n"/>
      <c r="H9" s="2" t="n"/>
      <c r="I9" s="2" t="n"/>
    </row>
    <row r="10">
      <c r="A10" s="2" t="n"/>
      <c r="B10" s="86">
        <f>'Entrées'!$C$53</f>
        <v/>
      </c>
      <c r="C10" s="61">
        <f>IF($B10&gt;'Hypothèses'!$J$26,MAX(0,C$8)/(1-'Hypothèses'!$J$26/$B10),0)</f>
        <v/>
      </c>
      <c r="D10" s="61">
        <f>IF($B10&gt;'Hypothèses'!$J$26,MAX(0,D$8)/(1-'Hypothèses'!$J$26/$B10),0)</f>
        <v/>
      </c>
      <c r="E10" s="61">
        <f>IF($B10&gt;'Hypothèses'!$J$26,MAX(0,E$8)/(1-'Hypothèses'!$J$26/$B10),0)</f>
        <v/>
      </c>
      <c r="F10" s="22" t="inlineStr">
        <is>
          <t>Clean Earth après synergies</t>
        </is>
      </c>
      <c r="G10" s="2" t="n"/>
      <c r="H10" s="2" t="n"/>
      <c r="I10" s="2" t="n"/>
    </row>
    <row r="11">
      <c r="A11" s="2" t="n"/>
      <c r="B11" s="44" t="n">
        <v>12</v>
      </c>
      <c r="C11" s="61">
        <f>IF($B11&gt;'Hypothèses'!$J$26,MAX(0,C$8)/(1-'Hypothèses'!$J$26/$B11),0)</f>
        <v/>
      </c>
      <c r="D11" s="61">
        <f>IF($B11&gt;'Hypothèses'!$J$26,MAX(0,D$8)/(1-'Hypothèses'!$J$26/$B11),0)</f>
        <v/>
      </c>
      <c r="E11" s="61">
        <f>IF($B11&gt;'Hypothèses'!$J$26,MAX(0,E$8)/(1-'Hypothèses'!$J$26/$B11),0)</f>
        <v/>
      </c>
      <c r="F11" s="22" t="inlineStr">
        <is>
          <t>hypothèse</t>
        </is>
      </c>
      <c r="G11" s="2" t="n"/>
      <c r="H11" s="2" t="n"/>
      <c r="I11" s="2" t="n"/>
    </row>
    <row r="12">
      <c r="A12" s="2" t="n"/>
      <c r="B12" s="86">
        <f>'Entrées'!$C$51*1000/'Entrées'!$C$56</f>
        <v/>
      </c>
      <c r="C12" s="61">
        <f>IF($B12&gt;'Hypothèses'!$J$26,MAX(0,C$8)/(1-'Hypothèses'!$J$26/$B12),0)</f>
        <v/>
      </c>
      <c r="D12" s="61">
        <f>IF($B12&gt;'Hypothèses'!$J$26,MAX(0,D$8)/(1-'Hypothèses'!$J$26/$B12),0)</f>
        <v/>
      </c>
      <c r="E12" s="61">
        <f>IF($B12&gt;'Hypothèses'!$J$26,MAX(0,E$8)/(1-'Hypothèses'!$J$26/$B12),0)</f>
        <v/>
      </c>
      <c r="F12" s="22" t="inlineStr">
        <is>
          <t>Clean Earth avant synergies (VE / EBITDA 2026E)</t>
        </is>
      </c>
      <c r="G12" s="2" t="n"/>
      <c r="H12" s="2" t="n"/>
      <c r="I12" s="2" t="n"/>
    </row>
    <row r="13">
      <c r="A13" s="2" t="n"/>
      <c r="B13" s="3" t="inlineStr">
        <is>
          <t>Une marge négative donne 0 : il n'y a alors aucune place sans cession supplémentaire ou levée de fonds propres.</t>
        </is>
      </c>
      <c r="C13" s="2" t="n"/>
      <c r="D13" s="2" t="n"/>
      <c r="E13" s="2" t="n"/>
      <c r="F13" s="2" t="n"/>
      <c r="G13" s="2" t="n"/>
      <c r="H13" s="2" t="n"/>
      <c r="I13" s="2" t="n"/>
    </row>
    <row r="14">
      <c r="A14" s="2" t="n"/>
      <c r="B14" s="2" t="n"/>
      <c r="C14" s="2" t="n"/>
      <c r="D14" s="2" t="n"/>
      <c r="E14" s="2" t="n"/>
      <c r="F14" s="2" t="n"/>
      <c r="G14" s="2" t="n"/>
      <c r="H14" s="2" t="n"/>
      <c r="I14" s="2" t="n"/>
    </row>
    <row r="15">
      <c r="A15" s="20" t="inlineStr">
        <is>
          <t>B</t>
        </is>
      </c>
      <c r="B15" s="20" t="inlineStr">
        <is>
          <t>Le multiple de Clean Earth se recalcule-t-il ?</t>
        </is>
      </c>
      <c r="C15" s="2" t="n"/>
      <c r="D15" s="2" t="n"/>
      <c r="E15" s="2" t="n"/>
      <c r="F15" s="2" t="n"/>
      <c r="G15" s="2" t="n"/>
      <c r="H15" s="2" t="n"/>
      <c r="I15" s="2" t="n"/>
    </row>
    <row r="16">
      <c r="A16" s="2" t="n"/>
      <c r="B16" s="5" t="inlineStr">
        <is>
          <t>Valeur d'entreprise</t>
        </is>
      </c>
      <c r="C16" s="61">
        <f>'Entrées'!$C$51*1000</f>
        <v/>
      </c>
      <c r="D16" s="22" t="inlineStr">
        <is>
          <t>M USD</t>
        </is>
      </c>
      <c r="E16" s="22" t="inlineStr">
        <is>
          <t>F46</t>
        </is>
      </c>
      <c r="F16" s="2" t="n"/>
      <c r="G16" s="2" t="n"/>
      <c r="H16" s="2" t="n"/>
      <c r="I16" s="2" t="n"/>
    </row>
    <row r="17">
      <c r="A17" s="2" t="n"/>
      <c r="B17" s="5" t="inlineStr">
        <is>
          <t>EBITDA 2026E</t>
        </is>
      </c>
      <c r="C17" s="58">
        <f>'Entrées'!$C$56</f>
        <v/>
      </c>
      <c r="D17" s="22" t="inlineStr">
        <is>
          <t>M USD</t>
        </is>
      </c>
      <c r="E17" s="22" t="inlineStr">
        <is>
          <t>F51</t>
        </is>
      </c>
      <c r="F17" s="2" t="n"/>
      <c r="G17" s="2" t="n"/>
      <c r="H17" s="2" t="n"/>
      <c r="I17" s="2" t="n"/>
    </row>
    <row r="18">
      <c r="A18" s="2" t="n"/>
      <c r="B18" s="5" t="inlineStr">
        <is>
          <t>Synergies en régime de croisière</t>
        </is>
      </c>
      <c r="C18" s="58">
        <f>'Entrées'!$C$54</f>
        <v/>
      </c>
      <c r="D18" s="22" t="inlineStr">
        <is>
          <t>M USD</t>
        </is>
      </c>
      <c r="E18" s="22" t="inlineStr">
        <is>
          <t>F49</t>
        </is>
      </c>
      <c r="F18" s="2" t="n"/>
      <c r="G18" s="2" t="n"/>
      <c r="H18" s="2" t="n"/>
      <c r="I18" s="2" t="n"/>
    </row>
    <row r="19">
      <c r="A19" s="2" t="n"/>
      <c r="B19" s="20" t="inlineStr">
        <is>
          <t>Multiple avant synergies recalculé</t>
        </is>
      </c>
      <c r="C19" s="45">
        <f>C16/C17</f>
        <v/>
      </c>
      <c r="D19" s="22" t="inlineStr">
        <is>
          <t>x</t>
        </is>
      </c>
      <c r="E19" s="22" t="inlineStr"/>
      <c r="F19" s="2" t="n"/>
      <c r="G19" s="2" t="n"/>
      <c r="H19" s="2" t="n"/>
      <c r="I19" s="2" t="n"/>
    </row>
    <row r="20">
      <c r="A20" s="2" t="n"/>
      <c r="B20" s="20" t="inlineStr">
        <is>
          <t>Multiple après synergies recalculé</t>
        </is>
      </c>
      <c r="C20" s="45">
        <f>C16/(C17+C18)</f>
        <v/>
      </c>
      <c r="D20" s="22" t="inlineStr">
        <is>
          <t>x</t>
        </is>
      </c>
      <c r="E20" s="22" t="inlineStr"/>
      <c r="F20" s="2" t="n"/>
      <c r="G20" s="2" t="n"/>
      <c r="H20" s="2" t="n"/>
      <c r="I20" s="2" t="n"/>
    </row>
    <row r="21">
      <c r="A21" s="2" t="n"/>
      <c r="B21" s="5" t="inlineStr">
        <is>
          <t>Multiple publié après synergies</t>
        </is>
      </c>
      <c r="C21" s="86">
        <f>'Entrées'!$C$53</f>
        <v/>
      </c>
      <c r="D21" s="22" t="inlineStr">
        <is>
          <t>x</t>
        </is>
      </c>
      <c r="E21" s="22" t="inlineStr">
        <is>
          <t>F48</t>
        </is>
      </c>
      <c r="F21" s="2" t="n"/>
      <c r="G21" s="2" t="n"/>
      <c r="H21" s="2" t="n"/>
      <c r="I21" s="2" t="n"/>
    </row>
    <row r="22" ht="30" customHeight="1">
      <c r="A22" s="2" t="n"/>
      <c r="B22" s="66" t="inlineStr">
        <is>
          <t>Écart à expliquer : le 9,8x publié ne se retrouve pas avec 3,0 Md$ / (200 + 120). Base d'EBITDA différente (pré IFRS 16 ?) ou synergies nettes des coûts ? Question pour le rôle 6.</t>
        </is>
      </c>
      <c r="C22" s="2" t="n"/>
      <c r="D22" s="2" t="n"/>
      <c r="E22" s="2" t="n"/>
      <c r="F22" s="2" t="n"/>
      <c r="G22" s="2" t="n"/>
      <c r="H22" s="2" t="n"/>
      <c r="I22" s="2" t="n"/>
    </row>
    <row r="23">
      <c r="A23" s="2" t="n"/>
      <c r="B23" s="2" t="n"/>
      <c r="C23" s="2" t="n"/>
      <c r="D23" s="2" t="n"/>
      <c r="E23" s="2" t="n"/>
      <c r="F23" s="2" t="n"/>
      <c r="G23" s="2" t="n"/>
      <c r="H23" s="2" t="n"/>
      <c r="I23" s="2" t="n"/>
    </row>
    <row r="24">
      <c r="A24" s="20" t="inlineStr">
        <is>
          <t>D</t>
        </is>
      </c>
      <c r="B24" s="20" t="inlineStr">
        <is>
          <t>Les multiples que Veolia dit avoir payés (2024-2026)</t>
        </is>
      </c>
      <c r="C24" s="2" t="n"/>
      <c r="D24" s="2" t="n"/>
      <c r="E24" s="2" t="n"/>
      <c r="F24" s="2" t="n"/>
      <c r="G24" s="2" t="n"/>
      <c r="H24" s="2" t="n"/>
      <c r="I24" s="2" t="n"/>
    </row>
    <row r="25">
      <c r="A25" s="19" t="inlineStr"/>
      <c r="B25" s="19" t="inlineStr">
        <is>
          <t>Opération</t>
        </is>
      </c>
      <c r="C25" s="19" t="inlineStr">
        <is>
          <t>Multiple VE / EBITDA</t>
        </is>
      </c>
      <c r="D25" s="19" t="inlineStr">
        <is>
          <t>Base</t>
        </is>
      </c>
      <c r="E25" s="19" t="inlineStr">
        <is>
          <t>Réf.</t>
        </is>
      </c>
      <c r="F25" s="19" t="inlineStr">
        <is>
          <t>Source</t>
        </is>
      </c>
      <c r="G25" s="2" t="n"/>
      <c r="H25" s="2" t="n"/>
      <c r="I25" s="2" t="n"/>
    </row>
    <row r="26">
      <c r="A26" s="2" t="n"/>
      <c r="B26" s="5" t="inlineStr">
        <is>
          <t>Tuck-ins en Espagne, 13 opérations, 87 M€ de VE (2024-2025)</t>
        </is>
      </c>
      <c r="C26" s="86">
        <f>'Entrées'!$C$450</f>
        <v/>
      </c>
      <c r="D26" s="22" t="inlineStr">
        <is>
          <t>moyenne publiée</t>
        </is>
      </c>
      <c r="E26" s="22" t="inlineStr">
        <is>
          <t>F445</t>
        </is>
      </c>
      <c r="F26" s="22" t="inlineStr">
        <is>
          <t>Résultats 2025, p.19</t>
        </is>
      </c>
      <c r="G26" s="2" t="n"/>
      <c r="H26" s="2" t="n"/>
      <c r="I26" s="2" t="n"/>
    </row>
    <row r="27">
      <c r="A27" s="2" t="n"/>
      <c r="B27" s="5" t="inlineStr">
        <is>
          <t>Tuck-ins 2025 : États-Unis, Brésil, Japon (370 M€)</t>
        </is>
      </c>
      <c r="C27" s="86">
        <f>'Entrées'!$C$477</f>
        <v/>
      </c>
      <c r="D27" s="22" t="inlineStr">
        <is>
          <t>moyenne publiée, environ</t>
        </is>
      </c>
      <c r="E27" s="22" t="inlineStr">
        <is>
          <t>F472</t>
        </is>
      </c>
      <c r="F27" s="22" t="inlineStr">
        <is>
          <t>Résultats 2025, p.11</t>
        </is>
      </c>
      <c r="G27" s="2" t="n"/>
      <c r="H27" s="2" t="n"/>
      <c r="I27" s="2" t="n"/>
    </row>
    <row r="28">
      <c r="A28" s="2" t="n"/>
      <c r="B28" s="5" t="inlineStr">
        <is>
          <t>Clean Earth, après synergies en régime de croisière</t>
        </is>
      </c>
      <c r="C28" s="86">
        <f>'Entrées'!$C$53</f>
        <v/>
      </c>
      <c r="D28" s="22" t="inlineStr">
        <is>
          <t>VE / EBITDA 2026e + synergies</t>
        </is>
      </c>
      <c r="E28" s="22" t="inlineStr">
        <is>
          <t>F48</t>
        </is>
      </c>
      <c r="F28" s="22" t="inlineStr">
        <is>
          <t>Présentation Clean Earth</t>
        </is>
      </c>
      <c r="G28" s="2" t="n"/>
      <c r="H28" s="2" t="n"/>
      <c r="I28" s="2" t="n"/>
    </row>
    <row r="29">
      <c r="A29" s="2" t="n"/>
      <c r="B29" s="5" t="inlineStr">
        <is>
          <t>WTS, rachat des 30 % (1,75 Md$)</t>
        </is>
      </c>
      <c r="C29" s="86">
        <f>'Entrées'!$C$478</f>
        <v/>
      </c>
      <c r="D29" s="22" t="inlineStr">
        <is>
          <t>VE / EBITDA 2025e après synergies, environ</t>
        </is>
      </c>
      <c r="E29" s="22" t="inlineStr">
        <is>
          <t>F473</t>
        </is>
      </c>
      <c r="F29" s="22" t="inlineStr">
        <is>
          <t>Résultats T1 2025, p.11</t>
        </is>
      </c>
      <c r="G29" s="2" t="n"/>
      <c r="H29" s="2" t="n"/>
      <c r="I29" s="2" t="n"/>
    </row>
    <row r="30">
      <c r="A30" s="2" t="n"/>
      <c r="B30" s="5" t="inlineStr">
        <is>
          <t>Clean Earth, avant synergies (recalculé)</t>
        </is>
      </c>
      <c r="C30" s="86">
        <f>'Cibles'!$C$19</f>
        <v/>
      </c>
      <c r="D30" s="22" t="inlineStr">
        <is>
          <t>VE / EBITDA 2026E de Veolia</t>
        </is>
      </c>
      <c r="E30" s="22" t="inlineStr">
        <is>
          <t>§B</t>
        </is>
      </c>
      <c r="F30" s="22" t="inlineStr">
        <is>
          <t>classeur</t>
        </is>
      </c>
      <c r="G30" s="2" t="n"/>
      <c r="H30" s="2" t="n"/>
      <c r="I30" s="2" t="n"/>
    </row>
    <row r="31">
      <c r="A31" s="2" t="n"/>
      <c r="B31" s="5" t="inlineStr">
        <is>
          <t>Clean Earth, sur l'EBITDA 2025 du vendeur (recalculé)</t>
        </is>
      </c>
      <c r="C31" s="86">
        <f>'Booster'!$C$52</f>
        <v/>
      </c>
      <c r="D31" s="22" t="inlineStr">
        <is>
          <t>VE / EBITDA 2025 reconstitué d'Enviri</t>
        </is>
      </c>
      <c r="E31" s="22" t="inlineStr">
        <is>
          <t>Booster §E</t>
        </is>
      </c>
      <c r="F31" s="22" t="inlineStr">
        <is>
          <t>classeur</t>
        </is>
      </c>
      <c r="G31" s="2" t="n"/>
      <c r="H31" s="2" t="n"/>
      <c r="I31" s="2" t="n"/>
    </row>
    <row r="32">
      <c r="A32" s="2" t="n"/>
      <c r="B32" s="20" t="inlineStr">
        <is>
          <t>Le moins cher payé (après synergies, tel que publié)</t>
        </is>
      </c>
      <c r="C32" s="45">
        <f>MIN(C26:C29)</f>
        <v/>
      </c>
      <c r="D32" s="22" t="inlineStr">
        <is>
          <t>x</t>
        </is>
      </c>
      <c r="E32" s="22" t="inlineStr">
        <is>
          <t>min des quatre multiples publiés</t>
        </is>
      </c>
      <c r="F32" s="2" t="n"/>
      <c r="G32" s="2" t="n"/>
      <c r="H32" s="2" t="n"/>
      <c r="I32" s="2" t="n"/>
    </row>
    <row r="33">
      <c r="A33" s="2" t="n"/>
      <c r="B33" s="5" t="inlineStr">
        <is>
          <t>Médiane des quatre multiples publiés</t>
        </is>
      </c>
      <c r="C33" s="87">
        <f>MEDIAN(C26:C29)</f>
        <v/>
      </c>
      <c r="D33" s="22" t="inlineStr">
        <is>
          <t>x</t>
        </is>
      </c>
      <c r="E33" s="22" t="inlineStr"/>
      <c r="F33" s="2" t="n"/>
      <c r="G33" s="2" t="n"/>
      <c r="H33" s="2" t="n"/>
      <c r="I33" s="2" t="n"/>
    </row>
    <row r="34">
      <c r="A34" s="2" t="n"/>
      <c r="B34" s="20" t="inlineStr">
        <is>
          <t>Le plus cher payé (après synergies, tel que publié)</t>
        </is>
      </c>
      <c r="C34" s="45">
        <f>MAX(C26:C29)</f>
        <v/>
      </c>
      <c r="D34" s="22" t="inlineStr">
        <is>
          <t>x</t>
        </is>
      </c>
      <c r="E34" s="22" t="inlineStr">
        <is>
          <t>max des quatre</t>
        </is>
      </c>
      <c r="F34" s="2" t="n"/>
      <c r="G34" s="2" t="n"/>
      <c r="H34" s="2" t="n"/>
      <c r="I34" s="2" t="n"/>
    </row>
    <row r="35">
      <c r="A35" s="2" t="n"/>
      <c r="B35" s="5" t="inlineStr">
        <is>
          <t>Écart avant / après synergies sur Clean Earth (recalculé)</t>
        </is>
      </c>
      <c r="C35" s="87">
        <f>C30-C28</f>
        <v/>
      </c>
      <c r="D35" s="22" t="inlineStr">
        <is>
          <t>x</t>
        </is>
      </c>
      <c r="E35" s="22" t="inlineStr">
        <is>
          <t>ce que les synergies « achètent » de multiple</t>
        </is>
      </c>
      <c r="F35" s="2" t="n"/>
      <c r="G35" s="2" t="n"/>
      <c r="H35" s="2" t="n"/>
      <c r="I35" s="2" t="n"/>
    </row>
    <row r="36" ht="44" customHeight="1">
      <c r="A36" s="2" t="n"/>
      <c r="B36" s="66" t="inlineStr">
        <is>
          <t>Lecture : Veolia publie ses multiples après synergies, entre 7x et 11x ; l'hypothèse mTuck (Hypothèses) est bornée par ces deux points, Clean Earth au centre. Avant synergies, le même Clean Earth coûte près de deux fois plus : c'est la base qu'il faut préciser à chaque comparaison — et la question à poser pour toute cible.</t>
        </is>
      </c>
      <c r="C36" s="2" t="n"/>
      <c r="D36" s="2" t="n"/>
      <c r="E36" s="2" t="n"/>
      <c r="F36" s="2" t="n"/>
      <c r="G36" s="2" t="n"/>
      <c r="H36" s="2" t="n"/>
      <c r="I36" s="2" t="n"/>
    </row>
    <row r="37">
      <c r="A37" s="2" t="n"/>
      <c r="B37" s="2" t="n"/>
      <c r="C37" s="2" t="n"/>
      <c r="D37" s="2" t="n"/>
      <c r="E37" s="2" t="n"/>
      <c r="F37" s="2" t="n"/>
      <c r="G37" s="2" t="n"/>
      <c r="H37" s="2" t="n"/>
      <c r="I37" s="2" t="n"/>
    </row>
    <row r="38">
      <c r="A38" s="20" t="inlineStr">
        <is>
          <t>E</t>
        </is>
      </c>
      <c r="B38" s="20" t="inlineStr">
        <is>
          <t>Les multiples du secteur (communiqués des acquéreurs, versés dans la dataroom)</t>
        </is>
      </c>
      <c r="C38" s="2" t="n"/>
      <c r="D38" s="2" t="n"/>
      <c r="E38" s="2" t="n"/>
      <c r="F38" s="2" t="n"/>
      <c r="G38" s="2" t="n"/>
      <c r="H38" s="2" t="n"/>
      <c r="I38" s="2" t="n"/>
    </row>
    <row r="39">
      <c r="A39" s="19" t="inlineStr"/>
      <c r="B39" s="19" t="inlineStr">
        <is>
          <t>Opération (acquéreur → cible)</t>
        </is>
      </c>
      <c r="C39" s="19" t="inlineStr">
        <is>
          <t>VE (M USD)</t>
        </is>
      </c>
      <c r="D39" s="19" t="inlineStr">
        <is>
          <t>EBITDA de référence (M USD)</t>
        </is>
      </c>
      <c r="E39" s="19" t="inlineStr">
        <is>
          <t>VE / EBITDA avant synergies</t>
        </is>
      </c>
      <c r="F39" s="19" t="inlineStr">
        <is>
          <t>Multiple publié après synergies</t>
        </is>
      </c>
      <c r="G39" s="19" t="inlineStr">
        <is>
          <t>Base de l'EBITDA</t>
        </is>
      </c>
      <c r="H39" s="19" t="inlineStr">
        <is>
          <t>Réf.</t>
        </is>
      </c>
      <c r="I39" s="2" t="n"/>
    </row>
    <row r="40">
      <c r="A40" s="2" t="n"/>
      <c r="B40" s="5" t="inlineStr">
        <is>
          <t>Clean Harbors → HEPACO (2024)</t>
        </is>
      </c>
      <c r="C40" s="58">
        <f>'Entrées'!$C$483</f>
        <v/>
      </c>
      <c r="D40" s="58">
        <f>'Entrées'!$C$484</f>
        <v/>
      </c>
      <c r="E40" s="45">
        <f>C40/D40</f>
        <v/>
      </c>
      <c r="F40" s="86">
        <f>'Entrées'!$C$488</f>
        <v/>
      </c>
      <c r="G40" s="22" t="inlineStr">
        <is>
          <t>EBITDA ajusté 2023 ; synergies ~20 M$</t>
        </is>
      </c>
      <c r="H40" s="22" t="inlineStr">
        <is>
          <t>F478, F479, F483</t>
        </is>
      </c>
      <c r="I40" s="2" t="n"/>
    </row>
    <row r="41">
      <c r="A41" s="2" t="n"/>
      <c r="B41" s="5" t="inlineStr">
        <is>
          <t>EQT → Covanta (2021)</t>
        </is>
      </c>
      <c r="C41" s="58">
        <f>'Entrées'!$C$489*1000</f>
        <v/>
      </c>
      <c r="D41" s="58">
        <f>'Entrées'!$C$491</f>
        <v/>
      </c>
      <c r="E41" s="45">
        <f>C41/D41</f>
        <v/>
      </c>
      <c r="F41" s="50" t="inlineStr">
        <is>
          <t>—</t>
        </is>
      </c>
      <c r="G41" s="22" t="inlineStr">
        <is>
          <t>bas de la fourchette d'EBITDA 2021 attendu (460-480)</t>
        </is>
      </c>
      <c r="H41" s="22" t="inlineStr">
        <is>
          <t>F484, F486</t>
        </is>
      </c>
      <c r="I41" s="2" t="n"/>
    </row>
    <row r="42">
      <c r="A42" s="2" t="n"/>
      <c r="B42" s="5" t="inlineStr">
        <is>
          <t>WM → Stericycle (2024)</t>
        </is>
      </c>
      <c r="C42" s="58">
        <f>'Entrées'!$C$479*1000</f>
        <v/>
      </c>
      <c r="D42" s="103" t="inlineStr">
        <is>
          <t>n/d</t>
        </is>
      </c>
      <c r="E42" s="50" t="inlineStr">
        <is>
          <t>—</t>
        </is>
      </c>
      <c r="F42" s="50" t="inlineStr">
        <is>
          <t>—</t>
        </is>
      </c>
      <c r="G42" s="22" t="inlineStr">
        <is>
          <t>EBITDA non publié dans le communiqué (synergies &gt; 125 M$/an)</t>
        </is>
      </c>
      <c r="H42" s="22" t="inlineStr">
        <is>
          <t>F474</t>
        </is>
      </c>
      <c r="I42" s="2" t="n"/>
    </row>
    <row r="43">
      <c r="A43" s="2" t="n"/>
      <c r="B43" s="5" t="inlineStr">
        <is>
          <t>Republic Services → US Ecology (2022)</t>
        </is>
      </c>
      <c r="C43" s="58">
        <f>'Entrées'!$C$530*1000</f>
        <v/>
      </c>
      <c r="D43" s="58">
        <f>'Entrées'!$C$532</f>
        <v/>
      </c>
      <c r="E43" s="45">
        <f>C43/D43</f>
        <v/>
      </c>
      <c r="F43" s="50" t="inlineStr">
        <is>
          <t>—</t>
        </is>
      </c>
      <c r="G43" s="22" t="inlineStr">
        <is>
          <t>EBITDA ajusté des 12 mois au 30/09/2021</t>
        </is>
      </c>
      <c r="H43" s="22" t="inlineStr">
        <is>
          <t>F525, F527</t>
        </is>
      </c>
      <c r="I43" s="2" t="n"/>
    </row>
    <row r="44">
      <c r="A44" s="2" t="n"/>
      <c r="B44" s="20" t="inlineStr">
        <is>
          <t>Secteur : multiple avant synergies le plus bas (opérations à EBITDA publié)</t>
        </is>
      </c>
      <c r="C44" s="45">
        <f>MIN(E40:E43)</f>
        <v/>
      </c>
      <c r="D44" s="22" t="inlineStr">
        <is>
          <t>x</t>
        </is>
      </c>
      <c r="E44" s="22" t="inlineStr"/>
      <c r="F44" s="2" t="n"/>
      <c r="G44" s="2" t="n"/>
      <c r="H44" s="2" t="n"/>
      <c r="I44" s="2" t="n"/>
    </row>
    <row r="45">
      <c r="A45" s="2" t="n"/>
      <c r="B45" s="20" t="inlineStr">
        <is>
          <t>Secteur : multiple avant synergies le plus haut</t>
        </is>
      </c>
      <c r="C45" s="45">
        <f>MAX(E40:E43)</f>
        <v/>
      </c>
      <c r="D45" s="22" t="inlineStr">
        <is>
          <t>x</t>
        </is>
      </c>
      <c r="E45" s="22" t="inlineStr"/>
      <c r="F45" s="2" t="n"/>
      <c r="G45" s="2" t="n"/>
      <c r="H45" s="2" t="n"/>
      <c r="I45" s="2" t="n"/>
    </row>
    <row r="46">
      <c r="A46" s="2" t="n"/>
      <c r="B46" s="20" t="inlineStr">
        <is>
          <t>Clean Earth avant synergies (recalculé) face au haut du secteur</t>
        </is>
      </c>
      <c r="C46" s="45">
        <f>'Cibles'!$C$19-'Cibles'!$C$45</f>
        <v/>
      </c>
      <c r="D46" s="22" t="inlineStr">
        <is>
          <t>x</t>
        </is>
      </c>
      <c r="E46" s="22" t="inlineStr">
        <is>
          <t>positif = Veolia a payé plus que le plus cher du secteur, avant synergies</t>
        </is>
      </c>
      <c r="F46" s="2" t="n"/>
      <c r="G46" s="2" t="n"/>
      <c r="H46" s="2" t="n"/>
      <c r="I46" s="2" t="n"/>
    </row>
    <row r="47" ht="58" customHeight="1">
      <c r="A47" s="2" t="n"/>
      <c r="B47" s="66" t="inlineStr">
        <is>
          <t>Lecture : avant synergies, le secteur paie entre 11x (HEPACO, Covanta) et 14x (US Ecology) ; après synergies, HEPACO ressort à 7,1x. Les 9,8x de Clean Earth sont dans la norme après synergies ; avant synergies (15x sur l'EBITDA 2026E de Veolia, 19x sur l'EBITDA 2025 du vendeur), ils sont au-dessus de tout ce que le secteur a payé depuis 2021. Les communiqués sont dans 05_Commercial_Strategy ; Stericycle n'a pas d'EBITDA publié dans le sien.</t>
        </is>
      </c>
      <c r="C47" s="2" t="n"/>
      <c r="D47" s="2" t="n"/>
      <c r="E47" s="2" t="n"/>
      <c r="F47" s="2" t="n"/>
      <c r="G47" s="2" t="n"/>
      <c r="H47" s="2" t="n"/>
      <c r="I47" s="2" t="n"/>
    </row>
    <row r="48">
      <c r="A48" s="2" t="n"/>
      <c r="B48" s="2" t="n"/>
      <c r="C48" s="2" t="n"/>
      <c r="D48" s="2" t="n"/>
      <c r="E48" s="2" t="n"/>
      <c r="F48" s="2" t="n"/>
      <c r="G48" s="2" t="n"/>
      <c r="H48" s="2" t="n"/>
      <c r="I48" s="2" t="n"/>
    </row>
    <row r="49">
      <c r="A49" s="20" t="inlineStr">
        <is>
          <t>C</t>
        </is>
      </c>
      <c r="B49" s="20" t="inlineStr">
        <is>
          <t>Univers de cibles — à remplir (phase F)</t>
        </is>
      </c>
      <c r="C49" s="2" t="n"/>
      <c r="D49" s="2" t="n"/>
      <c r="E49" s="2" t="n"/>
      <c r="F49" s="2" t="n"/>
      <c r="G49" s="2" t="n"/>
      <c r="H49" s="2" t="n"/>
      <c r="I49" s="2" t="n"/>
    </row>
    <row r="50">
      <c r="A50" s="19" t="inlineStr"/>
      <c r="B50" s="19" t="inlineStr">
        <is>
          <t>Cible</t>
        </is>
      </c>
      <c r="C50" s="19" t="inlineStr">
        <is>
          <t>Pays</t>
        </is>
      </c>
      <c r="D50" s="19" t="inlineStr">
        <is>
          <t>Activité DD</t>
        </is>
      </c>
      <c r="E50" s="19" t="inlineStr">
        <is>
          <t>VE estimée (M EUR)</t>
        </is>
      </c>
      <c r="F50" s="19" t="inlineStr">
        <is>
          <t>Multiple VE / EBITDA</t>
        </is>
      </c>
      <c r="G50" s="19" t="inlineStr">
        <is>
          <t>Tient dans la marge centrale ?</t>
        </is>
      </c>
      <c r="H50" s="19" t="inlineStr">
        <is>
          <t>Fichier</t>
        </is>
      </c>
      <c r="I50" s="19" t="inlineStr">
        <is>
          <t>Page</t>
        </is>
      </c>
    </row>
    <row r="51">
      <c r="A51" s="2" t="n"/>
      <c r="B51" s="113" t="inlineStr">
        <is>
          <t>Exemple : Clean Earth (pour calibrer)</t>
        </is>
      </c>
      <c r="C51" s="113" t="inlineStr">
        <is>
          <t>États-Unis</t>
        </is>
      </c>
      <c r="D51" s="113" t="inlineStr">
        <is>
          <t>TSDF, 82 sites</t>
        </is>
      </c>
      <c r="E51" s="58">
        <f>-'Entrées'!$C$81</f>
        <v/>
      </c>
      <c r="F51" s="86">
        <f>'Entrées'!$C$53</f>
        <v/>
      </c>
      <c r="G51" s="5">
        <f>IF(AND(ISNUMBER(E51),ISNUMBER(F51)),IF(E51&lt;=IF(F51&gt;'Hypothèses'!$J$26,MAX(0,$D$8)/(1-'Hypothèses'!$J$26/F51),0),"oui","non"),"")</f>
        <v/>
      </c>
      <c r="H51" s="22" t="inlineStr">
        <is>
          <t>01_Financial/veolia_finance_amendment_urd_2025.pdf</t>
        </is>
      </c>
      <c r="I51" s="22" t="n">
        <v>25</v>
      </c>
    </row>
    <row r="52">
      <c r="A52" s="2" t="n"/>
      <c r="B52" s="110" t="n"/>
      <c r="C52" s="110" t="n"/>
      <c r="D52" s="110" t="n"/>
      <c r="E52" s="43" t="n"/>
      <c r="F52" s="114" t="n"/>
      <c r="G52" s="5">
        <f>IF(AND(ISNUMBER(E52),ISNUMBER(F52)),IF(E52&lt;=IF(F52&gt;'Hypothèses'!$J$26,MAX(0,$D$8)/(1-'Hypothèses'!$J$26/F52),0),"oui","non"),"")</f>
        <v/>
      </c>
      <c r="H52" s="110" t="n"/>
      <c r="I52" s="110" t="n"/>
    </row>
    <row r="53">
      <c r="A53" s="2" t="n"/>
      <c r="B53" s="110" t="n"/>
      <c r="C53" s="110" t="n"/>
      <c r="D53" s="110" t="n"/>
      <c r="E53" s="43" t="n"/>
      <c r="F53" s="114" t="n"/>
      <c r="G53" s="5">
        <f>IF(AND(ISNUMBER(E53),ISNUMBER(F53)),IF(E53&lt;=IF(F53&gt;'Hypothèses'!$J$26,MAX(0,$D$8)/(1-'Hypothèses'!$J$26/F53),0),"oui","non"),"")</f>
        <v/>
      </c>
      <c r="H53" s="110" t="n"/>
      <c r="I53" s="110" t="n"/>
    </row>
    <row r="54">
      <c r="A54" s="2" t="n"/>
      <c r="B54" s="110" t="n"/>
      <c r="C54" s="110" t="n"/>
      <c r="D54" s="110" t="n"/>
      <c r="E54" s="43" t="n"/>
      <c r="F54" s="114" t="n"/>
      <c r="G54" s="5">
        <f>IF(AND(ISNUMBER(E54),ISNUMBER(F54)),IF(E54&lt;=IF(F54&gt;'Hypothèses'!$J$26,MAX(0,$D$8)/(1-'Hypothèses'!$J$26/F54),0),"oui","non"),"")</f>
        <v/>
      </c>
      <c r="H54" s="110" t="n"/>
      <c r="I54" s="110" t="n"/>
    </row>
    <row r="55">
      <c r="A55" s="2" t="n"/>
      <c r="B55" s="110" t="n"/>
      <c r="C55" s="110" t="n"/>
      <c r="D55" s="110" t="n"/>
      <c r="E55" s="43" t="n"/>
      <c r="F55" s="114" t="n"/>
      <c r="G55" s="5">
        <f>IF(AND(ISNUMBER(E55),ISNUMBER(F55)),IF(E55&lt;=IF(F55&gt;'Hypothèses'!$J$26,MAX(0,$D$8)/(1-'Hypothèses'!$J$26/F55),0),"oui","non"),"")</f>
        <v/>
      </c>
      <c r="H55" s="110" t="n"/>
      <c r="I55" s="110" t="n"/>
    </row>
    <row r="56">
      <c r="A56" s="2" t="n"/>
      <c r="B56" s="110" t="n"/>
      <c r="C56" s="110" t="n"/>
      <c r="D56" s="110" t="n"/>
      <c r="E56" s="43" t="n"/>
      <c r="F56" s="114" t="n"/>
      <c r="G56" s="5">
        <f>IF(AND(ISNUMBER(E56),ISNUMBER(F56)),IF(E56&lt;=IF(F56&gt;'Hypothèses'!$J$26,MAX(0,$D$8)/(1-'Hypothèses'!$J$26/F56),0),"oui","non"),"")</f>
        <v/>
      </c>
      <c r="H56" s="110" t="n"/>
      <c r="I56" s="110" t="n"/>
    </row>
    <row r="57">
      <c r="A57" s="2" t="n"/>
      <c r="B57" s="110" t="n"/>
      <c r="C57" s="110" t="n"/>
      <c r="D57" s="110" t="n"/>
      <c r="E57" s="43" t="n"/>
      <c r="F57" s="114" t="n"/>
      <c r="G57" s="5">
        <f>IF(AND(ISNUMBER(E57),ISNUMBER(F57)),IF(E57&lt;=IF(F57&gt;'Hypothèses'!$J$26,MAX(0,$D$8)/(1-'Hypothèses'!$J$26/F57),0),"oui","non"),"")</f>
        <v/>
      </c>
      <c r="H57" s="110" t="n"/>
      <c r="I57" s="110" t="n"/>
    </row>
    <row r="58">
      <c r="A58" s="2" t="n"/>
      <c r="B58" s="110" t="n"/>
      <c r="C58" s="110" t="n"/>
      <c r="D58" s="110" t="n"/>
      <c r="E58" s="43" t="n"/>
      <c r="F58" s="114" t="n"/>
      <c r="G58" s="5">
        <f>IF(AND(ISNUMBER(E58),ISNUMBER(F58)),IF(E58&lt;=IF(F58&gt;'Hypothèses'!$J$26,MAX(0,$D$8)/(1-'Hypothèses'!$J$26/F58),0),"oui","non"),"")</f>
        <v/>
      </c>
      <c r="H58" s="110" t="n"/>
      <c r="I58" s="110" t="n"/>
    </row>
    <row r="59">
      <c r="A59" s="2" t="n"/>
      <c r="B59" s="110" t="n"/>
      <c r="C59" s="110" t="n"/>
      <c r="D59" s="110" t="n"/>
      <c r="E59" s="43" t="n"/>
      <c r="F59" s="114" t="n"/>
      <c r="G59" s="5">
        <f>IF(AND(ISNUMBER(E59),ISNUMBER(F59)),IF(E59&lt;=IF(F59&gt;'Hypothèses'!$J$26,MAX(0,$D$8)/(1-'Hypothèses'!$J$26/F59),0),"oui","non"),"")</f>
        <v/>
      </c>
      <c r="H59" s="110" t="n"/>
      <c r="I59" s="110" t="n"/>
    </row>
    <row r="60">
      <c r="A60" s="2" t="n"/>
      <c r="B60" s="3" t="inlineStr">
        <is>
          <t>Cellules jaunes : une ligne par cible, VE et multiple sourcés dans la dataroom. La colonne G répond seule.</t>
        </is>
      </c>
      <c r="C60" s="2" t="n"/>
      <c r="D60" s="2" t="n"/>
      <c r="E60" s="2" t="n"/>
      <c r="F60" s="2" t="n"/>
      <c r="G60" s="2" t="n"/>
      <c r="H60" s="2" t="n"/>
      <c r="I60" s="2" t="n"/>
    </row>
  </sheetData>
  <mergeCells count="3">
    <mergeCell ref="B36:F36"/>
    <mergeCell ref="B47:H47"/>
    <mergeCell ref="B22:F22"/>
  </mergeCells>
  <pageMargins left="0.75" right="0.75" top="1" bottom="1" header="0.5" footer="0.5"/>
  <pageSetup orientation="landscape" paperSize="9" fitToHeight="0" fitToWidth="1"/>
</worksheet>
</file>

<file path=xl/worksheets/sheet15.xml><?xml version="1.0" encoding="utf-8"?>
<worksheet xmlns="http://schemas.openxmlformats.org/spreadsheetml/2006/main">
  <sheetPr>
    <outlinePr summaryBelow="1" summaryRight="1"/>
    <pageSetUpPr fitToPage="1"/>
  </sheetPr>
  <dimension ref="A1:G55"/>
  <sheetViews>
    <sheetView showGridLines="0" workbookViewId="0">
      <selection activeCell="A1" sqref="A1"/>
    </sheetView>
  </sheetViews>
  <sheetFormatPr baseColWidth="8" defaultRowHeight="15"/>
  <cols>
    <col width="4" customWidth="1" min="1" max="1"/>
    <col width="64" customWidth="1" min="2" max="2"/>
    <col width="13" customWidth="1" min="3" max="3"/>
    <col width="13" customWidth="1" min="4" max="4"/>
    <col width="11" customWidth="1" min="5" max="5"/>
    <col width="10" customWidth="1" min="6" max="6"/>
    <col width="10" customWidth="1" min="7" max="7"/>
  </cols>
  <sheetData>
    <row r="1">
      <c r="A1" s="1" t="inlineStr">
        <is>
          <t>Vérifications — le modèle se contrôle lui-même</t>
        </is>
      </c>
      <c r="B1" s="2" t="n"/>
      <c r="C1" s="2" t="n"/>
      <c r="D1" s="2" t="n"/>
      <c r="E1" s="2" t="n"/>
      <c r="F1" s="2" t="n"/>
      <c r="G1" s="2" t="n"/>
    </row>
    <row r="2">
      <c r="A2" s="3" t="inlineStr">
        <is>
          <t>Bloquant : doit être OK avant toute citation. Info : écart documenté, à expliquer, pas une erreur du modèle.</t>
        </is>
      </c>
      <c r="B2" s="2" t="n"/>
      <c r="C2" s="2" t="n"/>
      <c r="D2" s="2" t="n"/>
      <c r="E2" s="2" t="n"/>
      <c r="F2" s="2" t="n"/>
      <c r="G2" s="2" t="n"/>
    </row>
    <row r="3">
      <c r="A3" s="2" t="n"/>
      <c r="B3" s="2" t="n"/>
      <c r="C3" s="2" t="n"/>
      <c r="D3" s="2" t="n"/>
      <c r="E3" s="2" t="n"/>
      <c r="F3" s="2" t="n"/>
      <c r="G3" s="2" t="n"/>
    </row>
    <row r="4">
      <c r="A4" s="19" t="inlineStr">
        <is>
          <t>#</t>
        </is>
      </c>
      <c r="B4" s="19" t="inlineStr">
        <is>
          <t>Contrôle</t>
        </is>
      </c>
      <c r="C4" s="19" t="inlineStr">
        <is>
          <t>Calculé</t>
        </is>
      </c>
      <c r="D4" s="19" t="inlineStr">
        <is>
          <t>Attendu</t>
        </is>
      </c>
      <c r="E4" s="19" t="inlineStr">
        <is>
          <t>Tolérance</t>
        </is>
      </c>
      <c r="F4" s="19" t="inlineStr">
        <is>
          <t>Statut</t>
        </is>
      </c>
      <c r="G4" s="19" t="inlineStr">
        <is>
          <t>Type</t>
        </is>
      </c>
    </row>
    <row r="5" ht="28" customHeight="1">
      <c r="A5" s="23" t="n">
        <v>1</v>
      </c>
      <c r="B5" s="13" t="inlineStr">
        <is>
          <t>Levier 2024 recalculé = publié</t>
        </is>
      </c>
      <c r="C5" s="60">
        <f>'Levier'!$C$8</f>
        <v/>
      </c>
      <c r="D5" s="60">
        <f>'Levier'!$C$9</f>
        <v/>
      </c>
      <c r="E5" s="115" t="n">
        <v>0.006</v>
      </c>
      <c r="F5" s="107">
        <f>IF(ABS(C5-D5)&lt;=E5,"OK","ÉCART")</f>
        <v/>
      </c>
      <c r="G5" s="22" t="inlineStr">
        <is>
          <t>Bloquant</t>
        </is>
      </c>
    </row>
    <row r="6" ht="28" customHeight="1">
      <c r="A6" s="23" t="n">
        <v>2</v>
      </c>
      <c r="B6" s="13" t="inlineStr">
        <is>
          <t>Levier 2025 recalculé = publié</t>
        </is>
      </c>
      <c r="C6" s="60">
        <f>'Levier'!$C$12</f>
        <v/>
      </c>
      <c r="D6" s="60">
        <f>'Levier'!$C$13</f>
        <v/>
      </c>
      <c r="E6" s="115" t="n">
        <v>0.006</v>
      </c>
      <c r="F6" s="107">
        <f>IF(ABS(C6-D6)&lt;=E6,"OK","ÉCART")</f>
        <v/>
      </c>
      <c r="G6" s="22" t="inlineStr">
        <is>
          <t>Bloquant</t>
        </is>
      </c>
    </row>
    <row r="7" ht="28" customHeight="1">
      <c r="A7" s="23" t="n">
        <v>3</v>
      </c>
      <c r="B7" s="13" t="inlineStr">
        <is>
          <t>Pont S1 2026 : dette recalculée = publiée</t>
        </is>
      </c>
      <c r="C7" s="58">
        <f>'Pont de dette'!$C$16</f>
        <v/>
      </c>
      <c r="D7" s="58">
        <f>'Pont de dette'!$C$17</f>
        <v/>
      </c>
      <c r="E7" s="79" t="n">
        <v>2</v>
      </c>
      <c r="F7" s="107">
        <f>IF(ABS(C7-D7)&lt;=E7,"OK","ÉCART")</f>
        <v/>
      </c>
      <c r="G7" s="22" t="inlineStr">
        <is>
          <t>Bloquant</t>
        </is>
      </c>
    </row>
    <row r="8" ht="28" customHeight="1">
      <c r="A8" s="23" t="n">
        <v>4</v>
      </c>
      <c r="B8" s="13" t="inlineStr">
        <is>
          <t>Investissements nets GreenUp : 1,9 + 1,5 − 0,3 = 3,1</t>
        </is>
      </c>
      <c r="C8" s="75">
        <f>'Cessions'!$C$9</f>
        <v/>
      </c>
      <c r="D8" s="75">
        <f>'Cessions'!$C$10</f>
        <v/>
      </c>
      <c r="E8" s="116" t="n">
        <v>0.001</v>
      </c>
      <c r="F8" s="107">
        <f>IF(ABS(C8-D8)&lt;=E8,"OK","ÉCART")</f>
        <v/>
      </c>
      <c r="G8" s="22" t="inlineStr">
        <is>
          <t>Bloquant</t>
        </is>
      </c>
    </row>
    <row r="9" ht="28" customHeight="1">
      <c r="A9" s="23" t="n">
        <v>5</v>
      </c>
      <c r="B9" s="13" t="inlineStr">
        <is>
          <t>Provisions par nature = total au 31/12/2025</t>
        </is>
      </c>
      <c r="C9" s="58">
        <f>'ESG'!$C$14</f>
        <v/>
      </c>
      <c r="D9" s="58">
        <f>'Entrées'!$C$105</f>
        <v/>
      </c>
      <c r="E9" s="79" t="n">
        <v>0.5</v>
      </c>
      <c r="F9" s="107">
        <f>IF(ABS(C9-D9)&lt;=E9,"OK","ÉCART")</f>
        <v/>
      </c>
      <c r="G9" s="22" t="inlineStr">
        <is>
          <t>Bloquant</t>
        </is>
      </c>
    </row>
    <row r="10" ht="28" customHeight="1">
      <c r="A10" s="23" t="n">
        <v>6</v>
      </c>
      <c r="B10" s="13" t="inlineStr">
        <is>
          <t>Dividende 2026 : 1,50 € × nombre d'actions ≈ 1 099 M€</t>
        </is>
      </c>
      <c r="C10" s="61">
        <f>'Entrées'!$C$32*'Entrées'!$C$91/1000000</f>
        <v/>
      </c>
      <c r="D10" s="58">
        <f>'Entrées'!$C$79</f>
        <v/>
      </c>
      <c r="E10" s="79" t="n">
        <v>15</v>
      </c>
      <c r="F10" s="107">
        <f>IF(ABS(C10-D10)&lt;=E10,"OK","ÉCART")</f>
        <v/>
      </c>
      <c r="G10" s="22" t="inlineStr">
        <is>
          <t>Bloquant</t>
        </is>
      </c>
    </row>
    <row r="11" ht="28" customHeight="1">
      <c r="A11" s="23" t="n">
        <v>7</v>
      </c>
      <c r="B11" s="13" t="inlineStr">
        <is>
          <t>Levier fin 2026 central dans la guidance « égal ou légèrement supérieur à 3x »</t>
        </is>
      </c>
      <c r="C11" s="60">
        <f>'Trajectoire'!$D$34</f>
        <v/>
      </c>
      <c r="D11" s="115" t="n">
        <v>3.075</v>
      </c>
      <c r="E11" s="115" t="n">
        <v>0.075</v>
      </c>
      <c r="F11" s="107">
        <f>IF(ABS(C11-D11)&lt;=E11,"OK","ÉCART")</f>
        <v/>
      </c>
      <c r="G11" s="22" t="inlineStr">
        <is>
          <t>Bloquant</t>
        </is>
      </c>
    </row>
    <row r="12" ht="28" customHeight="1">
      <c r="A12" s="23" t="n">
        <v>8</v>
      </c>
      <c r="B12" s="13" t="inlineStr">
        <is>
          <t>Change implicite de Clean Earth plausible (1,05 à 1,30)</t>
        </is>
      </c>
      <c r="C12" s="92">
        <f>'Hypothèses'!$J$19</f>
        <v/>
      </c>
      <c r="D12" s="117" t="n">
        <v>1.175</v>
      </c>
      <c r="E12" s="117" t="n">
        <v>0.125</v>
      </c>
      <c r="F12" s="107">
        <f>IF(ABS(C12-D12)&lt;=E12,"OK","ÉCART")</f>
        <v/>
      </c>
      <c r="G12" s="22" t="inlineStr">
        <is>
          <t>Bloquant</t>
        </is>
      </c>
    </row>
    <row r="13" ht="28" customHeight="1">
      <c r="A13" s="23" t="n">
        <v>9</v>
      </c>
      <c r="B13" s="13" t="inlineStr">
        <is>
          <t>Enveloppe nette annoncée = haut de la fourchette implicite</t>
        </is>
      </c>
      <c r="C13" s="75">
        <f>'Cessions'!$C$16</f>
        <v/>
      </c>
      <c r="D13" s="75">
        <f>'Cessions'!$C$17</f>
        <v/>
      </c>
      <c r="E13" s="116" t="n">
        <v>0.001</v>
      </c>
      <c r="F13" s="107">
        <f>IF(ABS(C13-D13)&lt;=E13,"OK","ÉCART")</f>
        <v/>
      </c>
      <c r="G13" s="22" t="inlineStr">
        <is>
          <t>Bloquant</t>
        </is>
      </c>
    </row>
    <row r="14" ht="28" customHeight="1">
      <c r="A14" s="23" t="n">
        <v>10</v>
      </c>
      <c r="B14" s="13" t="inlineStr">
        <is>
          <t>Investissements financiers nets 2024 : deck Clean Earth (−0,4 Md€) = communiqué (+397 M€)</t>
        </is>
      </c>
      <c r="C14" s="61">
        <f>-'Entrées'!$C$124*1000</f>
        <v/>
      </c>
      <c r="D14" s="58">
        <f>'Entrées'!$C$126</f>
        <v/>
      </c>
      <c r="E14" s="79" t="n">
        <v>60</v>
      </c>
      <c r="F14" s="107">
        <f>IF(ABS(C14-D14)&lt;=E14,"OK","ÉCART")</f>
        <v/>
      </c>
      <c r="G14" s="22" t="inlineStr">
        <is>
          <t>Bloquant</t>
        </is>
      </c>
    </row>
    <row r="15" ht="28" customHeight="1">
      <c r="A15" s="23" t="n">
        <v>11</v>
      </c>
      <c r="B15" s="13" t="inlineStr">
        <is>
          <t>Dette maximale 2027 à l'objectif 8 Md€ ≈ 24 Md€ (cadrage du cours)</t>
        </is>
      </c>
      <c r="C15" s="58">
        <f>'Levier'!$C$30</f>
        <v/>
      </c>
      <c r="D15" s="79" t="n">
        <v>24000</v>
      </c>
      <c r="E15" s="79" t="n">
        <v>1</v>
      </c>
      <c r="F15" s="107">
        <f>IF(ABS(C15-D15)&lt;=E15,"OK","ÉCART")</f>
        <v/>
      </c>
      <c r="G15" s="22" t="inlineStr">
        <is>
          <t>Bloquant</t>
        </is>
      </c>
    </row>
    <row r="16" ht="28" customHeight="1">
      <c r="A16" s="23" t="n">
        <v>12</v>
      </c>
      <c r="B16" s="13" t="inlineStr">
        <is>
          <t>FFO / dette ajustée 2026 du modèle face à la prévision Moody's (18,5 %, ± 2 pts)</t>
        </is>
      </c>
      <c r="C16" s="69">
        <f>'Trajectoire'!$D$53</f>
        <v/>
      </c>
      <c r="D16" s="69">
        <f>'Entrées'!$C$232/100</f>
        <v/>
      </c>
      <c r="E16" s="118" t="n">
        <v>0.02</v>
      </c>
      <c r="F16" s="107">
        <f>IF(ABS(C16-D16)&lt;=E16,"OK","ÉCART")</f>
        <v/>
      </c>
      <c r="G16" s="22" t="inlineStr">
        <is>
          <t>Bloquant</t>
        </is>
      </c>
    </row>
    <row r="17" ht="28" customHeight="1">
      <c r="A17" s="23" t="n">
        <v>13</v>
      </c>
      <c r="B17" s="13" t="inlineStr">
        <is>
          <t>FFO / dette ajustée 2027 du modèle face à la prévision Moody's (19,5 %, ± 2,5 pts)</t>
        </is>
      </c>
      <c r="C17" s="69">
        <f>'Trajectoire'!$D$57</f>
        <v/>
      </c>
      <c r="D17" s="69">
        <f>'Entrées'!$C$233/100</f>
        <v/>
      </c>
      <c r="E17" s="118" t="n">
        <v>0.025</v>
      </c>
      <c r="F17" s="107">
        <f>IF(ABS(C17-D17)&lt;=E17,"OK","ÉCART")</f>
        <v/>
      </c>
      <c r="G17" s="22" t="inlineStr">
        <is>
          <t>Bloquant</t>
        </is>
      </c>
    </row>
    <row r="18" ht="28" customHeight="1">
      <c r="A18" s="23" t="n">
        <v>14</v>
      </c>
      <c r="B18" s="13" t="inlineStr">
        <is>
          <t>Dette brute publiée selon Moody's = sous-total des emprunts du DEU (p.351)</t>
        </is>
      </c>
      <c r="C18" s="58">
        <f>'Levier'!$C$51</f>
        <v/>
      </c>
      <c r="D18" s="58">
        <f>'Entrées'!$C$259</f>
        <v/>
      </c>
      <c r="E18" s="79" t="n">
        <v>1</v>
      </c>
      <c r="F18" s="107">
        <f>IF(ABS(C18-D18)&lt;=E18,"OK","ÉCART")</f>
        <v/>
      </c>
      <c r="G18" s="22" t="inlineStr">
        <is>
          <t>Bloquant</t>
        </is>
      </c>
    </row>
    <row r="19" ht="28" customHeight="1">
      <c r="A19" s="23" t="n">
        <v>15</v>
      </c>
      <c r="B19" s="13" t="inlineStr">
        <is>
          <t>Réconciliation Moody's : brute + ajustements = dette brute ajustée publiée</t>
        </is>
      </c>
      <c r="C19" s="58">
        <f>'Levier'!$C$56</f>
        <v/>
      </c>
      <c r="D19" s="58">
        <f>'Levier'!$C$57</f>
        <v/>
      </c>
      <c r="E19" s="79" t="n">
        <v>1</v>
      </c>
      <c r="F19" s="107">
        <f>IF(ABS(C19-D19)&lt;=E19,"OK","ÉCART")</f>
        <v/>
      </c>
      <c r="G19" s="22" t="inlineStr">
        <is>
          <t>Bloquant</t>
        </is>
      </c>
    </row>
    <row r="20" ht="28" customHeight="1">
      <c r="A20" s="23" t="n">
        <v>16</v>
      </c>
      <c r="B20" s="13" t="inlineStr">
        <is>
          <t>Réconciliation Moody's : brute ajustée − trésorerie = dette nette ajustée publiée</t>
        </is>
      </c>
      <c r="C20" s="58">
        <f>'Levier'!$C$59</f>
        <v/>
      </c>
      <c r="D20" s="58">
        <f>'Levier'!$C$60</f>
        <v/>
      </c>
      <c r="E20" s="79" t="n">
        <v>1</v>
      </c>
      <c r="F20" s="107">
        <f>IF(ABS(C20-D20)&lt;=E20,"OK","ÉCART")</f>
        <v/>
      </c>
      <c r="G20" s="22" t="inlineStr">
        <is>
          <t>Bloquant</t>
        </is>
      </c>
    </row>
    <row r="21" ht="28" customHeight="1">
      <c r="A21" s="23" t="n">
        <v>17</v>
      </c>
      <c r="B21" s="13" t="inlineStr">
        <is>
          <t>FFO implicite (20,3 % × dette nette) = FFO publié par Moody's (5 160)</t>
        </is>
      </c>
      <c r="C21" s="58">
        <f>'Levier'!$C$44</f>
        <v/>
      </c>
      <c r="D21" s="58">
        <f>'Levier'!$C$67</f>
        <v/>
      </c>
      <c r="E21" s="79" t="n">
        <v>60</v>
      </c>
      <c r="F21" s="107">
        <f>IF(ABS(C21-D21)&lt;=E21,"OK","ÉCART")</f>
        <v/>
      </c>
      <c r="G21" s="22" t="inlineStr">
        <is>
          <t>Bloquant</t>
        </is>
      </c>
    </row>
    <row r="22" ht="28" customHeight="1">
      <c r="A22" s="23" t="n">
        <v>18</v>
      </c>
      <c r="B22" s="13" t="inlineStr">
        <is>
          <t>Dette nette Veolia recalculée (brute − trésorerie − actifs liquides + JV) face à la publiée : l'écart est le retraitement PPA Suez</t>
        </is>
      </c>
      <c r="C22" s="58">
        <f>'Levier'!$C$61</f>
        <v/>
      </c>
      <c r="D22" s="58">
        <f>'Entrées'!$C$13</f>
        <v/>
      </c>
      <c r="E22" s="50" t="inlineStr">
        <is>
          <t>—</t>
        </is>
      </c>
      <c r="F22" s="107" t="inlineStr">
        <is>
          <t>INFO</t>
        </is>
      </c>
      <c r="G22" s="22" t="inlineStr">
        <is>
          <t>Info</t>
        </is>
      </c>
    </row>
    <row r="23" ht="28" customHeight="1">
      <c r="A23" s="23" t="n">
        <v>19</v>
      </c>
      <c r="B23" s="13" t="inlineStr">
        <is>
          <t>Marge des boosters 2025 recalculée = publiée (12,6 %)</t>
        </is>
      </c>
      <c r="C23" s="69">
        <f>'Segments'!$G$16</f>
        <v/>
      </c>
      <c r="D23" s="69">
        <f>'Segments'!$G$19</f>
        <v/>
      </c>
      <c r="E23" s="118" t="n">
        <v>0.002</v>
      </c>
      <c r="F23" s="107">
        <f>IF(ABS(C23-D23)&lt;=E23,"OK","ÉCART")</f>
        <v/>
      </c>
      <c r="G23" s="22" t="inlineStr">
        <is>
          <t>Bloquant</t>
        </is>
      </c>
    </row>
    <row r="24" ht="28" customHeight="1">
      <c r="A24" s="23" t="n">
        <v>20</v>
      </c>
      <c r="B24" s="13" t="inlineStr">
        <is>
          <t>Clean Harbors : marge d'EBITDA ajusté recalculée = publiée (19,4 %)</t>
        </is>
      </c>
      <c r="C24" s="69">
        <f>'Entrées'!$C$213/1000/'Entrées'!$C$212</f>
        <v/>
      </c>
      <c r="D24" s="69">
        <f>'Booster'!$G$39</f>
        <v/>
      </c>
      <c r="E24" s="118" t="n">
        <v>0.002</v>
      </c>
      <c r="F24" s="107">
        <f>IF(ABS(C24-D24)&lt;=E24,"OK","ÉCART")</f>
        <v/>
      </c>
      <c r="G24" s="22" t="inlineStr">
        <is>
          <t>Bloquant</t>
        </is>
      </c>
    </row>
    <row r="25" ht="28" customHeight="1">
      <c r="A25" s="23" t="n">
        <v>21</v>
      </c>
      <c r="B25" s="13" t="inlineStr">
        <is>
          <t>Segments 2025 + autres = EBITDA du groupe (autres ≈ 139 M€, note IFRS 8)</t>
        </is>
      </c>
      <c r="C25" s="58">
        <f>'Segments'!$F$12</f>
        <v/>
      </c>
      <c r="D25" s="79" t="n">
        <v>139</v>
      </c>
      <c r="E25" s="79" t="n">
        <v>60</v>
      </c>
      <c r="F25" s="107">
        <f>IF(ABS(C25-D25)&lt;=E25,"OK","ÉCART")</f>
        <v/>
      </c>
      <c r="G25" s="22" t="inlineStr">
        <is>
          <t>Bloquant</t>
        </is>
      </c>
    </row>
    <row r="26" ht="28" customHeight="1">
      <c r="A26" s="23" t="n">
        <v>22</v>
      </c>
      <c r="B26" s="13" t="inlineStr">
        <is>
          <t>CO2 évité : objectif +30 % vs 2023 (17,5 Mt) face aux 18 Mt énoncés</t>
        </is>
      </c>
      <c r="C26" s="75">
        <f>'Segments'!$F$38</f>
        <v/>
      </c>
      <c r="D26" s="116" t="n">
        <v>18</v>
      </c>
      <c r="E26" s="50" t="inlineStr">
        <is>
          <t>—</t>
        </is>
      </c>
      <c r="F26" s="107" t="inlineStr">
        <is>
          <t>INFO</t>
        </is>
      </c>
      <c r="G26" s="22" t="inlineStr">
        <is>
          <t>Info</t>
        </is>
      </c>
    </row>
    <row r="27" ht="28" customHeight="1">
      <c r="A27" s="23" t="n">
        <v>23</v>
      </c>
      <c r="B27" s="13" t="inlineStr">
        <is>
          <t>EBITDA 2027 « au rythme de 2025 » face à l'objectif ≥ 8 Md€</t>
        </is>
      </c>
      <c r="C27" s="58">
        <f>'Segments'!$E$31</f>
        <v/>
      </c>
      <c r="D27" s="79" t="n">
        <v>8000</v>
      </c>
      <c r="E27" s="50" t="inlineStr">
        <is>
          <t>—</t>
        </is>
      </c>
      <c r="F27" s="107" t="inlineStr">
        <is>
          <t>INFO</t>
        </is>
      </c>
      <c r="G27" s="22" t="inlineStr">
        <is>
          <t>Info</t>
        </is>
      </c>
    </row>
    <row r="28" ht="28" customHeight="1">
      <c r="A28" s="23" t="n">
        <v>24</v>
      </c>
      <c r="B28" s="13" t="inlineStr">
        <is>
          <t>Dette ajustée 2026 du modèle face au pic attendu par Moody's (~29 Md€, ± 1,5 Md€)</t>
        </is>
      </c>
      <c r="C28" s="58">
        <f>'Trajectoire'!$D$51</f>
        <v/>
      </c>
      <c r="D28" s="79" t="n">
        <v>29000</v>
      </c>
      <c r="E28" s="79" t="n">
        <v>1500</v>
      </c>
      <c r="F28" s="107">
        <f>IF(ABS(C28-D28)&lt;=E28,"OK","ÉCART")</f>
        <v/>
      </c>
      <c r="G28" s="22" t="inlineStr">
        <is>
          <t>Bloquant</t>
        </is>
      </c>
    </row>
    <row r="29" ht="28" customHeight="1">
      <c r="A29" s="23" t="n">
        <v>25</v>
      </c>
      <c r="B29" s="13" t="inlineStr">
        <is>
          <t>EBITDA 2027 central face à l'objectif ≥ 8 Md€</t>
        </is>
      </c>
      <c r="C29" s="58">
        <f>'Trajectoire'!$D$42</f>
        <v/>
      </c>
      <c r="D29" s="58">
        <f>'Entrées'!$C$17*1000</f>
        <v/>
      </c>
      <c r="E29" s="50" t="inlineStr">
        <is>
          <t>—</t>
        </is>
      </c>
      <c r="F29" s="107" t="inlineStr">
        <is>
          <t>INFO</t>
        </is>
      </c>
      <c r="G29" s="22" t="inlineStr">
        <is>
          <t>Info</t>
        </is>
      </c>
    </row>
    <row r="30" ht="28" customHeight="1">
      <c r="A30" s="23" t="n">
        <v>26</v>
      </c>
      <c r="B30" s="13" t="inlineStr">
        <is>
          <t>Marge de FFO 2026 au seuil S&amp;P de 18 % (négatif : le seuil d'agence mord avant le 3x)</t>
        </is>
      </c>
      <c r="C30" s="58">
        <f>'Levier'!$C$46</f>
        <v/>
      </c>
      <c r="D30" s="79" t="n">
        <v>0</v>
      </c>
      <c r="E30" s="50" t="inlineStr">
        <is>
          <t>—</t>
        </is>
      </c>
      <c r="F30" s="107" t="inlineStr">
        <is>
          <t>INFO</t>
        </is>
      </c>
      <c r="G30" s="22" t="inlineStr">
        <is>
          <t>Info</t>
        </is>
      </c>
    </row>
    <row r="31" ht="28" customHeight="1">
      <c r="A31" s="23" t="n">
        <v>27</v>
      </c>
      <c r="B31" s="13" t="inlineStr">
        <is>
          <t>Pont 2025 : flux non détaillés dans le communiqué</t>
        </is>
      </c>
      <c r="C31" s="58">
        <f>'Pont de dette'!$C$35</f>
        <v/>
      </c>
      <c r="D31" s="79" t="n">
        <v>0</v>
      </c>
      <c r="E31" s="50" t="inlineStr">
        <is>
          <t>—</t>
        </is>
      </c>
      <c r="F31" s="107" t="inlineStr">
        <is>
          <t>INFO</t>
        </is>
      </c>
      <c r="G31" s="22" t="inlineStr">
        <is>
          <t>Info</t>
        </is>
      </c>
    </row>
    <row r="32" ht="28" customHeight="1">
      <c r="A32" s="23" t="n">
        <v>28</v>
      </c>
      <c r="B32" s="13" t="inlineStr">
        <is>
          <t>Clean Earth : effet sur la dette − prix payé</t>
        </is>
      </c>
      <c r="C32" s="58">
        <f>'Pont de dette'!$C$20</f>
        <v/>
      </c>
      <c r="D32" s="79" t="n">
        <v>0</v>
      </c>
      <c r="E32" s="50" t="inlineStr">
        <is>
          <t>—</t>
        </is>
      </c>
      <c r="F32" s="107" t="inlineStr">
        <is>
          <t>INFO</t>
        </is>
      </c>
      <c r="G32" s="22" t="inlineStr">
        <is>
          <t>Info</t>
        </is>
      </c>
    </row>
    <row r="33" ht="28" customHeight="1">
      <c r="A33" s="23" t="n">
        <v>29</v>
      </c>
      <c r="B33" s="13" t="inlineStr">
        <is>
          <t>Multiple Clean Earth recalculé après synergies vs publié</t>
        </is>
      </c>
      <c r="C33" s="86">
        <f>'Cibles'!$C$20</f>
        <v/>
      </c>
      <c r="D33" s="86">
        <f>'Cibles'!$C$21</f>
        <v/>
      </c>
      <c r="E33" s="50" t="inlineStr">
        <is>
          <t>—</t>
        </is>
      </c>
      <c r="F33" s="107" t="inlineStr">
        <is>
          <t>INFO</t>
        </is>
      </c>
      <c r="G33" s="22" t="inlineStr">
        <is>
          <t>Info</t>
        </is>
      </c>
    </row>
    <row r="34" ht="28" customHeight="1">
      <c r="A34" s="23" t="n">
        <v>30</v>
      </c>
      <c r="B34" s="13" t="inlineStr">
        <is>
          <t>Multiples publiés par Veolia : le minimum (Espagne) est bien la borne basse de mTuck</t>
        </is>
      </c>
      <c r="C34" s="86">
        <f>'Cibles'!$C$32</f>
        <v/>
      </c>
      <c r="D34" s="86">
        <f>'Hypothèses'!$D$21</f>
        <v/>
      </c>
      <c r="E34" s="119" t="n">
        <v>0.001</v>
      </c>
      <c r="F34" s="107">
        <f>IF(ABS(C34-D34)&lt;=E34,"OK","ÉCART")</f>
        <v/>
      </c>
      <c r="G34" s="22" t="inlineStr">
        <is>
          <t>Bloquant</t>
        </is>
      </c>
    </row>
    <row r="35" ht="28" customHeight="1">
      <c r="A35" s="23" t="n">
        <v>31</v>
      </c>
      <c r="B35" s="13" t="inlineStr">
        <is>
          <t>Multiples publiés par Veolia : le maximum (WTS) est bien la borne haute de mTuck</t>
        </is>
      </c>
      <c r="C35" s="86">
        <f>'Cibles'!$C$34</f>
        <v/>
      </c>
      <c r="D35" s="86">
        <f>'Hypothèses'!$E$21</f>
        <v/>
      </c>
      <c r="E35" s="119" t="n">
        <v>0.001</v>
      </c>
      <c r="F35" s="107">
        <f>IF(ABS(C35-D35)&lt;=E35,"OK","ÉCART")</f>
        <v/>
      </c>
      <c r="G35" s="22" t="inlineStr">
        <is>
          <t>Bloquant</t>
        </is>
      </c>
    </row>
    <row r="36" ht="28" customHeight="1">
      <c r="A36" s="23" t="n">
        <v>32</v>
      </c>
      <c r="B36" s="13" t="inlineStr">
        <is>
          <t>Pont EBITDA : somme des marches 2025 → 2027 = EBITDA 2027 de Trajectoire</t>
        </is>
      </c>
      <c r="C36" s="58">
        <f>'Pont EBITDA'!$C$49</f>
        <v/>
      </c>
      <c r="D36" s="58">
        <f>'Pont EBITDA'!$C$50</f>
        <v/>
      </c>
      <c r="E36" s="79" t="n">
        <v>1</v>
      </c>
      <c r="F36" s="107">
        <f>IF(ABS(C36-D36)&lt;=E36,"OK","ÉCART")</f>
        <v/>
      </c>
      <c r="G36" s="22" t="inlineStr">
        <is>
          <t>Bloquant</t>
        </is>
      </c>
    </row>
    <row r="37" ht="28" customHeight="1">
      <c r="A37" s="23" t="n">
        <v>33</v>
      </c>
      <c r="B37" s="13" t="inlineStr">
        <is>
          <t>Pont EBITDA : croissance annuelle implicite de GreenUp (6,5 → 8) face au « ~5 % » annoncé</t>
        </is>
      </c>
      <c r="C37" s="69">
        <f>'Pont EBITDA'!$C$9</f>
        <v/>
      </c>
      <c r="D37" s="69">
        <f>'Pont EBITDA'!$C$10</f>
        <v/>
      </c>
      <c r="E37" s="118" t="n">
        <v>0.01</v>
      </c>
      <c r="F37" s="107">
        <f>IF(ABS(C37-D37)&lt;=E37,"OK","ÉCART")</f>
        <v/>
      </c>
      <c r="G37" s="22" t="inlineStr">
        <is>
          <t>Bloquant</t>
        </is>
      </c>
    </row>
    <row r="38" ht="28" customHeight="1">
      <c r="A38" s="23" t="n">
        <v>34</v>
      </c>
      <c r="B38" s="13" t="inlineStr">
        <is>
          <t>Pont EBITDA : strongholds + boosters (EBITDA × organique) face à la croissance organique du groupe en M EUR (± 60)</t>
        </is>
      </c>
      <c r="C38" s="58">
        <f>'Pont EBITDA'!$C$34</f>
        <v/>
      </c>
      <c r="D38" s="58">
        <f>'Pont EBITDA'!$C$24</f>
        <v/>
      </c>
      <c r="E38" s="50" t="inlineStr">
        <is>
          <t>—</t>
        </is>
      </c>
      <c r="F38" s="107" t="inlineStr">
        <is>
          <t>INFO</t>
        </is>
      </c>
      <c r="G38" s="22" t="inlineStr">
        <is>
          <t>Info</t>
        </is>
      </c>
    </row>
    <row r="39" ht="28" customHeight="1">
      <c r="A39" s="23" t="n">
        <v>35</v>
      </c>
      <c r="B39" s="13" t="inlineStr">
        <is>
          <t>Pont EBITDA : part de l'écart 2023 → 2027 couverte par l'efficacité annoncée (info)</t>
        </is>
      </c>
      <c r="C39" s="69">
        <f>'Pont EBITDA'!$C$13</f>
        <v/>
      </c>
      <c r="D39" s="118" t="n">
        <v>1</v>
      </c>
      <c r="E39" s="50" t="inlineStr">
        <is>
          <t>—</t>
        </is>
      </c>
      <c r="F39" s="107" t="inlineStr">
        <is>
          <t>INFO</t>
        </is>
      </c>
      <c r="G39" s="22" t="inlineStr">
        <is>
          <t>Info</t>
        </is>
      </c>
    </row>
    <row r="40" ht="28" customHeight="1">
      <c r="A40" s="23" t="n">
        <v>36</v>
      </c>
      <c r="B40" s="13" t="inlineStr">
        <is>
          <t>Pont EBITDA : hors efficacité et synergies, croissance organique 2025 de l'EBITDA (négatif = recul)</t>
        </is>
      </c>
      <c r="C40" s="58">
        <f>'Pont EBITDA'!$C$29</f>
        <v/>
      </c>
      <c r="D40" s="79" t="n">
        <v>0</v>
      </c>
      <c r="E40" s="50" t="inlineStr">
        <is>
          <t>—</t>
        </is>
      </c>
      <c r="F40" s="107" t="inlineStr">
        <is>
          <t>INFO</t>
        </is>
      </c>
      <c r="G40" s="22" t="inlineStr">
        <is>
          <t>Info</t>
        </is>
      </c>
    </row>
    <row r="41" ht="28" customHeight="1">
      <c r="A41" s="23" t="n">
        <v>37</v>
      </c>
      <c r="B41" s="13" t="inlineStr">
        <is>
          <t>Univers des cessions : somme des pays = chiffre d'affaires du groupe (DEU p.375, arrondis de la page : ± 5)</t>
        </is>
      </c>
      <c r="C41" s="58">
        <f>'Cessions'!$C$74</f>
        <v/>
      </c>
      <c r="D41" s="58">
        <f>'Cessions'!$C$75</f>
        <v/>
      </c>
      <c r="E41" s="79" t="n">
        <v>5</v>
      </c>
      <c r="F41" s="107">
        <f>IF(ABS(C41-D41)&lt;=E41,"OK","ÉCART")</f>
        <v/>
      </c>
      <c r="G41" s="22" t="inlineStr">
        <is>
          <t>Bloquant</t>
        </is>
      </c>
    </row>
    <row r="42" ht="28" customHeight="1">
      <c r="A42" s="23" t="n">
        <v>38</v>
      </c>
      <c r="B42" s="13" t="inlineStr">
        <is>
          <t>Hybrides : somme des tranches = encours publié hors coupons (4,1 Md€)</t>
        </is>
      </c>
      <c r="C42" s="58">
        <f>'Levier'!$C$114</f>
        <v/>
      </c>
      <c r="D42" s="58">
        <f>'Levier'!$C$115</f>
        <v/>
      </c>
      <c r="E42" s="79" t="n">
        <v>1</v>
      </c>
      <c r="F42" s="107">
        <f>IF(ABS(C42-D42)&lt;=E42,"OK","ÉCART")</f>
        <v/>
      </c>
      <c r="G42" s="22" t="inlineStr">
        <is>
          <t>Bloquant</t>
        </is>
      </c>
    </row>
    <row r="43" ht="28" customHeight="1">
      <c r="A43" s="23" t="n">
        <v>39</v>
      </c>
      <c r="B43" s="13" t="inlineStr">
        <is>
          <t>Taxonomie 2025 : somme des secteurs = total publié, capex éligible et aligné (arrondis de la page : ± 150)</t>
        </is>
      </c>
      <c r="C43" s="58">
        <f>'ESG'!$F$40</f>
        <v/>
      </c>
      <c r="D43" s="58">
        <f>'ESG'!$F$41</f>
        <v/>
      </c>
      <c r="E43" s="79" t="n">
        <v>150</v>
      </c>
      <c r="F43" s="107">
        <f>IF(ABS(C43-D43)&lt;=E43,"OK","ÉCART")</f>
        <v/>
      </c>
      <c r="G43" s="22" t="inlineStr">
        <is>
          <t>Bloquant</t>
        </is>
      </c>
    </row>
    <row r="44" ht="28" customHeight="1">
      <c r="A44" s="23" t="n">
        <v>40</v>
      </c>
      <c r="B44" s="13" t="inlineStr">
        <is>
          <t>Taxonomie 2025 : part du capex aligné recalculée = publiée (47,2 %, ± 1 pt)</t>
        </is>
      </c>
      <c r="C44" s="69">
        <f>'ESG'!$C$43</f>
        <v/>
      </c>
      <c r="D44" s="69">
        <f>'ESG'!$C$44</f>
        <v/>
      </c>
      <c r="E44" s="118" t="n">
        <v>0.01</v>
      </c>
      <c r="F44" s="107">
        <f>IF(ABS(C44-D44)&lt;=E44,"OK","ÉCART")</f>
        <v/>
      </c>
      <c r="G44" s="22" t="inlineStr">
        <is>
          <t>Bloquant</t>
        </is>
      </c>
    </row>
    <row r="45" ht="28" customHeight="1">
      <c r="A45" s="23" t="n">
        <v>41</v>
      </c>
      <c r="B45" s="13" t="inlineStr">
        <is>
          <t>Univers des cessions : programme (au multiple central) en part de l'EBITDA des déchets solides (info)</t>
        </is>
      </c>
      <c r="C45" s="69">
        <f>'Cessions'!$C$88</f>
        <v/>
      </c>
      <c r="D45" s="118" t="n">
        <v>0</v>
      </c>
      <c r="E45" s="50" t="inlineStr">
        <is>
          <t>—</t>
        </is>
      </c>
      <c r="F45" s="107" t="inlineStr">
        <is>
          <t>INFO</t>
        </is>
      </c>
      <c r="G45" s="22" t="inlineStr">
        <is>
          <t>Info</t>
        </is>
      </c>
    </row>
    <row r="46" ht="28" customHeight="1">
      <c r="A46" s="23" t="n">
        <v>42</v>
      </c>
      <c r="B46" s="13" t="inlineStr">
        <is>
          <t>FFO 2025 reconstitué depuis le tableau de flux = FFO Moody's (± 5 %)</t>
        </is>
      </c>
      <c r="C46" s="69">
        <f>'Levier'!$C$91</f>
        <v/>
      </c>
      <c r="D46" s="118" t="n">
        <v>0</v>
      </c>
      <c r="E46" s="118" t="n">
        <v>0.05</v>
      </c>
      <c r="F46" s="107">
        <f>IF(ABS(C46-D46)&lt;=E46,"OK","ÉCART")</f>
        <v/>
      </c>
      <c r="G46" s="22" t="inlineStr">
        <is>
          <t>Bloquant</t>
        </is>
      </c>
    </row>
    <row r="47" ht="28" customHeight="1">
      <c r="A47" s="23" t="n">
        <v>43</v>
      </c>
      <c r="B47" s="13" t="inlineStr">
        <is>
          <t>FFO 2024 reconstitué depuis le tableau de flux = FFO Moody's (± 5 %)</t>
        </is>
      </c>
      <c r="C47" s="69">
        <f>'Levier'!$D$91</f>
        <v/>
      </c>
      <c r="D47" s="118" t="n">
        <v>0</v>
      </c>
      <c r="E47" s="118" t="n">
        <v>0.05</v>
      </c>
      <c r="F47" s="107">
        <f>IF(ABS(C47-D47)&lt;=E47,"OK","ÉCART")</f>
        <v/>
      </c>
      <c r="G47" s="22" t="inlineStr">
        <is>
          <t>Bloquant</t>
        </is>
      </c>
    </row>
    <row r="48" ht="28" customHeight="1">
      <c r="A48" s="23" t="n">
        <v>44</v>
      </c>
      <c r="B48" s="13" t="inlineStr">
        <is>
          <t>Échéancier : somme des trois instruments = passifs financiers bruts publiés, flux 2026</t>
        </is>
      </c>
      <c r="C48" s="58">
        <f>'Échéancier'!$C$9</f>
        <v/>
      </c>
      <c r="D48" s="58">
        <f>'Échéancier'!$C$10</f>
        <v/>
      </c>
      <c r="E48" s="79" t="n">
        <v>1</v>
      </c>
      <c r="F48" s="107">
        <f>IF(ABS(C48-D48)&lt;=E48,"OK","ÉCART")</f>
        <v/>
      </c>
      <c r="G48" s="22" t="inlineStr">
        <is>
          <t>Bloquant</t>
        </is>
      </c>
    </row>
    <row r="49" ht="28" customHeight="1">
      <c r="A49" s="23" t="n">
        <v>45</v>
      </c>
      <c r="B49" s="13" t="inlineStr">
        <is>
          <t>Échéancier : somme des années = total publié (obligations)</t>
        </is>
      </c>
      <c r="C49" s="58">
        <f>'Échéancier'!$J$6</f>
        <v/>
      </c>
      <c r="D49" s="58">
        <f>'Échéancier'!$I$6</f>
        <v/>
      </c>
      <c r="E49" s="79" t="n">
        <v>1</v>
      </c>
      <c r="F49" s="107">
        <f>IF(ABS(C49-D49)&lt;=E49,"OK","ÉCART")</f>
        <v/>
      </c>
      <c r="G49" s="22" t="inlineStr">
        <is>
          <t>Bloquant</t>
        </is>
      </c>
    </row>
    <row r="50" ht="28" customHeight="1">
      <c r="A50" s="23" t="n">
        <v>46</v>
      </c>
      <c r="B50" s="13" t="inlineStr">
        <is>
          <t>Échéancier : somme des années = total publié (passifs financiers bruts)</t>
        </is>
      </c>
      <c r="C50" s="58">
        <f>'Échéancier'!$J$10</f>
        <v/>
      </c>
      <c r="D50" s="58">
        <f>'Échéancier'!$I$10</f>
        <v/>
      </c>
      <c r="E50" s="79" t="n">
        <v>1</v>
      </c>
      <c r="F50" s="107">
        <f>IF(ABS(C50-D50)&lt;=E50,"OK","ÉCART")</f>
        <v/>
      </c>
      <c r="G50" s="22" t="inlineStr">
        <is>
          <t>Bloquant</t>
        </is>
      </c>
    </row>
    <row r="51" ht="28" customHeight="1">
      <c r="A51" s="23" t="n">
        <v>47</v>
      </c>
      <c r="B51" s="13" t="inlineStr">
        <is>
          <t>Liquidités totales recalculées = publiées (p.421)</t>
        </is>
      </c>
      <c r="C51" s="58">
        <f>'Échéancier'!$C$37</f>
        <v/>
      </c>
      <c r="D51" s="58">
        <f>'Échéancier'!$C$38</f>
        <v/>
      </c>
      <c r="E51" s="79" t="n">
        <v>1</v>
      </c>
      <c r="F51" s="107">
        <f>IF(ABS(C51-D51)&lt;=E51,"OK","ÉCART")</f>
        <v/>
      </c>
      <c r="G51" s="22" t="inlineStr">
        <is>
          <t>Bloquant</t>
        </is>
      </c>
    </row>
    <row r="52" ht="28" customHeight="1">
      <c r="A52" s="23" t="n">
        <v>48</v>
      </c>
      <c r="B52" s="13" t="inlineStr">
        <is>
          <t>Flux contractuels 2026 des obligations − obligations à moins d'un an (positif : les flux comprennent les intérêts)</t>
        </is>
      </c>
      <c r="C52" s="58">
        <f>'Échéancier'!$C$6-'Échéancier'!$C$16</f>
        <v/>
      </c>
      <c r="D52" s="79" t="n">
        <v>0</v>
      </c>
      <c r="E52" s="50" t="inlineStr">
        <is>
          <t>—</t>
        </is>
      </c>
      <c r="F52" s="107" t="inlineStr">
        <is>
          <t>INFO</t>
        </is>
      </c>
      <c r="G52" s="22" t="inlineStr">
        <is>
          <t>Info</t>
        </is>
      </c>
    </row>
    <row r="53" ht="28" customHeight="1">
      <c r="A53" s="23" t="n">
        <v>49</v>
      </c>
      <c r="B53" s="13" t="inlineStr">
        <is>
          <t>Chiffres de l'onglet Entrées non relus par un tiers</t>
        </is>
      </c>
      <c r="C53" s="94">
        <f>COUNTIF('Entrées'!$L$6:$L$601,"à relire")</f>
        <v/>
      </c>
      <c r="D53" s="21" t="n">
        <v>0</v>
      </c>
      <c r="E53" s="50" t="inlineStr">
        <is>
          <t>—</t>
        </is>
      </c>
      <c r="F53" s="107" t="inlineStr">
        <is>
          <t>INFO</t>
        </is>
      </c>
      <c r="G53" s="22" t="inlineStr">
        <is>
          <t>Info</t>
        </is>
      </c>
    </row>
    <row r="54">
      <c r="A54" s="2" t="n"/>
      <c r="B54" s="2" t="n"/>
      <c r="C54" s="2" t="n"/>
      <c r="D54" s="2" t="n"/>
      <c r="E54" s="2" t="n"/>
      <c r="F54" s="2" t="n"/>
      <c r="G54" s="2" t="n"/>
    </row>
    <row r="55">
      <c r="A55" s="2" t="n"/>
      <c r="B55" s="20" t="inlineStr">
        <is>
          <t>Statut global des contrôles bloquants</t>
        </is>
      </c>
      <c r="C55" s="2" t="n"/>
      <c r="D55" s="2" t="n"/>
      <c r="E55" s="2" t="n"/>
      <c r="F55" s="107">
        <f>IF(COUNTIFS($G$5:$G$53,"Bloquant",$F$5:$F$53,"ÉCART")=0,"OK","ÉCART")</f>
        <v/>
      </c>
      <c r="G55" s="2" t="n"/>
    </row>
  </sheetData>
  <conditionalFormatting sqref="F5:F55">
    <cfRule type="cellIs" priority="1" operator="equal" dxfId="0">
      <formula>"OK"</formula>
    </cfRule>
    <cfRule type="cellIs" priority="2" operator="equal" dxfId="1">
      <formula>"ÉCART"</formula>
    </cfRule>
  </conditionalFormatting>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2026-10-06T17:06:35Z</dcterms:created>
  <dcterms:modified xmlns:dcterms="http://purl.org/dc/terms/" xmlns:xsi="http://www.w3.org/2001/XMLSchema-instance" xsi:type="dcterms:W3CDTF">2026-10-06T17:06:36Z</dcterms:modified>
</cp:coreProperties>
</file>