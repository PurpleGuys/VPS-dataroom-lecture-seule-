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Cessions" sheetId="6" state="visible" r:id="rId8"/>
    <sheet name="Trajectoire" sheetId="7" state="visible" r:id="rId9"/>
    <sheet name="Sensibilité" sheetId="8" state="visible" r:id="rId10"/>
    <sheet name="Booster" sheetId="9" state="visible" r:id="rId11"/>
    <sheet name="ESG" sheetId="10" state="visible" r:id="rId12"/>
    <sheet name="Cibles" sheetId="11" state="visible" r:id="rId13"/>
    <sheet name="Vérifications" sheetId="12" state="visible" r:id="rId14"/>
  </sheets>
  <definedNames>
    <definedName function="false" hidden="true" localSheetId="1" name="_xlnm._FilterDatabase" vbProcedure="false">Entrées!$A$5:$L$172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<sst xmlns="http://schemas.openxmlformats.org/spreadsheetml/2006/main" count="2648" uniqueCount="1112">
  <si>
    <t xml:space="preserve">Modèle GreenUp 2027 — Veolia, sujet 2 du capstone EDHEC</t>
  </si>
  <si>
    <t xml:space="preserve">Combien Veolia peut-elle encore acheter en déchets dangereux sans dépasser son plafond de levier ?</t>
  </si>
  <si>
    <t xml:space="preserve">Résultats du scénario central</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</si>
  <si>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</si>
  <si>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</si>
  <si>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</si>
  <si>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</si>
  <si>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</si>
  <si>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</si>
  <si>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</si>
  <si>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</si>
  <si>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</si>
  <si>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Contrôles bloquants</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</si>
  <si>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</si>
  <si>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</si>
  <si>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</si>
  <si>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</si>
  <si>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</si>
  <si>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</si>
  <si>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</si>
  <si>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</si>
  <si>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</si>
  <si>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</si>
  <si>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</si>
  <si>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</si>
  <si>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</si>
  <si>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</si>
  <si>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</si>
  <si>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</si>
  <si>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</si>
  <si>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</si>
  <si>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</si>
  <si>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t>
  </si>
  <si>
    <t xml:space="preserve">Définition de Veolia, ratios publiés reproduits, trois lectures du départ au 30/06/2026.</t>
  </si>
  <si>
    <t xml:space="preserve">3. Capacité et sensibilité</t>
  </si>
  <si>
    <t xml:space="preserve">Trajectoire, Sensibilité, Cessions §C</t>
  </si>
  <si>
    <t xml:space="preserve">FCF, calendrier des cessions, ce qui bouge le plus la marge.</t>
  </si>
  <si>
    <t xml:space="preserve">4. L'écart et les comparables</t>
  </si>
  <si>
    <t xml:space="preserve">Booster</t>
  </si>
  <si>
    <t xml:space="preserve">Volumes face à 9 Mt et à 10 Mt, moteur organique, cadre de comparables.</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</si>
  <si>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</si>
  <si>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</si>
  <si>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</si>
  <si>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</si>
  <si>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</si>
  <si>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</si>
  <si>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</si>
  <si>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</si>
  <si>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</si>
  <si>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</si>
  <si>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</si>
  <si>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</si>
  <si>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Registre : chiffres versés dans dataroom.is42.fr le 1er octobre 2026. Aucun n'a encore été relu par un tiers (Vérifications, ligne 14).</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</si>
  <si>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</si>
  <si>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</si>
  <si>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</si>
  <si>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</si>
  <si>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</si>
  <si>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</si>
  <si>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</si>
  <si>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</si>
  <si>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</si>
  <si>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</si>
  <si>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</si>
  <si>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</si>
  <si>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</si>
  <si>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</si>
  <si>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</si>
  <si>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</si>
  <si>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</si>
  <si>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</si>
  <si>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</si>
  <si>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</si>
  <si>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</si>
  <si>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</si>
  <si>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</si>
  <si>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</si>
  <si>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</si>
  <si>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</si>
  <si>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</si>
  <si>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</si>
  <si>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</si>
  <si>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</si>
  <si>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</si>
  <si>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</si>
  <si>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</si>
  <si>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</si>
  <si>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</si>
  <si>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</si>
  <si>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</si>
  <si>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</si>
  <si>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</si>
  <si>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</si>
  <si>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</si>
  <si>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</si>
  <si>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</si>
  <si>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</si>
  <si>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</si>
  <si>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</si>
  <si>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</si>
  <si>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</si>
  <si>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</si>
  <si>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</si>
  <si>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</si>
  <si>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</si>
  <si>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</si>
  <si>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</si>
  <si>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</si>
  <si>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</si>
  <si>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</si>
  <si>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</si>
  <si>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</si>
  <si>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</si>
  <si>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</si>
  <si>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</si>
  <si>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</si>
  <si>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</si>
  <si>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</si>
  <si>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</si>
  <si>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</si>
  <si>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</si>
  <si>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</si>
  <si>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</si>
  <si>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</si>
  <si>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</si>
  <si>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</si>
  <si>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</si>
  <si>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</si>
  <si>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</si>
  <si>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</si>
  <si>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</si>
  <si>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</si>
  <si>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</si>
  <si>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</si>
  <si>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</si>
  <si>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</si>
  <si>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</si>
  <si>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</si>
  <si>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</si>
  <si>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</si>
  <si>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</si>
  <si>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</si>
  <si>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</si>
  <si>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</si>
  <si>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</si>
  <si>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</si>
  <si>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</si>
  <si>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</si>
  <si>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</si>
  <si>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</si>
  <si>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</si>
  <si>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</si>
  <si>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</si>
  <si>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</si>
  <si>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</si>
  <si>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</si>
  <si>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</si>
  <si>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</si>
  <si>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</si>
  <si>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</si>
  <si>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</si>
  <si>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</si>
  <si>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</si>
  <si>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</si>
  <si>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</si>
  <si>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</si>
  <si>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</si>
  <si>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</si>
  <si>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</si>
  <si>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</si>
  <si>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</si>
  <si>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</si>
  <si>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</si>
  <si>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</si>
  <si>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</si>
  <si>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</si>
  <si>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</si>
  <si>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</si>
  <si>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</si>
  <si>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</si>
  <si>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</si>
  <si>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</si>
  <si>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</si>
  <si>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</si>
  <si>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</si>
  <si>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</si>
  <si>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</si>
  <si>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</si>
  <si>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</si>
  <si>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</si>
  <si>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</si>
  <si>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</si>
  <si>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</si>
  <si>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</si>
  <si>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</si>
  <si>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</si>
  <si>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</si>
  <si>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</si>
  <si>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</si>
  <si>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</si>
  <si>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</si>
  <si>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</si>
  <si>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</si>
  <si>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</si>
  <si>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</si>
  <si>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</si>
  <si>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</si>
  <si>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</si>
  <si>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</si>
  <si>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</si>
  <si>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</si>
  <si>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</si>
  <si>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</si>
  <si>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</si>
  <si>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</si>
  <si>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</si>
  <si>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</si>
  <si>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</si>
  <si>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</si>
  <si>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</si>
  <si>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</si>
  <si>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</si>
  <si>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</si>
  <si>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</si>
  <si>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</si>
  <si>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</si>
  <si>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</si>
  <si>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</si>
  <si>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</si>
  <si>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</si>
  <si>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</si>
  <si>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</si>
  <si>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</si>
  <si>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</si>
  <si>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</si>
  <si>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</si>
  <si>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</si>
  <si>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</si>
  <si>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</si>
  <si>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</si>
  <si>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</si>
  <si>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</si>
  <si>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</si>
  <si>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</si>
  <si>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</si>
  <si>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</si>
  <si>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</si>
  <si>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</si>
  <si>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</si>
  <si>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</si>
  <si>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</si>
  <si>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</si>
  <si>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</si>
  <si>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</si>
  <si>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</si>
  <si>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</si>
  <si>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</si>
  <si>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</si>
  <si>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</si>
  <si>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</si>
  <si>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</si>
  <si>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</si>
  <si>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</si>
  <si>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</si>
  <si>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</si>
  <si>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</si>
  <si>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</si>
  <si>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</si>
  <si>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</si>
  <si>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</si>
  <si>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</si>
  <si>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</si>
  <si>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</si>
  <si>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</si>
  <si>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</si>
  <si>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</si>
  <si>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</si>
  <si>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</si>
  <si>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</si>
  <si>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</si>
  <si>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</si>
  <si>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</si>
  <si>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</si>
  <si>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</si>
  <si>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</si>
  <si>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</si>
  <si>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</si>
  <si>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</si>
  <si>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</si>
  <si>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</si>
  <si>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</si>
  <si>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</si>
  <si>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</si>
  <si>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</si>
  <si>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</si>
  <si>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</si>
  <si>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</si>
  <si>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</si>
  <si>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</si>
  <si>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</si>
  <si>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</si>
  <si>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</si>
  <si>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</si>
  <si>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</si>
  <si>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</si>
  <si>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</si>
  <si>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</si>
  <si>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</si>
  <si>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</si>
  <si>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</si>
  <si>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</si>
  <si>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</si>
  <si>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</si>
  <si>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</si>
  <si>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</si>
  <si>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</si>
  <si>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</si>
  <si>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</si>
  <si>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</si>
  <si>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</si>
  <si>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</si>
  <si>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</si>
  <si>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</si>
  <si>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</si>
  <si>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</si>
  <si>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</si>
  <si>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</si>
  <si>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</si>
  <si>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</si>
  <si>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</si>
  <si>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</si>
  <si>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</si>
  <si>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</si>
  <si>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</si>
  <si>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</si>
  <si>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</si>
  <si>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</si>
  <si>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</si>
  <si>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</si>
  <si>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</si>
  <si>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</si>
  <si>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</si>
  <si>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</si>
  <si>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</si>
  <si>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</si>
  <si>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</si>
  <si>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</si>
  <si>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</si>
  <si>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</si>
  <si>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</si>
  <si>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</si>
  <si>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</si>
  <si>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</si>
  <si>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</si>
  <si>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</si>
  <si>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</si>
  <si>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</si>
  <si>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</si>
  <si>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</si>
  <si>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</si>
  <si>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</si>
  <si>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</si>
  <si>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</si>
  <si>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</si>
  <si>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</si>
  <si>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</si>
  <si>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</si>
  <si>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</si>
  <si>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</si>
  <si>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</si>
  <si>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</si>
  <si>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</si>
  <si>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</si>
  <si>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</si>
  <si>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</si>
  <si>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</si>
  <si>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</si>
  <si>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</si>
  <si>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</si>
  <si>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</si>
  <si>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</si>
  <si>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</si>
  <si>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</si>
  <si>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</si>
  <si>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</si>
  <si>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</si>
  <si>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</si>
  <si>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</si>
  <si>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</si>
  <si>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</si>
  <si>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</si>
  <si>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</si>
  <si>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</si>
  <si>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</si>
  <si>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</si>
  <si>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</si>
  <si>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</si>
  <si>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</si>
  <si>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</si>
  <si>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</si>
  <si>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</si>
  <si>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</si>
  <si>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</si>
  <si>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</si>
  <si>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</si>
  <si>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</si>
  <si>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</si>
  <si>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</si>
  <si>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</si>
  <si>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</si>
  <si>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</si>
  <si>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</si>
  <si>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</si>
  <si>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</si>
  <si>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</si>
  <si>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</si>
  <si>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</si>
  <si>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</si>
  <si>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</si>
  <si>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</si>
  <si>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</si>
  <si>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</si>
  <si>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</si>
  <si>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F110</t>
  </si>
  <si>
    <t xml:space="preserve">Séché : chiffre d'affaires contributif</t>
  </si>
  <si>
    <t xml:space="preserve">1,152</t>
  </si>
  <si>
    <t xml:space="preserve">01_Financial/26-02_cp-bn-25_en.pdf</t>
  </si>
  <si>
    <t xml:space="preserve">https://www.groupe-seche.com/uploads/2026/03/26-02_cp-bn-25_en.pdf</t>
  </si>
  <si>
    <t xml:space="preserve">2026-10-01</t>
  </si>
  <si>
    <t xml:space="preserve">F111</t>
  </si>
  <si>
    <t xml:space="preserve">Séché : EBITDA</t>
  </si>
  <si>
    <t xml:space="preserve">225.4</t>
  </si>
  <si>
    <t xml:space="preserve">F112</t>
  </si>
  <si>
    <t xml:space="preserve">242.3</t>
  </si>
  <si>
    <t xml:space="preserve">F113</t>
  </si>
  <si>
    <t xml:space="preserve">Séché : marge d'EBITDA</t>
  </si>
  <si>
    <t xml:space="preserve">19.6</t>
  </si>
  <si>
    <t xml:space="preserve">F114</t>
  </si>
  <si>
    <t xml:space="preserve">Séché : dette financière nette (IFRS)</t>
  </si>
  <si>
    <t xml:space="preserve">548.8</t>
  </si>
  <si>
    <t xml:space="preserve">F115</t>
  </si>
  <si>
    <t xml:space="preserve">849.7</t>
  </si>
  <si>
    <t xml:space="preserve">F116</t>
  </si>
  <si>
    <t xml:space="preserve">Séché : dette nette selon la documentation bancaire (hors prêts sans recours, affacturage)</t>
  </si>
  <si>
    <t xml:space="preserve">509.2</t>
  </si>
  <si>
    <t xml:space="preserve">F117</t>
  </si>
  <si>
    <t xml:space="preserve">Séché : levier financier (méthode bancaire)</t>
  </si>
  <si>
    <t xml:space="preserve">2.3</t>
  </si>
  <si>
    <t xml:space="preserve">F118</t>
  </si>
  <si>
    <t xml:space="preserve">3.2</t>
  </si>
  <si>
    <t xml:space="preserve">F119</t>
  </si>
  <si>
    <t xml:space="preserve">Séché : objectif de levier, en dessous de</t>
  </si>
  <si>
    <t xml:space="preserve">30/06/2027</t>
  </si>
  <si>
    <t xml:space="preserve">F120</t>
  </si>
  <si>
    <t xml:space="preserve">Séché : part de l'international dans le chiffre d'affaires</t>
  </si>
  <si>
    <t xml:space="preserve">36</t>
  </si>
  <si>
    <t xml:space="preserve">F121</t>
  </si>
  <si>
    <t xml:space="preserve">Séché : conversion de l'EBITDA en cash</t>
  </si>
  <si>
    <t xml:space="preserve">51</t>
  </si>
  <si>
    <t xml:space="preserve">F122</t>
  </si>
  <si>
    <t xml:space="preserve">607,8</t>
  </si>
  <si>
    <t xml:space="preserve">01_Financial/26-06_cp-bn-s1-26-eng.pdf</t>
  </si>
  <si>
    <t xml:space="preserve">https://www.groupe-seche.com/uploads/2026/09/26-06_cp-bn-s1-26-eng.pdf</t>
  </si>
  <si>
    <t xml:space="preserve">F123</t>
  </si>
  <si>
    <t xml:space="preserve">128,3</t>
  </si>
  <si>
    <t xml:space="preserve">F124</t>
  </si>
  <si>
    <t xml:space="preserve">757,4</t>
  </si>
  <si>
    <t xml:space="preserve">F125</t>
  </si>
  <si>
    <t xml:space="preserve">Séché : levier financier (méthode bancaire, dette nette moyenne)</t>
  </si>
  <si>
    <t xml:space="preserve">2,9</t>
  </si>
  <si>
    <t xml:space="preserve">F126</t>
  </si>
  <si>
    <t xml:space="preserve">Séché : effet des acquisitions Hidronor et La Filippa sur la dette nette</t>
  </si>
  <si>
    <t xml:space="preserve">224</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</si>
  <si>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</si>
  <si>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</si>
  <si>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</si>
  <si>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</si>
  <si>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</si>
  <si>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</si>
  <si>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</si>
  <si>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</si>
  <si>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</si>
  <si>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</si>
  <si>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</si>
  <si>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</si>
  <si>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</si>
  <si>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</si>
  <si>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</si>
  <si>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</si>
  <si>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</si>
  <si>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</si>
  <si>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</si>
  <si>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</si>
  <si>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</si>
  <si>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</si>
  <si>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</si>
  <si>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</si>
  <si>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</si>
  <si>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</si>
  <si>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</si>
  <si>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</si>
  <si>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</si>
  <si>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</si>
  <si>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</si>
  <si>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</si>
  <si>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</si>
  <si>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</si>
  <si>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</si>
  <si>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</si>
  <si>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</si>
  <si>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</si>
  <si>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</si>
  <si>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</si>
  <si>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</si>
  <si>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</si>
  <si>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</si>
  <si>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</si>
  <si>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</si>
  <si>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</si>
  <si>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</si>
  <si>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</si>
  <si>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</si>
  <si>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</si>
  <si>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</si>
  <si>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</si>
  <si>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</si>
  <si>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</si>
  <si>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</si>
  <si>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</si>
  <si>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</si>
  <si>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</si>
  <si>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</si>
  <si>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</si>
  <si>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</si>
  <si>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</si>
  <si>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</si>
  <si>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</si>
  <si>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</si>
  <si>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</si>
  <si>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</si>
  <si>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</si>
  <si>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</si>
  <si>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</si>
  <si>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</si>
  <si>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</si>
  <si>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</si>
  <si>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</si>
  <si>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</si>
  <si>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</si>
  <si>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</si>
  <si>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</si>
  <si>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</si>
  <si>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</si>
  <si>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</si>
  <si>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</si>
  <si>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</si>
  <si>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</si>
  <si>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</si>
  <si>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</si>
  <si>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</si>
  <si>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</si>
  <si>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</si>
  <si>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</si>
  <si>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</si>
  <si>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</si>
  <si>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</si>
  <si>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</si>
  <si>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</si>
  <si>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</si>
  <si>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</si>
  <si>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</si>
  <si>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</si>
  <si>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</si>
  <si>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</si>
  <si>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</si>
  <si>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</si>
  <si>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</si>
  <si>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</si>
  <si>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</si>
  <si>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</si>
  <si>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</si>
  <si>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</si>
  <si>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</si>
  <si>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</si>
  <si>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</si>
  <si>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</si>
  <si>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</si>
  <si>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</si>
  <si>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</si>
  <si>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</si>
  <si>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</si>
  <si>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</si>
  <si>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</si>
  <si>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</si>
  <si>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</si>
  <si>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</si>
  <si>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</si>
  <si>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</si>
  <si>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</si>
  <si>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</si>
  <si>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</si>
  <si>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</si>
  <si>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</si>
  <si>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</si>
  <si>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</si>
  <si>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</si>
  <si>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</si>
  <si>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</si>
  <si>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</si>
  <si>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</si>
  <si>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</si>
  <si>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</si>
  <si>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</si>
  <si>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</si>
  <si>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</si>
  <si>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</si>
  <si>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</si>
  <si>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</si>
  <si>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</si>
  <si>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</si>
  <si>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</si>
  <si>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</si>
  <si>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</si>
  <si>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</si>
  <si>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</si>
  <si>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</si>
  <si>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</si>
  <si>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</si>
  <si>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</si>
  <si>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</si>
  <si>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</si>
  <si>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</si>
  <si>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</si>
  <si>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</si>
  <si>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</si>
  <si>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</si>
  <si>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</si>
  <si>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</si>
  <si>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</si>
  <si>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</si>
  <si>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</si>
  <si>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</si>
  <si>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</si>
  <si>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</si>
  <si>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</si>
  <si>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</si>
  <si>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</si>
  <si>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</si>
  <si>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</si>
  <si>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</si>
  <si>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</si>
  <si>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</si>
  <si>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</si>
  <si>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</si>
  <si>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</si>
  <si>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</si>
  <si>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</si>
  <si>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</si>
  <si>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</si>
  <si>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</si>
  <si>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</si>
  <si>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</si>
  <si>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</si>
  <si>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</si>
  <si>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</si>
  <si>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</si>
  <si>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</si>
  <si>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</si>
  <si>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</si>
  <si>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</si>
  <si>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</si>
  <si>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</si>
  <si>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</si>
  <si>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</si>
  <si>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</si>
  <si>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</si>
  <si>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</si>
  <si>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</si>
  <si>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</si>
  <si>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</si>
  <si>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</si>
  <si>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</si>
  <si>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</si>
  <si>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</si>
  <si>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</si>
  <si>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</si>
  <si>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</si>
  <si>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</si>
  <si>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</si>
  <si>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</si>
  <si>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</si>
  <si>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</si>
  <si>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</si>
  <si>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</si>
  <si>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</si>
  <si>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</si>
  <si>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</si>
  <si>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</si>
  <si>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</si>
  <si>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</si>
  <si>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</si>
  <si>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</si>
  <si>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</si>
  <si>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</si>
  <si>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</si>
  <si>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</si>
  <si>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</si>
  <si>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</si>
  <si>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</si>
  <si>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</si>
  <si>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</si>
  <si>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</si>
  <si>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</si>
  <si>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</si>
  <si>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</si>
  <si>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</si>
  <si>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</si>
  <si>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</si>
  <si>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</si>
  <si>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</si>
  <si>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</si>
  <si>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</si>
  <si>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</si>
  <si>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</si>
  <si>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</si>
  <si>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</si>
  <si>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</si>
  <si>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</si>
  <si>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</si>
  <si>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</si>
  <si>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</si>
  <si>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</si>
  <si>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</si>
  <si>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</si>
  <si>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</si>
  <si>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</si>
  <si>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</si>
  <si>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</si>
  <si>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</si>
  <si>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retraitements d'agence (hybrides à 50 %, pensions, etc.)</t>
  </si>
  <si>
    <t xml:space="preserve">Lecture : les agences ne regardent pas le 3x de Veolia mais FFO / dette ajustée. Au pic de dette 2026 (~29 Md€), tenir 18 % demande ~5,2 Md€ de FFO, à peu près le FFO 2025 implicite : la marge est nulle en 2026 et ne revient qu'avec les cessions. C'est la limite qui mord en premier, avant le plafond de 3x.</t>
  </si>
  <si>
    <t xml:space="preserve">C</t>
  </si>
  <si>
    <t xml:space="preserve">Le plafond selon la définition retenue (scénario central,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</si>
  <si>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</si>
  <si>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</si>
  <si>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</si>
  <si>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</si>
  <si>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</si>
  <si>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</si>
  <si>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</si>
  <si>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</si>
  <si>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</si>
  <si>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</si>
  <si>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</si>
  <si>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</si>
  <si>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</si>
  <si>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</si>
  <si>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</si>
  <si>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</si>
  <si>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</si>
  <si>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</si>
  <si>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</si>
  <si>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</si>
  <si>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</si>
  <si>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</si>
  <si>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</si>
  <si>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</si>
  <si>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</si>
  <si>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</si>
  <si>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</si>
  <si>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</si>
  <si>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</si>
  <si>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</si>
  <si>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</si>
  <si>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</si>
  <si>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</si>
  <si>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</si>
  <si>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</si>
  <si>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</si>
  <si>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</si>
  <si>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</si>
  <si>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</si>
  <si>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</si>
  <si>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</si>
  <si>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</si>
  <si>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</si>
  <si>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</si>
  <si>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</si>
  <si>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</si>
  <si>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</si>
  <si>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</si>
  <si>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</si>
  <si>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</si>
  <si>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</si>
  <si>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</si>
  <si>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</si>
  <si>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</si>
  <si>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</si>
  <si>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</si>
  <si>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</si>
  <si>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</si>
  <si>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</si>
  <si>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</si>
  <si>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</si>
  <si>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</si>
  <si>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</si>
  <si>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</si>
  <si>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</si>
  <si>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</si>
  <si>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</si>
  <si>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</si>
  <si>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</si>
  <si>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</si>
  <si>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Lecture : les ~0,5 Md€/an annoncés sont la rotation NETTE des cessions ; ils correspondent au haut de la fourchette de tuck-ins (1,0 Md€ brut) moins ~0,5 Md€ de cessions. La même convention vaut pour les investissements industriels (3,1 Md€ nets).</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</si>
  <si>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</si>
  <si>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</si>
  <si>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</si>
  <si>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</si>
  <si>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</si>
  <si>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</si>
  <si>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</si>
  <si>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</si>
  <si>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</si>
  <si>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</si>
  <si>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Lecture : Clean Earth sort de l'enveloppe nette ; c'est le programme de cessions &gt; 2 Md€, lancé en 2026, qui le ramène à peu près dedans. Les 8 Md€ sont un chiffre brut (achats + ventes) : à ne pas comparer aux 0,5 Md€ nets.</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</si>
  <si>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</si>
  <si>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</si>
  <si>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</si>
  <si>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</si>
  <si>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</si>
  <si>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</si>
  <si>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</si>
  <si>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</si>
  <si>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</si>
  <si>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</si>
  <si>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</si>
  <si>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</si>
  <si>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</si>
  <si>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</si>
  <si>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</si>
  <si>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</si>
  <si>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</si>
  <si>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</si>
  <si>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</si>
  <si>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</si>
  <si>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</si>
  <si>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</si>
  <si>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</si>
  <si>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</si>
  <si>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</si>
  <si>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</si>
  <si>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</si>
  <si>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</si>
  <si>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</si>
  <si>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</si>
  <si>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</si>
  <si>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Lecture : la diapositive GreenUp p.44 dit elle-même « net growth investments » : les 4 Md€ sont nets des cessions. Les sorties nettes cumulées dépassent déjà cette enveloppe au 30 juin 2026 ; c'est le programme de cessions qui doit les y ramener.</t>
  </si>
  <si>
    <t xml:space="preserve">Rôles 3 et 6 — Trajectoire 2026-2027 et marge de manœuvre sous 3x</t>
  </si>
  <si>
    <t xml:space="preserve">Colonne D = scénario central. Chaque colonne suivante change UNE hypothèse (cellule saumon). Les deux dernières combinent tous les bas défavorables, puis tous les hauts favorables.</t>
  </si>
  <si>
    <t xml:space="preserve">Scénario</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</si>
  <si>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</si>
  <si>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</si>
  <si>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</si>
  <si>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</si>
  <si>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</si>
  <si>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</si>
  <si>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</si>
  <si>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</si>
  <si>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</si>
  <si>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</si>
  <si>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</si>
  <si>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</si>
  <si>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</si>
  <si>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</si>
  <si>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</si>
  <si>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</si>
  <si>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</si>
  <si>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</si>
  <si>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</si>
  <si>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</si>
  <si>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</si>
  <si>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</si>
  <si>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</si>
  <si>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</si>
  <si>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</si>
  <si>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</si>
  <si>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</si>
  <si>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</si>
  <si>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</si>
  <si>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</si>
  <si>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</si>
  <si>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</si>
  <si>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</si>
  <si>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</si>
  <si>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</si>
  <si>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</si>
  <si>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</si>
  <si>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</si>
  <si>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</si>
  <si>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</si>
  <si>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</si>
  <si>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</si>
  <si>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</si>
  <si>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</si>
  <si>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</si>
  <si>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</si>
  <si>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</si>
  <si>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</si>
  <si>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</si>
  <si>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</si>
  <si>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</si>
  <si>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</si>
  <si>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</si>
  <si>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</si>
  <si>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</si>
  <si>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</si>
  <si>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</si>
  <si>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</si>
  <si>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</si>
  <si>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</si>
  <si>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</si>
  <si>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</si>
  <si>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</si>
  <si>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</si>
  <si>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</si>
  <si>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</si>
  <si>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</si>
  <si>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</si>
  <si>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</si>
  <si>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</si>
  <si>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</si>
  <si>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</si>
  <si>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si bas</t>
  </si>
  <si>
    <t xml:space="preserve">Marge si haut</t>
  </si>
  <si>
    <t xml:space="preserve">Δ bas</t>
  </si>
  <si>
    <t xml:space="preserve">Δ haut</t>
  </si>
  <si>
    <t xml:space="preserve">Amplitude</t>
  </si>
  <si>
    <t xml:space="preserve">Levier 2026 bas</t>
  </si>
  <si>
    <t xml:space="preserve">Levier 2026 haut</t>
  </si>
  <si>
    <t xml:space="preserve">clé de tri</t>
  </si>
  <si>
    <t xml:space="preserve">Base : marge de manœuvre fin 2027</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</si>
  <si>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</si>
  <si>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</si>
  <si>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</si>
  <si>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</si>
  <si>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</si>
  <si>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</si>
  <si>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</si>
  <si>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</si>
  <si>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</si>
  <si>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</si>
  <si>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</si>
  <si>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</si>
  <si>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</si>
  <si>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</si>
  <si>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</si>
  <si>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</si>
  <si>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</si>
  <si>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</si>
  <si>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</si>
  <si>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</si>
  <si>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</si>
  <si>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</si>
  <si>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</si>
  <si>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</si>
  <si>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</si>
  <si>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</si>
  <si>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</si>
  <si>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</si>
  <si>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</si>
  <si>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Lecture : l'objectif de volume a été ramené de 10 Mt à 9 Mt, et le périmètre a changé (« et polluants » a disparu). À expliquer à l'oral avant toute comparaison.</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</si>
  <si>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</si>
  <si>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</si>
  <si>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</si>
  <si>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</si>
  <si>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</si>
  <si>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</si>
  <si>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</si>
  <si>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</si>
  <si>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</si>
  <si>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</si>
  <si>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</si>
  <si>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</si>
  <si>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</si>
  <si>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</si>
  <si>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</si>
  <si>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</si>
  <si>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</si>
  <si>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</si>
  <si>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</si>
  <si>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</si>
  <si>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Lecture : en Europe le booster est à l'arrêt en organique (−0,2 %). Les +10 %/an reposent sur Clean Earth et les États-Unis : c'est de la croissance achetée.</t>
  </si>
  <si>
    <t xml:space="preserve">Comparables — cadre à remplir (phase D, sources à verser dans la dataroom)</t>
  </si>
  <si>
    <t xml:space="preserve">Société</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</si>
  <si>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</si>
  <si>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</si>
  <si>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</si>
  <si>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</si>
  <si>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</si>
  <si>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</si>
  <si>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</si>
  <si>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</si>
  <si>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États-Unis</t>
  </si>
  <si>
    <t xml:space="preserve">TSDF, incinération ; leader US, concurrent direct de Clean Earth</t>
  </si>
  <si>
    <t xml:space="preserve">Séché Environnement</t>
  </si>
  <si>
    <t xml:space="preserve">France</t>
  </si>
  <si>
    <t xml:space="preserve">F110 p.1, F111 p.3</t>
  </si>
  <si>
    <t xml:space="preserve">spécialiste DD européen, coté à Paris — 2025, M EUR ; levier 2,3x calculé sur la dette moyenne selon la doc bancaire, pas comme Veolia</t>
  </si>
  <si>
    <t xml:space="preserve">Enviri (ex-Harsco)</t>
  </si>
  <si>
    <t xml:space="preserve">vendeur de Clean Earth : ses comptes donnent l'historique de la cible</t>
  </si>
  <si>
    <t xml:space="preserve">Republic Services (US Ecology)</t>
  </si>
  <si>
    <t xml:space="preserve">généraliste ; DD via US Ecology — mix différent</t>
  </si>
  <si>
    <t xml:space="preserve">Remondis / SARP</t>
  </si>
  <si>
    <t xml:space="preserve">Allemagne</t>
  </si>
  <si>
    <t xml:space="preserve">non coté : comparable métier, pas de multiple de marché</t>
  </si>
  <si>
    <t xml:space="preserve">Pour mémoire : marge d'EBITDA de Séché publiée</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</si>
  <si>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</si>
  <si>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</si>
  <si>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</si>
  <si>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</si>
  <si>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</si>
  <si>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</si>
  <si>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</si>
  <si>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</si>
  <si>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</si>
  <si>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</si>
  <si>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</si>
  <si>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</si>
  <si>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</si>
  <si>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</si>
  <si>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</si>
  <si>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</si>
  <si>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</si>
  <si>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</si>
  <si>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</si>
  <si>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</si>
  <si>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</si>
  <si>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</si>
  <si>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</si>
  <si>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</si>
  <si>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</si>
  <si>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</si>
  <si>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</si>
  <si>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</si>
  <si>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</si>
  <si>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</si>
  <si>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Passifs environnementaux propres à Clean Earth (à sourcer : 10-K d'Enviri)</t>
  </si>
  <si>
    <t xml:space="preserve">cellule à remplir : laisser vide tant qu'aucun document ne le dit</t>
  </si>
  <si>
    <t xml:space="preserve">Effet sur le levier 2027 s'ils étaient traités comme de la dette</t>
  </si>
  <si>
    <t xml:space="preserve">passifs / EBITDA 2027 central</t>
  </si>
  <si>
    <t xml:space="preserve">Lecture : 81 % du prix est encore du goodwill. Tant que l'affectation n'est pas faite (au plus tard aux comptes 2026), la juste valeur des passifs environnementaux de Clean Earth n'est pas visible chez Veolia. C'est l'angle mort du rôle 5.</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</si>
  <si>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</si>
  <si>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</si>
  <si>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</si>
  <si>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</si>
  <si>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</si>
  <si>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</si>
  <si>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</si>
  <si>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Note</t>
  </si>
  <si>
    <t xml:space="preserve">Marge de manœuvre fin 2027 (M EUR)</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</si>
  <si>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</si>
  <si>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</si>
  <si>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</si>
  <si>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</si>
  <si>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</si>
  <si>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</si>
  <si>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</si>
  <si>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</si>
  <si>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</si>
  <si>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</si>
  <si>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</si>
  <si>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</si>
  <si>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</si>
  <si>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Univers de cibles — à remplir (phase F)</t>
  </si>
  <si>
    <t xml:space="preserve">Cible</t>
  </si>
  <si>
    <t xml:space="preserve">Activité DD</t>
  </si>
  <si>
    <t xml:space="preserve">VE estimée (M EUR)</t>
  </si>
  <si>
    <t xml:space="preserve">Multiple VE / EBITDA</t>
  </si>
  <si>
    <t xml:space="preserve">Tient dans la marge centrale ?</t>
  </si>
  <si>
    <t xml:space="preserve">Exemple : Clean Earth (pour calibrer)</t>
  </si>
  <si>
    <t xml:space="preserve">TSDF, 82 sites</t>
  </si>
  <si>
    <t xml:space="preserve">Cellules jaunes : une ligne par cible, VE et multiple sourcés dans la dataroom. La colonne G répond seule.</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</si>
  <si>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</si>
  <si>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</si>
  <si>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</si>
  <si>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</si>
  <si>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</si>
  <si>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</si>
  <si>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</si>
  <si>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</si>
  <si>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</si>
  <si>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</si>
  <si>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</si>
  <si>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</si>
  <si>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</si>
  <si>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</si>
  <si>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</si>
  <si>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</si>
  <si>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</si>
  <si>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</si>
  <si>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</si>
  <si>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</si>
  <si>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</si>
  <si>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EBITDA 2027 central face à l'objectif ≥ 8 Md€</t>
  </si>
  <si>
    <t xml:space="preserve">INFO</t>
  </si>
  <si>
    <t xml:space="preserve">Info</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</si>
  <si>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</si>
  <si>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</si>
  <si>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</si>
  <si>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</si>
  <si>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Chiffres de l'onglet Entrées non relus par un tiers</t>
  </si>
  <si>
    <t xml:space="preserve">Statut global des contrôles bloquants</t>
  </si>
</sst>
</file>

<file path=xl/styles.xml><?xml version="1.0" encoding="utf-8"?>
<styleSheet xmlns="http://schemas.openxmlformats.org/spreadsheetml/2006/main">
  <numFmts count="12">
    <numFmt numFmtId="164" formatCode="General"/>
    <numFmt numFmtId="165" formatCode="0.00\x;\(0.00&quot;x)&quot;;\-"/>
    <numFmt numFmtId="166" formatCode="#,##0;\(#,##0\);\-"/>
    <numFmt numFmtId="167" formatCode="#,##0.00;\(#,##0.00\);\-"/>
    <numFmt numFmtId="168" formatCode="#,##0"/>
    <numFmt numFmtId="169" formatCode="#,##0.00;\-#,##0.00"/>
    <numFmt numFmtId="170" formatCode="0.0%;\(0.0%\);\-"/>
    <numFmt numFmtId="171" formatCode="0.0\x"/>
    <numFmt numFmtId="172" formatCode="0.0000"/>
    <numFmt numFmtId="173" formatCode="#,##0.0;\(#,##0.0\);\-"/>
    <numFmt numFmtId="174" formatCode="0.0"/>
    <numFmt numFmtId="175" formatCode="0.000000"/>
  </numFmts>
  <fonts count="2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69"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8" fontId="15" fillId="5"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0" fontId="18" fillId="2" borderId="0" xfId="0" applyFont="true" applyBorder="false" applyAlignment="false" applyProtection="false">
      <alignment horizontal="general" vertical="bottom" textRotation="0" wrapText="false" indent="0" shrinkToFit="false"/>
      <protection locked="true" hidden="false"/>
    </xf>
    <xf numFmtId="170" fontId="8" fillId="2"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66" fontId="18" fillId="2"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false" applyProtection="false">
      <alignment horizontal="general" vertical="bottom" textRotation="0" wrapText="false" indent="0" shrinkToFit="false"/>
      <protection locked="true" hidden="false"/>
    </xf>
    <xf numFmtId="167" fontId="18"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72" fontId="18"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71" fontId="18"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73" fontId="18" fillId="2"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5" fontId="1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4" fontId="18"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true" applyProtection="false">
      <alignment horizontal="right"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7" fontId="1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70" fontId="18" fillId="0" borderId="0" xfId="0" applyFont="true" applyBorder="false" applyAlignment="false" applyProtection="false">
      <alignment horizontal="general" vertical="bottom" textRotation="0" wrapText="false" indent="0" shrinkToFit="false"/>
      <protection locked="true" hidden="false"/>
    </xf>
    <xf numFmtId="170" fontId="18" fillId="3" borderId="0" xfId="0" applyFont="true" applyBorder="false" applyAlignment="false" applyProtection="false">
      <alignment horizontal="general" vertical="bottom" textRotation="0" wrapText="false" indent="0" shrinkToFit="false"/>
      <protection locked="true" hidden="false"/>
    </xf>
    <xf numFmtId="170" fontId="8" fillId="3" borderId="0" xfId="0" applyFont="true" applyBorder="false" applyAlignment="false" applyProtection="false">
      <alignment horizontal="general" vertical="bottom" textRotation="0" wrapText="false" indent="0" shrinkToFit="false"/>
      <protection locked="true" hidden="false"/>
    </xf>
    <xf numFmtId="166" fontId="18"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71" fontId="18"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71" fontId="18" fillId="3" borderId="0" xfId="0" applyFont="true" applyBorder="false" applyAlignment="false" applyProtection="false">
      <alignment horizontal="general" vertical="bottom" textRotation="0" wrapText="false" indent="0" shrinkToFit="false"/>
      <protection locked="true" hidden="false"/>
    </xf>
    <xf numFmtId="171" fontId="8" fillId="3" borderId="0" xfId="0" applyFont="true" applyBorder="false" applyAlignment="false" applyProtection="false">
      <alignment horizontal="general" vertical="bottom" textRotation="0" wrapText="false" indent="0" shrinkToFit="false"/>
      <protection locked="true" hidden="false"/>
    </xf>
    <xf numFmtId="167" fontId="18" fillId="3" borderId="0" xfId="0" applyFont="true" applyBorder="false" applyAlignment="false" applyProtection="false">
      <alignment horizontal="general" vertical="bottom" textRotation="0" wrapText="false" indent="0" shrinkToFit="false"/>
      <protection locked="true" hidden="false"/>
    </xf>
    <xf numFmtId="167" fontId="8" fillId="3" borderId="0" xfId="0" applyFont="true" applyBorder="false" applyAlignment="false" applyProtection="false">
      <alignment horizontal="general" vertical="bottom" textRotation="0" wrapText="false" indent="0" shrinkToFit="false"/>
      <protection locked="true" hidden="false"/>
    </xf>
    <xf numFmtId="172" fontId="18" fillId="0"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8" fontId="1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73" fontId="18"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5" fontId="14" fillId="0" borderId="0"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75" fontId="16"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71" fontId="8" fillId="2"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C0504D"/>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4F81BD"/>
      <rgbColor rgb="FF878787"/>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Sensibilité!C20</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Sensibilité!$B$21:$B$31</c:f>
              <c:strCache>
                <c:ptCount val="11"/>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Part des signatures 2026 encaissée avant le 31/12/2026</c:v>
                </c:pt>
              </c:strCache>
            </c:strRef>
          </c:cat>
          <c:val>
            <c:numRef>
              <c:f>Sensibilité!$C$21:$C$31</c:f>
              <c:numCache>
                <c:formatCode>#,##0;\(#,##0\);\-</c:formatCode>
                <c:ptCount val="11"/>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4.35695750114246</c:v>
                </c:pt>
              </c:numCache>
            </c:numRef>
          </c:val>
        </c:ser>
        <c:ser>
          <c:idx val="1"/>
          <c:order val="1"/>
          <c:tx>
            <c:strRef>
              <c:f>Sensibilité!D20</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Sensibilité!$B$21:$B$31</c:f>
              <c:strCache>
                <c:ptCount val="11"/>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Part des signatures 2026 encaissée avant le 31/12/2026</c:v>
                </c:pt>
              </c:strCache>
            </c:strRef>
          </c:cat>
          <c:val>
            <c:numRef>
              <c:f>Sensibilité!$D$21:$D$31</c:f>
              <c:numCache>
                <c:formatCode>#,##0;\(#,##0\);\-</c:formatCode>
                <c:ptCount val="11"/>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-4.35695750113518</c:v>
                </c:pt>
              </c:numCache>
            </c:numRef>
          </c:val>
        </c:ser>
        <c:gapWidth val="150"/>
        <c:overlap val="100"/>
        <c:axId val="57238926"/>
        <c:axId val="83370344"/>
      </c:barChart>
      <c:catAx>
        <c:axId val="57238926"/>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83370344"/>
        <c:crosses val="autoZero"/>
        <c:auto val="1"/>
        <c:lblAlgn val="ctr"/>
        <c:lblOffset val="100"/>
        <c:noMultiLvlLbl val="0"/>
      </c:catAx>
      <c:valAx>
        <c:axId val="83370344"/>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7238926"/>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18</xdr:row>
      <xdr:rowOff>48240</xdr:rowOff>
    </xdr:from>
    <xdr:to>
      <xdr:col>17</xdr:col>
      <xdr:colOff>133920</xdr:colOff>
      <xdr:row>37</xdr:row>
      <xdr:rowOff>28440</xdr:rowOff>
    </xdr:to>
    <xdr:graphicFrame>
      <xdr:nvGraphicFramePr>
        <xdr:cNvPr id="0" name="Chart 1"/>
        <xdr:cNvGraphicFramePr/>
      </xdr:nvGraphicFramePr>
      <xdr:xfrm>
        <a:off x="9334440" y="361944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Trajectoire!$D$32</f>
        <v>3.01771731406222</v>
      </c>
      <c r="D5" s="2"/>
      <c r="E5" s="2"/>
      <c r="F5" s="2"/>
    </row>
    <row r="6" customFormat="false" ht="15" hidden="false" customHeight="false" outlineLevel="0" collapsed="false">
      <c r="A6" s="2"/>
      <c r="B6" s="5" t="s">
        <v>4</v>
      </c>
      <c r="C6" s="6" t="n">
        <f aca="false">Trajectoire!$D$44</f>
        <v>2.80320887741352</v>
      </c>
      <c r="D6" s="2"/>
      <c r="E6" s="2"/>
      <c r="F6" s="2"/>
    </row>
    <row r="7" customFormat="false" ht="15" hidden="false" customHeight="false" outlineLevel="0" collapsed="false">
      <c r="A7" s="2"/>
      <c r="B7" s="5" t="s">
        <v>5</v>
      </c>
      <c r="C7" s="7" t="n">
        <f aca="false">Trajectoire!$D$45</f>
        <v>1570.67466937297</v>
      </c>
      <c r="D7" s="2"/>
      <c r="E7" s="2"/>
      <c r="F7" s="2"/>
    </row>
    <row r="8" customFormat="false" ht="15" hidden="false" customHeight="false" outlineLevel="0" collapsed="false">
      <c r="A8" s="2"/>
      <c r="B8" s="5" t="s">
        <v>6</v>
      </c>
      <c r="C8" s="7" t="n">
        <f aca="false">Trajectoire!$D$46</f>
        <v>2263.61937644927</v>
      </c>
      <c r="D8" s="2"/>
      <c r="E8" s="2"/>
      <c r="F8" s="2"/>
    </row>
    <row r="9" customFormat="false" ht="15" hidden="false" customHeight="false" outlineLevel="0" collapsed="false">
      <c r="A9" s="2"/>
      <c r="B9" s="5" t="s">
        <v>7</v>
      </c>
      <c r="C9" s="7" t="n">
        <f aca="false">Trajectoire!$D$47</f>
        <v>-18.5694927233199</v>
      </c>
      <c r="D9" s="2"/>
      <c r="E9" s="2"/>
      <c r="F9" s="2"/>
    </row>
    <row r="10" customFormat="false" ht="15" hidden="false" customHeight="false" outlineLevel="0" collapsed="false">
      <c r="A10" s="2"/>
      <c r="B10" s="5" t="s">
        <v>8</v>
      </c>
      <c r="C10" s="7" t="n">
        <f aca="false">Trajectoire!$AA$45</f>
        <v>-500.000711943791</v>
      </c>
      <c r="D10" s="2"/>
      <c r="E10" s="2"/>
      <c r="F10" s="2"/>
    </row>
    <row r="11" customFormat="false" ht="15" hidden="false" customHeight="false" outlineLevel="0" collapsed="false">
      <c r="A11" s="2"/>
      <c r="B11" s="5" t="s">
        <v>9</v>
      </c>
      <c r="C11" s="6" t="n">
        <f aca="false">Levier!$C$54</f>
        <v>3.06005506534074</v>
      </c>
      <c r="D11" s="2"/>
      <c r="E11" s="2"/>
      <c r="F11" s="2"/>
    </row>
    <row r="12" customFormat="false" ht="15" hidden="false" customHeight="false" outlineLevel="0" collapsed="false">
      <c r="A12" s="2"/>
      <c r="B12" s="5" t="s">
        <v>10</v>
      </c>
      <c r="C12" s="8" t="n">
        <f aca="false">Cessions!$C$45</f>
        <v>4.773</v>
      </c>
      <c r="D12" s="2"/>
      <c r="E12" s="2"/>
      <c r="F12" s="2"/>
    </row>
    <row r="13" customFormat="false" ht="15" hidden="false" customHeight="false" outlineLevel="0" collapsed="false">
      <c r="A13" s="2"/>
      <c r="B13" s="5" t="s">
        <v>11</v>
      </c>
      <c r="C13" s="7" t="n">
        <f aca="false">Levier!$C$46</f>
        <v>-63.7999999999993</v>
      </c>
      <c r="D13" s="2"/>
      <c r="E13" s="2"/>
      <c r="F13" s="2"/>
    </row>
    <row r="14" customFormat="false" ht="15" hidden="false" customHeight="false" outlineLevel="0" collapsed="false">
      <c r="A14" s="2"/>
      <c r="B14" s="5" t="s">
        <v>12</v>
      </c>
      <c r="C14" s="9" t="str">
        <f aca="false">Vérifications!$F$23</f>
        <v>OK</v>
      </c>
      <c r="D14" s="2"/>
      <c r="E14" s="2"/>
      <c r="F14" s="2"/>
    </row>
    <row r="15" customFormat="false" ht="15" hidden="false" customHeight="false" outlineLevel="0" collapsed="false">
      <c r="A15" s="2"/>
      <c r="B15" s="2"/>
      <c r="C15" s="2"/>
      <c r="D15" s="2"/>
      <c r="E15" s="2"/>
      <c r="F15" s="2"/>
    </row>
    <row r="16" customFormat="false" ht="15" hidden="false" customHeight="false" outlineLevel="0" collapsed="false">
      <c r="A16" s="2"/>
      <c r="B16" s="4" t="s">
        <v>13</v>
      </c>
      <c r="C16" s="2"/>
      <c r="D16" s="2"/>
      <c r="E16" s="2"/>
      <c r="F16" s="2"/>
    </row>
    <row r="17" customFormat="false" ht="15" hidden="false" customHeight="true" outlineLevel="0" collapsed="false">
      <c r="A17" s="2"/>
      <c r="B17" s="10" t="s">
        <v>14</v>
      </c>
      <c r="C17" s="11" t="s">
        <v>15</v>
      </c>
      <c r="D17" s="11"/>
      <c r="E17" s="11"/>
      <c r="F17" s="11"/>
    </row>
    <row r="18" customFormat="false" ht="15" hidden="false" customHeight="true" outlineLevel="0" collapsed="false">
      <c r="A18" s="2"/>
      <c r="B18" s="12" t="s">
        <v>16</v>
      </c>
      <c r="C18" s="11" t="s">
        <v>17</v>
      </c>
      <c r="D18" s="11"/>
      <c r="E18" s="11"/>
      <c r="F18" s="11"/>
    </row>
    <row r="19" customFormat="false" ht="15" hidden="false" customHeight="true" outlineLevel="0" collapsed="false">
      <c r="A19" s="2"/>
      <c r="B19" s="13" t="s">
        <v>18</v>
      </c>
      <c r="C19" s="11" t="s">
        <v>19</v>
      </c>
      <c r="D19" s="11"/>
      <c r="E19" s="11"/>
      <c r="F19" s="11"/>
    </row>
    <row r="20" customFormat="false" ht="15" hidden="false" customHeight="true" outlineLevel="0" collapsed="false">
      <c r="A20" s="2"/>
      <c r="B20" s="14" t="s">
        <v>20</v>
      </c>
      <c r="C20" s="11" t="s">
        <v>21</v>
      </c>
      <c r="D20" s="11"/>
      <c r="E20" s="11"/>
      <c r="F20" s="11"/>
    </row>
    <row r="21" customFormat="false" ht="15" hidden="false" customHeight="true" outlineLevel="0" collapsed="false">
      <c r="A21" s="2"/>
      <c r="B21" s="15" t="s">
        <v>22</v>
      </c>
      <c r="C21" s="11" t="s">
        <v>23</v>
      </c>
      <c r="D21" s="11"/>
      <c r="E21" s="11"/>
      <c r="F21" s="11"/>
    </row>
    <row r="22" customFormat="false" ht="15" hidden="false" customHeight="false" outlineLevel="0" collapsed="false">
      <c r="A22" s="2"/>
      <c r="B22" s="2"/>
      <c r="C22" s="2"/>
      <c r="D22" s="2"/>
      <c r="E22" s="2"/>
      <c r="F22" s="2"/>
    </row>
    <row r="23" customFormat="false" ht="15" hidden="false" customHeight="false" outlineLevel="0" collapsed="false">
      <c r="A23" s="2"/>
      <c r="B23" s="4" t="s">
        <v>24</v>
      </c>
      <c r="C23" s="2"/>
      <c r="D23" s="2"/>
      <c r="E23" s="2"/>
      <c r="F23" s="2"/>
    </row>
    <row r="24" customFormat="false" ht="15" hidden="false" customHeight="false" outlineLevel="0" collapsed="false">
      <c r="A24" s="16"/>
      <c r="B24" s="16" t="s">
        <v>25</v>
      </c>
      <c r="C24" s="16" t="s">
        <v>26</v>
      </c>
      <c r="D24" s="16" t="s">
        <v>27</v>
      </c>
      <c r="E24" s="2"/>
      <c r="F24" s="2"/>
    </row>
    <row r="25" customFormat="false" ht="27.75" hidden="false" customHeight="true" outlineLevel="0" collapsed="false">
      <c r="A25" s="2"/>
      <c r="B25" s="17" t="s">
        <v>28</v>
      </c>
      <c r="C25" s="5" t="s">
        <v>29</v>
      </c>
      <c r="D25" s="11" t="s">
        <v>30</v>
      </c>
      <c r="E25" s="11"/>
      <c r="F25" s="11"/>
    </row>
    <row r="26" customFormat="false" ht="27.75" hidden="false" customHeight="true" outlineLevel="0" collapsed="false">
      <c r="A26" s="2"/>
      <c r="B26" s="17" t="s">
        <v>31</v>
      </c>
      <c r="C26" s="5" t="s">
        <v>32</v>
      </c>
      <c r="D26" s="11" t="s">
        <v>33</v>
      </c>
      <c r="E26" s="11"/>
      <c r="F26" s="11"/>
    </row>
    <row r="27" customFormat="false" ht="27.75" hidden="false" customHeight="true" outlineLevel="0" collapsed="false">
      <c r="A27" s="2"/>
      <c r="B27" s="17" t="s">
        <v>34</v>
      </c>
      <c r="C27" s="5" t="s">
        <v>35</v>
      </c>
      <c r="D27" s="11" t="s">
        <v>36</v>
      </c>
      <c r="E27" s="11"/>
      <c r="F27" s="11"/>
    </row>
    <row r="28" customFormat="false" ht="27.75" hidden="false" customHeight="true" outlineLevel="0" collapsed="false">
      <c r="A28" s="2"/>
      <c r="B28" s="17" t="s">
        <v>37</v>
      </c>
      <c r="C28" s="5" t="s">
        <v>38</v>
      </c>
      <c r="D28" s="11" t="s">
        <v>39</v>
      </c>
      <c r="E28" s="11"/>
      <c r="F28" s="11"/>
    </row>
    <row r="29" customFormat="false" ht="27.75" hidden="false" customHeight="true" outlineLevel="0" collapsed="false">
      <c r="A29" s="2"/>
      <c r="B29" s="17" t="s">
        <v>40</v>
      </c>
      <c r="C29" s="5" t="s">
        <v>41</v>
      </c>
      <c r="D29" s="11" t="s">
        <v>42</v>
      </c>
      <c r="E29" s="11"/>
      <c r="F29" s="11"/>
    </row>
    <row r="30" customFormat="false" ht="27.75" hidden="false" customHeight="true" outlineLevel="0" collapsed="false">
      <c r="A30" s="2"/>
      <c r="B30" s="17" t="s">
        <v>43</v>
      </c>
      <c r="C30" s="5" t="s">
        <v>44</v>
      </c>
      <c r="D30" s="11" t="s">
        <v>45</v>
      </c>
      <c r="E30" s="11"/>
      <c r="F30" s="11"/>
    </row>
    <row r="31" customFormat="false" ht="15" hidden="false" customHeight="false" outlineLevel="0" collapsed="false">
      <c r="A31" s="2"/>
      <c r="B31" s="2"/>
      <c r="C31" s="2"/>
      <c r="D31" s="2"/>
      <c r="E31" s="2"/>
      <c r="F31" s="2"/>
    </row>
    <row r="32" customFormat="false" ht="15" hidden="false" customHeight="false" outlineLevel="0" collapsed="false">
      <c r="A32" s="2"/>
      <c r="B32" s="4" t="s">
        <v>46</v>
      </c>
      <c r="C32" s="2"/>
      <c r="D32" s="2"/>
      <c r="E32" s="2"/>
      <c r="F32" s="2"/>
    </row>
    <row r="33" customFormat="false" ht="27.75" hidden="false" customHeight="true" outlineLevel="0" collapsed="false">
      <c r="A33" s="2"/>
      <c r="B33" s="11" t="s">
        <v>47</v>
      </c>
      <c r="C33" s="11"/>
      <c r="D33" s="11"/>
      <c r="E33" s="11"/>
      <c r="F33" s="11"/>
    </row>
    <row r="34" customFormat="false" ht="27.75" hidden="false" customHeight="true" outlineLevel="0" collapsed="false">
      <c r="A34" s="2"/>
      <c r="B34" s="11" t="s">
        <v>48</v>
      </c>
      <c r="C34" s="11"/>
      <c r="D34" s="11"/>
      <c r="E34" s="11"/>
      <c r="F34" s="11"/>
    </row>
    <row r="35" customFormat="false" ht="27.75" hidden="false" customHeight="true" outlineLevel="0" collapsed="false">
      <c r="A35" s="2"/>
      <c r="B35" s="11" t="s">
        <v>49</v>
      </c>
      <c r="C35" s="11"/>
      <c r="D35" s="11"/>
      <c r="E35" s="11"/>
      <c r="F35" s="11"/>
    </row>
    <row r="36" customFormat="false" ht="27.75" hidden="false" customHeight="true" outlineLevel="0" collapsed="false">
      <c r="A36" s="2"/>
      <c r="B36" s="11" t="s">
        <v>50</v>
      </c>
      <c r="C36" s="11"/>
      <c r="D36" s="11"/>
      <c r="E36" s="11"/>
      <c r="F36" s="11"/>
    </row>
    <row r="37" customFormat="false" ht="27.75" hidden="false" customHeight="true" outlineLevel="0" collapsed="false">
      <c r="A37" s="2"/>
      <c r="B37" s="11" t="s">
        <v>51</v>
      </c>
      <c r="C37" s="11"/>
      <c r="D37" s="11"/>
      <c r="E37" s="11"/>
      <c r="F37" s="11"/>
    </row>
    <row r="38" customFormat="false" ht="27.75" hidden="false" customHeight="true" outlineLevel="0" collapsed="false">
      <c r="A38" s="2"/>
      <c r="B38" s="11" t="s">
        <v>52</v>
      </c>
      <c r="C38" s="11"/>
      <c r="D38" s="11"/>
      <c r="E38" s="11"/>
      <c r="F38" s="11"/>
    </row>
  </sheetData>
  <mergeCells count="17">
    <mergeCell ref="C17:F17"/>
    <mergeCell ref="C18:F18"/>
    <mergeCell ref="C19:F19"/>
    <mergeCell ref="C20:F20"/>
    <mergeCell ref="C21:F21"/>
    <mergeCell ref="D25:F25"/>
    <mergeCell ref="D26:F26"/>
    <mergeCell ref="D27:F27"/>
    <mergeCell ref="D28:F28"/>
    <mergeCell ref="D29:F29"/>
    <mergeCell ref="D30:F30"/>
    <mergeCell ref="B33:F33"/>
    <mergeCell ref="B34:F34"/>
    <mergeCell ref="B35:F35"/>
    <mergeCell ref="B36:F36"/>
    <mergeCell ref="B37:F37"/>
    <mergeCell ref="B38:F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53</v>
      </c>
      <c r="B1" s="2"/>
      <c r="C1" s="2"/>
      <c r="D1" s="2"/>
      <c r="E1" s="2"/>
      <c r="F1" s="2"/>
      <c r="G1" s="2"/>
      <c r="H1" s="2"/>
      <c r="I1" s="2"/>
      <c r="J1" s="2"/>
      <c r="K1" s="2"/>
      <c r="L1" s="2"/>
    </row>
    <row r="2" customFormat="false" ht="15" hidden="false" customHeight="false" outlineLevel="0" collapsed="false">
      <c r="A2" s="3" t="s">
        <v>54</v>
      </c>
      <c r="B2" s="2"/>
      <c r="C2" s="2"/>
      <c r="D2" s="2"/>
      <c r="E2" s="2"/>
      <c r="F2" s="2"/>
      <c r="G2" s="2"/>
      <c r="H2" s="2"/>
      <c r="I2" s="2"/>
      <c r="J2" s="2"/>
      <c r="K2" s="2"/>
      <c r="L2" s="2"/>
    </row>
    <row r="3" customFormat="false" ht="15" hidden="false" customHeight="false" outlineLevel="0" collapsed="false">
      <c r="A3" s="3" t="s">
        <v>55</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16" t="s">
        <v>56</v>
      </c>
      <c r="B5" s="16" t="s">
        <v>57</v>
      </c>
      <c r="C5" s="16" t="s">
        <v>58</v>
      </c>
      <c r="D5" s="16" t="s">
        <v>59</v>
      </c>
      <c r="E5" s="16" t="s">
        <v>60</v>
      </c>
      <c r="F5" s="16" t="s">
        <v>61</v>
      </c>
      <c r="G5" s="16" t="s">
        <v>62</v>
      </c>
      <c r="H5" s="16" t="s">
        <v>63</v>
      </c>
      <c r="I5" s="16" t="s">
        <v>25</v>
      </c>
      <c r="J5" s="16" t="s">
        <v>64</v>
      </c>
      <c r="K5" s="16" t="s">
        <v>65</v>
      </c>
      <c r="L5" s="16" t="s">
        <v>66</v>
      </c>
    </row>
    <row r="6" customFormat="false" ht="15" hidden="false" customHeight="false" outlineLevel="0" collapsed="false">
      <c r="A6" s="17" t="s">
        <v>67</v>
      </c>
      <c r="B6" s="5" t="s">
        <v>68</v>
      </c>
      <c r="C6" s="18" t="n">
        <v>3552</v>
      </c>
      <c r="D6" s="5" t="s">
        <v>69</v>
      </c>
      <c r="E6" s="5" t="s">
        <v>70</v>
      </c>
      <c r="F6" s="19" t="s">
        <v>71</v>
      </c>
      <c r="G6" s="5" t="s">
        <v>72</v>
      </c>
      <c r="H6" s="20" t="n">
        <v>47</v>
      </c>
      <c r="I6" s="5" t="s">
        <v>73</v>
      </c>
      <c r="J6" s="19" t="s">
        <v>74</v>
      </c>
      <c r="K6" s="19" t="s">
        <v>75</v>
      </c>
      <c r="L6" s="21" t="s">
        <v>76</v>
      </c>
    </row>
    <row r="7" customFormat="false" ht="15" hidden="false" customHeight="false" outlineLevel="0" collapsed="false">
      <c r="A7" s="22" t="s">
        <v>77</v>
      </c>
      <c r="B7" s="23" t="s">
        <v>78</v>
      </c>
      <c r="C7" s="24" t="n">
        <v>0.5</v>
      </c>
      <c r="D7" s="23" t="s">
        <v>79</v>
      </c>
      <c r="E7" s="23" t="s">
        <v>80</v>
      </c>
      <c r="F7" s="25" t="s">
        <v>81</v>
      </c>
      <c r="G7" s="23" t="s">
        <v>82</v>
      </c>
      <c r="H7" s="26" t="n">
        <v>63</v>
      </c>
      <c r="I7" s="23" t="s">
        <v>83</v>
      </c>
      <c r="J7" s="25" t="s">
        <v>84</v>
      </c>
      <c r="K7" s="25" t="s">
        <v>75</v>
      </c>
      <c r="L7" s="27" t="s">
        <v>76</v>
      </c>
    </row>
    <row r="8" customFormat="false" ht="15" hidden="false" customHeight="false" outlineLevel="0" collapsed="false">
      <c r="A8" s="17" t="s">
        <v>85</v>
      </c>
      <c r="B8" s="5" t="s">
        <v>68</v>
      </c>
      <c r="C8" s="18" t="n">
        <v>7050</v>
      </c>
      <c r="D8" s="5" t="s">
        <v>69</v>
      </c>
      <c r="E8" s="5" t="s">
        <v>86</v>
      </c>
      <c r="F8" s="19" t="s">
        <v>87</v>
      </c>
      <c r="G8" s="5" t="s">
        <v>88</v>
      </c>
      <c r="H8" s="20" t="n">
        <v>1</v>
      </c>
      <c r="I8" s="5" t="s">
        <v>73</v>
      </c>
      <c r="J8" s="19" t="s">
        <v>89</v>
      </c>
      <c r="K8" s="19" t="s">
        <v>75</v>
      </c>
      <c r="L8" s="21" t="s">
        <v>76</v>
      </c>
    </row>
    <row r="9" customFormat="false" ht="15" hidden="false" customHeight="false" outlineLevel="0" collapsed="false">
      <c r="A9" s="22" t="s">
        <v>90</v>
      </c>
      <c r="B9" s="23" t="s">
        <v>91</v>
      </c>
      <c r="C9" s="28" t="n">
        <v>3855</v>
      </c>
      <c r="D9" s="23" t="s">
        <v>69</v>
      </c>
      <c r="E9" s="23" t="s">
        <v>86</v>
      </c>
      <c r="F9" s="25" t="s">
        <v>92</v>
      </c>
      <c r="G9" s="23" t="s">
        <v>88</v>
      </c>
      <c r="H9" s="26" t="n">
        <v>1</v>
      </c>
      <c r="I9" s="23" t="s">
        <v>93</v>
      </c>
      <c r="J9" s="25" t="s">
        <v>89</v>
      </c>
      <c r="K9" s="25" t="s">
        <v>75</v>
      </c>
      <c r="L9" s="27" t="s">
        <v>76</v>
      </c>
    </row>
    <row r="10" customFormat="false" ht="15" hidden="false" customHeight="false" outlineLevel="0" collapsed="false">
      <c r="A10" s="17" t="s">
        <v>94</v>
      </c>
      <c r="B10" s="5" t="s">
        <v>95</v>
      </c>
      <c r="C10" s="29" t="n">
        <v>0.5</v>
      </c>
      <c r="D10" s="5" t="s">
        <v>96</v>
      </c>
      <c r="E10" s="5" t="s">
        <v>80</v>
      </c>
      <c r="F10" s="19" t="s">
        <v>81</v>
      </c>
      <c r="G10" s="5" t="s">
        <v>82</v>
      </c>
      <c r="H10" s="20" t="n">
        <v>63</v>
      </c>
      <c r="I10" s="5" t="s">
        <v>93</v>
      </c>
      <c r="J10" s="19" t="s">
        <v>84</v>
      </c>
      <c r="K10" s="19" t="s">
        <v>75</v>
      </c>
      <c r="L10" s="21" t="s">
        <v>76</v>
      </c>
    </row>
    <row r="11" customFormat="false" ht="15" hidden="false" customHeight="false" outlineLevel="0" collapsed="false">
      <c r="A11" s="22" t="s">
        <v>97</v>
      </c>
      <c r="B11" s="23" t="s">
        <v>98</v>
      </c>
      <c r="C11" s="28" t="n">
        <v>3</v>
      </c>
      <c r="D11" s="23" t="s">
        <v>99</v>
      </c>
      <c r="E11" s="23" t="s">
        <v>80</v>
      </c>
      <c r="F11" s="25" t="s">
        <v>100</v>
      </c>
      <c r="G11" s="23" t="s">
        <v>82</v>
      </c>
      <c r="H11" s="26" t="n">
        <v>64</v>
      </c>
      <c r="I11" s="23" t="s">
        <v>73</v>
      </c>
      <c r="J11" s="25" t="s">
        <v>84</v>
      </c>
      <c r="K11" s="25" t="s">
        <v>75</v>
      </c>
      <c r="L11" s="27" t="s">
        <v>76</v>
      </c>
    </row>
    <row r="12" customFormat="false" ht="15" hidden="false" customHeight="false" outlineLevel="0" collapsed="false">
      <c r="A12" s="17" t="s">
        <v>101</v>
      </c>
      <c r="B12" s="5" t="s">
        <v>102</v>
      </c>
      <c r="C12" s="29" t="n">
        <v>3.1</v>
      </c>
      <c r="D12" s="5" t="s">
        <v>79</v>
      </c>
      <c r="E12" s="5" t="s">
        <v>80</v>
      </c>
      <c r="F12" s="19" t="s">
        <v>103</v>
      </c>
      <c r="G12" s="5" t="s">
        <v>82</v>
      </c>
      <c r="H12" s="20" t="n">
        <v>63</v>
      </c>
      <c r="I12" s="5" t="s">
        <v>93</v>
      </c>
      <c r="J12" s="19" t="s">
        <v>84</v>
      </c>
      <c r="K12" s="19" t="s">
        <v>75</v>
      </c>
      <c r="L12" s="21" t="s">
        <v>76</v>
      </c>
    </row>
    <row r="13" customFormat="false" ht="15" hidden="false" customHeight="false" outlineLevel="0" collapsed="false">
      <c r="A13" s="22" t="s">
        <v>104</v>
      </c>
      <c r="B13" s="23" t="s">
        <v>105</v>
      </c>
      <c r="C13" s="28" t="n">
        <v>19657</v>
      </c>
      <c r="D13" s="23" t="s">
        <v>69</v>
      </c>
      <c r="E13" s="23" t="s">
        <v>106</v>
      </c>
      <c r="F13" s="25" t="s">
        <v>107</v>
      </c>
      <c r="G13" s="23" t="s">
        <v>88</v>
      </c>
      <c r="H13" s="26" t="n">
        <v>1</v>
      </c>
      <c r="I13" s="23" t="s">
        <v>73</v>
      </c>
      <c r="J13" s="25" t="s">
        <v>89</v>
      </c>
      <c r="K13" s="25" t="s">
        <v>75</v>
      </c>
      <c r="L13" s="27" t="s">
        <v>76</v>
      </c>
    </row>
    <row r="14" customFormat="false" ht="15" hidden="false" customHeight="false" outlineLevel="0" collapsed="false">
      <c r="A14" s="17" t="s">
        <v>108</v>
      </c>
      <c r="B14" s="5" t="s">
        <v>109</v>
      </c>
      <c r="C14" s="29" t="n">
        <v>0.7</v>
      </c>
      <c r="D14" s="5" t="s">
        <v>79</v>
      </c>
      <c r="E14" s="5" t="s">
        <v>80</v>
      </c>
      <c r="F14" s="19" t="s">
        <v>110</v>
      </c>
      <c r="G14" s="5" t="s">
        <v>82</v>
      </c>
      <c r="H14" s="20" t="n">
        <v>63</v>
      </c>
      <c r="I14" s="5" t="s">
        <v>93</v>
      </c>
      <c r="J14" s="19" t="s">
        <v>84</v>
      </c>
      <c r="K14" s="19" t="s">
        <v>75</v>
      </c>
      <c r="L14" s="21" t="s">
        <v>76</v>
      </c>
    </row>
    <row r="15" customFormat="false" ht="15" hidden="false" customHeight="false" outlineLevel="0" collapsed="false">
      <c r="A15" s="22" t="s">
        <v>111</v>
      </c>
      <c r="B15" s="23" t="s">
        <v>112</v>
      </c>
      <c r="C15" s="24" t="n">
        <v>4.1</v>
      </c>
      <c r="D15" s="23" t="s">
        <v>96</v>
      </c>
      <c r="E15" s="23" t="s">
        <v>113</v>
      </c>
      <c r="F15" s="25" t="s">
        <v>114</v>
      </c>
      <c r="G15" s="23" t="s">
        <v>115</v>
      </c>
      <c r="H15" s="26" t="n">
        <v>64</v>
      </c>
      <c r="I15" s="23" t="s">
        <v>73</v>
      </c>
      <c r="J15" s="25" t="s">
        <v>116</v>
      </c>
      <c r="K15" s="25" t="s">
        <v>75</v>
      </c>
      <c r="L15" s="27" t="s">
        <v>76</v>
      </c>
    </row>
    <row r="16" customFormat="false" ht="15" hidden="false" customHeight="false" outlineLevel="0" collapsed="false">
      <c r="A16" s="17" t="s">
        <v>117</v>
      </c>
      <c r="B16" s="5" t="s">
        <v>118</v>
      </c>
      <c r="C16" s="18" t="n">
        <v>24548</v>
      </c>
      <c r="D16" s="5" t="s">
        <v>69</v>
      </c>
      <c r="E16" s="5" t="s">
        <v>113</v>
      </c>
      <c r="F16" s="19" t="s">
        <v>119</v>
      </c>
      <c r="G16" s="5" t="s">
        <v>72</v>
      </c>
      <c r="H16" s="20" t="n">
        <v>14</v>
      </c>
      <c r="I16" s="5" t="s">
        <v>73</v>
      </c>
      <c r="J16" s="19" t="s">
        <v>74</v>
      </c>
      <c r="K16" s="19" t="s">
        <v>75</v>
      </c>
      <c r="L16" s="21" t="s">
        <v>76</v>
      </c>
    </row>
    <row r="17" customFormat="false" ht="15" hidden="false" customHeight="false" outlineLevel="0" collapsed="false">
      <c r="A17" s="22" t="s">
        <v>120</v>
      </c>
      <c r="B17" s="23" t="s">
        <v>121</v>
      </c>
      <c r="C17" s="28" t="n">
        <v>8</v>
      </c>
      <c r="D17" s="23" t="s">
        <v>96</v>
      </c>
      <c r="E17" s="23" t="s">
        <v>122</v>
      </c>
      <c r="F17" s="25" t="s">
        <v>123</v>
      </c>
      <c r="G17" s="23" t="s">
        <v>82</v>
      </c>
      <c r="H17" s="26" t="n">
        <v>9</v>
      </c>
      <c r="I17" s="23" t="s">
        <v>73</v>
      </c>
      <c r="J17" s="25" t="s">
        <v>84</v>
      </c>
      <c r="K17" s="25" t="s">
        <v>75</v>
      </c>
      <c r="L17" s="27" t="s">
        <v>76</v>
      </c>
    </row>
    <row r="18" customFormat="false" ht="15" hidden="false" customHeight="false" outlineLevel="0" collapsed="false">
      <c r="A18" s="17" t="s">
        <v>124</v>
      </c>
      <c r="B18" s="5" t="s">
        <v>125</v>
      </c>
      <c r="C18" s="18" t="n">
        <v>1156</v>
      </c>
      <c r="D18" s="5" t="s">
        <v>69</v>
      </c>
      <c r="E18" s="5" t="s">
        <v>126</v>
      </c>
      <c r="F18" s="19" t="s">
        <v>127</v>
      </c>
      <c r="G18" s="5" t="s">
        <v>88</v>
      </c>
      <c r="H18" s="20" t="n">
        <v>1</v>
      </c>
      <c r="I18" s="5" t="s">
        <v>93</v>
      </c>
      <c r="J18" s="19" t="s">
        <v>89</v>
      </c>
      <c r="K18" s="19" t="s">
        <v>75</v>
      </c>
      <c r="L18" s="21" t="s">
        <v>76</v>
      </c>
    </row>
    <row r="19" customFormat="false" ht="15" hidden="false" customHeight="false" outlineLevel="0" collapsed="false">
      <c r="A19" s="22" t="s">
        <v>128</v>
      </c>
      <c r="B19" s="23" t="s">
        <v>129</v>
      </c>
      <c r="C19" s="24" t="n">
        <v>2.92</v>
      </c>
      <c r="D19" s="23" t="s">
        <v>99</v>
      </c>
      <c r="E19" s="23" t="s">
        <v>130</v>
      </c>
      <c r="F19" s="25" t="s">
        <v>131</v>
      </c>
      <c r="G19" s="23" t="s">
        <v>132</v>
      </c>
      <c r="H19" s="26" t="n">
        <v>5</v>
      </c>
      <c r="I19" s="23" t="s">
        <v>73</v>
      </c>
      <c r="J19" s="25" t="s">
        <v>133</v>
      </c>
      <c r="K19" s="25" t="s">
        <v>75</v>
      </c>
      <c r="L19" s="27" t="s">
        <v>76</v>
      </c>
    </row>
    <row r="20" customFormat="false" ht="15" hidden="false" customHeight="false" outlineLevel="0" collapsed="false">
      <c r="A20" s="17" t="s">
        <v>134</v>
      </c>
      <c r="B20" s="5" t="s">
        <v>135</v>
      </c>
      <c r="C20" s="18" t="n">
        <v>1023</v>
      </c>
      <c r="D20" s="5" t="s">
        <v>69</v>
      </c>
      <c r="E20" s="5" t="s">
        <v>136</v>
      </c>
      <c r="F20" s="19" t="s">
        <v>137</v>
      </c>
      <c r="G20" s="5" t="s">
        <v>138</v>
      </c>
      <c r="H20" s="20" t="n">
        <v>337</v>
      </c>
      <c r="I20" s="5" t="s">
        <v>93</v>
      </c>
      <c r="J20" s="19" t="s">
        <v>139</v>
      </c>
      <c r="K20" s="19" t="s">
        <v>75</v>
      </c>
      <c r="L20" s="21" t="s">
        <v>76</v>
      </c>
    </row>
    <row r="21" customFormat="false" ht="15" hidden="false" customHeight="false" outlineLevel="0" collapsed="false">
      <c r="A21" s="22" t="s">
        <v>140</v>
      </c>
      <c r="B21" s="23" t="s">
        <v>141</v>
      </c>
      <c r="C21" s="24" t="n">
        <v>2.79</v>
      </c>
      <c r="D21" s="23" t="s">
        <v>99</v>
      </c>
      <c r="E21" s="23" t="s">
        <v>86</v>
      </c>
      <c r="F21" s="25" t="s">
        <v>142</v>
      </c>
      <c r="G21" s="23" t="s">
        <v>88</v>
      </c>
      <c r="H21" s="26" t="n">
        <v>1</v>
      </c>
      <c r="I21" s="23" t="s">
        <v>73</v>
      </c>
      <c r="J21" s="25" t="s">
        <v>89</v>
      </c>
      <c r="K21" s="25" t="s">
        <v>75</v>
      </c>
      <c r="L21" s="27" t="s">
        <v>76</v>
      </c>
    </row>
    <row r="22" customFormat="false" ht="15" hidden="false" customHeight="false" outlineLevel="0" collapsed="false">
      <c r="A22" s="17" t="s">
        <v>143</v>
      </c>
      <c r="B22" s="5" t="s">
        <v>68</v>
      </c>
      <c r="C22" s="18" t="n">
        <v>6788</v>
      </c>
      <c r="D22" s="5" t="s">
        <v>69</v>
      </c>
      <c r="E22" s="5" t="s">
        <v>126</v>
      </c>
      <c r="F22" s="19" t="s">
        <v>144</v>
      </c>
      <c r="G22" s="5" t="s">
        <v>88</v>
      </c>
      <c r="H22" s="20" t="n">
        <v>1</v>
      </c>
      <c r="I22" s="5" t="s">
        <v>73</v>
      </c>
      <c r="J22" s="19" t="s">
        <v>89</v>
      </c>
      <c r="K22" s="19" t="s">
        <v>75</v>
      </c>
      <c r="L22" s="21" t="s">
        <v>76</v>
      </c>
    </row>
    <row r="23" customFormat="false" ht="15" hidden="false" customHeight="false" outlineLevel="0" collapsed="false">
      <c r="A23" s="22" t="s">
        <v>145</v>
      </c>
      <c r="B23" s="23" t="s">
        <v>146</v>
      </c>
      <c r="C23" s="24" t="n">
        <v>0.5</v>
      </c>
      <c r="D23" s="23" t="s">
        <v>96</v>
      </c>
      <c r="E23" s="23" t="s">
        <v>80</v>
      </c>
      <c r="F23" s="25" t="s">
        <v>81</v>
      </c>
      <c r="G23" s="23" t="s">
        <v>82</v>
      </c>
      <c r="H23" s="26" t="n">
        <v>63</v>
      </c>
      <c r="I23" s="23" t="s">
        <v>83</v>
      </c>
      <c r="J23" s="25" t="s">
        <v>84</v>
      </c>
      <c r="K23" s="25" t="s">
        <v>75</v>
      </c>
      <c r="L23" s="27" t="s">
        <v>76</v>
      </c>
    </row>
    <row r="24" customFormat="false" ht="15" hidden="false" customHeight="false" outlineLevel="0" collapsed="false">
      <c r="A24" s="17" t="s">
        <v>147</v>
      </c>
      <c r="B24" s="5" t="s">
        <v>68</v>
      </c>
      <c r="C24" s="18" t="n">
        <v>3367</v>
      </c>
      <c r="D24" s="5" t="s">
        <v>69</v>
      </c>
      <c r="E24" s="5" t="s">
        <v>148</v>
      </c>
      <c r="F24" s="19" t="s">
        <v>149</v>
      </c>
      <c r="G24" s="5" t="s">
        <v>72</v>
      </c>
      <c r="H24" s="20" t="n">
        <v>47</v>
      </c>
      <c r="I24" s="5" t="s">
        <v>73</v>
      </c>
      <c r="J24" s="19" t="s">
        <v>74</v>
      </c>
      <c r="K24" s="19" t="s">
        <v>75</v>
      </c>
      <c r="L24" s="21" t="s">
        <v>76</v>
      </c>
    </row>
    <row r="25" customFormat="false" ht="15" hidden="false" customHeight="false" outlineLevel="0" collapsed="false">
      <c r="A25" s="22" t="s">
        <v>150</v>
      </c>
      <c r="B25" s="23" t="s">
        <v>141</v>
      </c>
      <c r="C25" s="24" t="n">
        <v>2.63</v>
      </c>
      <c r="D25" s="23" t="s">
        <v>99</v>
      </c>
      <c r="E25" s="23" t="s">
        <v>126</v>
      </c>
      <c r="F25" s="25" t="s">
        <v>151</v>
      </c>
      <c r="G25" s="23" t="s">
        <v>88</v>
      </c>
      <c r="H25" s="26" t="n">
        <v>1</v>
      </c>
      <c r="I25" s="23" t="s">
        <v>73</v>
      </c>
      <c r="J25" s="25" t="s">
        <v>89</v>
      </c>
      <c r="K25" s="25" t="s">
        <v>75</v>
      </c>
      <c r="L25" s="27" t="s">
        <v>76</v>
      </c>
    </row>
    <row r="26" customFormat="false" ht="15" hidden="false" customHeight="false" outlineLevel="0" collapsed="false">
      <c r="A26" s="17" t="s">
        <v>152</v>
      </c>
      <c r="B26" s="5" t="s">
        <v>153</v>
      </c>
      <c r="C26" s="18" t="n">
        <v>1</v>
      </c>
      <c r="D26" s="5" t="s">
        <v>96</v>
      </c>
      <c r="E26" s="5" t="s">
        <v>80</v>
      </c>
      <c r="F26" s="19" t="s">
        <v>154</v>
      </c>
      <c r="G26" s="5" t="s">
        <v>82</v>
      </c>
      <c r="H26" s="20" t="n">
        <v>63</v>
      </c>
      <c r="I26" s="5" t="s">
        <v>93</v>
      </c>
      <c r="J26" s="19" t="s">
        <v>84</v>
      </c>
      <c r="K26" s="19" t="s">
        <v>75</v>
      </c>
      <c r="L26" s="21" t="s">
        <v>76</v>
      </c>
    </row>
    <row r="27" customFormat="false" ht="15" hidden="false" customHeight="false" outlineLevel="0" collapsed="false">
      <c r="A27" s="22" t="s">
        <v>155</v>
      </c>
      <c r="B27" s="23" t="s">
        <v>156</v>
      </c>
      <c r="C27" s="28" t="n">
        <v>3</v>
      </c>
      <c r="D27" s="23" t="s">
        <v>99</v>
      </c>
      <c r="E27" s="23" t="s">
        <v>157</v>
      </c>
      <c r="F27" s="25" t="s">
        <v>100</v>
      </c>
      <c r="G27" s="23" t="s">
        <v>72</v>
      </c>
      <c r="H27" s="26" t="n">
        <v>29</v>
      </c>
      <c r="I27" s="23" t="s">
        <v>73</v>
      </c>
      <c r="J27" s="25" t="s">
        <v>74</v>
      </c>
      <c r="K27" s="25" t="s">
        <v>75</v>
      </c>
      <c r="L27" s="27" t="s">
        <v>76</v>
      </c>
    </row>
    <row r="28" customFormat="false" ht="15" hidden="false" customHeight="false" outlineLevel="0" collapsed="false">
      <c r="A28" s="17" t="s">
        <v>158</v>
      </c>
      <c r="B28" s="5" t="s">
        <v>105</v>
      </c>
      <c r="C28" s="18" t="n">
        <v>17819</v>
      </c>
      <c r="D28" s="5" t="s">
        <v>69</v>
      </c>
      <c r="E28" s="5" t="s">
        <v>159</v>
      </c>
      <c r="F28" s="19" t="s">
        <v>160</v>
      </c>
      <c r="G28" s="5" t="s">
        <v>88</v>
      </c>
      <c r="H28" s="20" t="n">
        <v>1</v>
      </c>
      <c r="I28" s="5" t="s">
        <v>73</v>
      </c>
      <c r="J28" s="19" t="s">
        <v>89</v>
      </c>
      <c r="K28" s="19" t="s">
        <v>75</v>
      </c>
      <c r="L28" s="21" t="s">
        <v>76</v>
      </c>
    </row>
    <row r="29" customFormat="false" ht="15" hidden="false" customHeight="false" outlineLevel="0" collapsed="false">
      <c r="A29" s="22" t="s">
        <v>161</v>
      </c>
      <c r="B29" s="23" t="s">
        <v>162</v>
      </c>
      <c r="C29" s="24" t="n">
        <v>0.5</v>
      </c>
      <c r="D29" s="23" t="s">
        <v>79</v>
      </c>
      <c r="E29" s="23" t="s">
        <v>80</v>
      </c>
      <c r="F29" s="25" t="s">
        <v>81</v>
      </c>
      <c r="G29" s="23" t="s">
        <v>82</v>
      </c>
      <c r="H29" s="26" t="n">
        <v>63</v>
      </c>
      <c r="I29" s="23" t="s">
        <v>93</v>
      </c>
      <c r="J29" s="25" t="s">
        <v>84</v>
      </c>
      <c r="K29" s="25" t="s">
        <v>75</v>
      </c>
      <c r="L29" s="27" t="s">
        <v>76</v>
      </c>
    </row>
    <row r="30" customFormat="false" ht="15" hidden="false" customHeight="false" outlineLevel="0" collapsed="false">
      <c r="A30" s="17" t="s">
        <v>163</v>
      </c>
      <c r="B30" s="5" t="s">
        <v>164</v>
      </c>
      <c r="C30" s="18" t="n">
        <v>2</v>
      </c>
      <c r="D30" s="5" t="s">
        <v>96</v>
      </c>
      <c r="E30" s="5" t="s">
        <v>165</v>
      </c>
      <c r="F30" s="19" t="s">
        <v>166</v>
      </c>
      <c r="G30" s="5" t="s">
        <v>72</v>
      </c>
      <c r="H30" s="20" t="n">
        <v>29</v>
      </c>
      <c r="I30" s="5" t="s">
        <v>93</v>
      </c>
      <c r="J30" s="19" t="s">
        <v>74</v>
      </c>
      <c r="K30" s="19" t="s">
        <v>75</v>
      </c>
      <c r="L30" s="21" t="s">
        <v>76</v>
      </c>
    </row>
    <row r="31" customFormat="false" ht="15" hidden="false" customHeight="false" outlineLevel="0" collapsed="false">
      <c r="A31" s="22" t="s">
        <v>167</v>
      </c>
      <c r="B31" s="23" t="s">
        <v>168</v>
      </c>
      <c r="C31" s="28" t="n">
        <v>9332</v>
      </c>
      <c r="D31" s="23" t="s">
        <v>69</v>
      </c>
      <c r="E31" s="23" t="s">
        <v>113</v>
      </c>
      <c r="F31" s="25" t="s">
        <v>169</v>
      </c>
      <c r="G31" s="23" t="s">
        <v>72</v>
      </c>
      <c r="H31" s="26" t="n">
        <v>14</v>
      </c>
      <c r="I31" s="23" t="s">
        <v>73</v>
      </c>
      <c r="J31" s="25" t="s">
        <v>74</v>
      </c>
      <c r="K31" s="25" t="s">
        <v>75</v>
      </c>
      <c r="L31" s="27" t="s">
        <v>76</v>
      </c>
    </row>
    <row r="32" customFormat="false" ht="15" hidden="false" customHeight="false" outlineLevel="0" collapsed="false">
      <c r="A32" s="17" t="s">
        <v>170</v>
      </c>
      <c r="B32" s="5" t="s">
        <v>171</v>
      </c>
      <c r="C32" s="29" t="n">
        <v>1.5</v>
      </c>
      <c r="D32" s="5" t="s">
        <v>172</v>
      </c>
      <c r="E32" s="5" t="s">
        <v>136</v>
      </c>
      <c r="F32" s="19" t="s">
        <v>173</v>
      </c>
      <c r="G32" s="5" t="s">
        <v>138</v>
      </c>
      <c r="H32" s="20" t="n">
        <v>337</v>
      </c>
      <c r="I32" s="5" t="s">
        <v>93</v>
      </c>
      <c r="J32" s="19" t="s">
        <v>139</v>
      </c>
      <c r="K32" s="19" t="s">
        <v>75</v>
      </c>
      <c r="L32" s="21" t="s">
        <v>76</v>
      </c>
    </row>
    <row r="33" customFormat="false" ht="15" hidden="false" customHeight="false" outlineLevel="0" collapsed="false">
      <c r="A33" s="22" t="s">
        <v>174</v>
      </c>
      <c r="B33" s="23" t="s">
        <v>175</v>
      </c>
      <c r="C33" s="28" t="n">
        <v>-288</v>
      </c>
      <c r="D33" s="23" t="s">
        <v>69</v>
      </c>
      <c r="E33" s="23" t="s">
        <v>70</v>
      </c>
      <c r="F33" s="25" t="s">
        <v>176</v>
      </c>
      <c r="G33" s="23" t="s">
        <v>115</v>
      </c>
      <c r="H33" s="26" t="n">
        <v>25</v>
      </c>
      <c r="I33" s="23" t="s">
        <v>93</v>
      </c>
      <c r="J33" s="25" t="s">
        <v>116</v>
      </c>
      <c r="K33" s="25" t="s">
        <v>75</v>
      </c>
      <c r="L33" s="27" t="s">
        <v>76</v>
      </c>
    </row>
    <row r="34" customFormat="false" ht="15" hidden="false" customHeight="false" outlineLevel="0" collapsed="false">
      <c r="A34" s="17" t="s">
        <v>177</v>
      </c>
      <c r="B34" s="5" t="s">
        <v>125</v>
      </c>
      <c r="C34" s="18" t="n">
        <v>1178</v>
      </c>
      <c r="D34" s="5" t="s">
        <v>69</v>
      </c>
      <c r="E34" s="5" t="s">
        <v>86</v>
      </c>
      <c r="F34" s="19" t="s">
        <v>178</v>
      </c>
      <c r="G34" s="5" t="s">
        <v>88</v>
      </c>
      <c r="H34" s="20" t="n">
        <v>1</v>
      </c>
      <c r="I34" s="5" t="s">
        <v>93</v>
      </c>
      <c r="J34" s="19" t="s">
        <v>89</v>
      </c>
      <c r="K34" s="19" t="s">
        <v>75</v>
      </c>
      <c r="L34" s="21" t="s">
        <v>76</v>
      </c>
    </row>
    <row r="35" customFormat="false" ht="15" hidden="false" customHeight="false" outlineLevel="0" collapsed="false">
      <c r="A35" s="22" t="s">
        <v>179</v>
      </c>
      <c r="B35" s="23" t="s">
        <v>180</v>
      </c>
      <c r="C35" s="24" t="n">
        <v>0.1</v>
      </c>
      <c r="D35" s="23" t="s">
        <v>96</v>
      </c>
      <c r="E35" s="23" t="s">
        <v>70</v>
      </c>
      <c r="F35" s="25" t="s">
        <v>181</v>
      </c>
      <c r="G35" s="23" t="s">
        <v>182</v>
      </c>
      <c r="H35" s="26" t="n">
        <v>14</v>
      </c>
      <c r="I35" s="23" t="s">
        <v>93</v>
      </c>
      <c r="J35" s="25" t="s">
        <v>183</v>
      </c>
      <c r="K35" s="25" t="s">
        <v>75</v>
      </c>
      <c r="L35" s="27" t="s">
        <v>76</v>
      </c>
    </row>
    <row r="36" customFormat="false" ht="15" hidden="false" customHeight="false" outlineLevel="0" collapsed="false">
      <c r="A36" s="17" t="s">
        <v>184</v>
      </c>
      <c r="B36" s="5" t="s">
        <v>185</v>
      </c>
      <c r="C36" s="29" t="n">
        <v>0.5</v>
      </c>
      <c r="D36" s="5" t="s">
        <v>96</v>
      </c>
      <c r="E36" s="5" t="s">
        <v>157</v>
      </c>
      <c r="F36" s="19" t="s">
        <v>81</v>
      </c>
      <c r="G36" s="5" t="s">
        <v>182</v>
      </c>
      <c r="H36" s="20" t="n">
        <v>14</v>
      </c>
      <c r="I36" s="5" t="s">
        <v>93</v>
      </c>
      <c r="J36" s="19" t="s">
        <v>183</v>
      </c>
      <c r="K36" s="19" t="s">
        <v>75</v>
      </c>
      <c r="L36" s="21" t="s">
        <v>76</v>
      </c>
    </row>
    <row r="37" customFormat="false" ht="15" hidden="false" customHeight="false" outlineLevel="0" collapsed="false">
      <c r="A37" s="22" t="s">
        <v>186</v>
      </c>
      <c r="B37" s="23" t="s">
        <v>187</v>
      </c>
      <c r="C37" s="28" t="n">
        <v>8</v>
      </c>
      <c r="D37" s="23" t="s">
        <v>96</v>
      </c>
      <c r="E37" s="23" t="s">
        <v>80</v>
      </c>
      <c r="F37" s="25" t="s">
        <v>123</v>
      </c>
      <c r="G37" s="23" t="s">
        <v>182</v>
      </c>
      <c r="H37" s="26" t="n">
        <v>4</v>
      </c>
      <c r="I37" s="23" t="s">
        <v>83</v>
      </c>
      <c r="J37" s="25" t="s">
        <v>183</v>
      </c>
      <c r="K37" s="25" t="s">
        <v>75</v>
      </c>
      <c r="L37" s="27" t="s">
        <v>76</v>
      </c>
    </row>
    <row r="38" customFormat="false" ht="15" hidden="false" customHeight="false" outlineLevel="0" collapsed="false">
      <c r="A38" s="17" t="s">
        <v>188</v>
      </c>
      <c r="B38" s="5" t="s">
        <v>189</v>
      </c>
      <c r="C38" s="18" t="n">
        <v>9196</v>
      </c>
      <c r="D38" s="5" t="s">
        <v>190</v>
      </c>
      <c r="E38" s="5" t="s">
        <v>191</v>
      </c>
      <c r="F38" s="19" t="s">
        <v>192</v>
      </c>
      <c r="G38" s="5" t="s">
        <v>138</v>
      </c>
      <c r="H38" s="20" t="n">
        <v>226</v>
      </c>
      <c r="I38" s="5" t="s">
        <v>193</v>
      </c>
      <c r="J38" s="19" t="s">
        <v>139</v>
      </c>
      <c r="K38" s="19" t="s">
        <v>75</v>
      </c>
      <c r="L38" s="21" t="s">
        <v>76</v>
      </c>
    </row>
    <row r="39" customFormat="false" ht="15" hidden="false" customHeight="false" outlineLevel="0" collapsed="false">
      <c r="A39" s="22" t="s">
        <v>194</v>
      </c>
      <c r="B39" s="23" t="s">
        <v>189</v>
      </c>
      <c r="C39" s="28" t="n">
        <v>9181</v>
      </c>
      <c r="D39" s="23" t="s">
        <v>190</v>
      </c>
      <c r="E39" s="23" t="s">
        <v>136</v>
      </c>
      <c r="F39" s="25" t="s">
        <v>195</v>
      </c>
      <c r="G39" s="23" t="s">
        <v>138</v>
      </c>
      <c r="H39" s="26" t="n">
        <v>226</v>
      </c>
      <c r="I39" s="23" t="s">
        <v>193</v>
      </c>
      <c r="J39" s="25" t="s">
        <v>139</v>
      </c>
      <c r="K39" s="25" t="s">
        <v>75</v>
      </c>
      <c r="L39" s="27" t="s">
        <v>76</v>
      </c>
    </row>
    <row r="40" customFormat="false" ht="15" hidden="false" customHeight="false" outlineLevel="0" collapsed="false">
      <c r="A40" s="17" t="s">
        <v>196</v>
      </c>
      <c r="B40" s="5" t="s">
        <v>197</v>
      </c>
      <c r="C40" s="18" t="n">
        <v>9</v>
      </c>
      <c r="D40" s="5" t="s">
        <v>198</v>
      </c>
      <c r="E40" s="5" t="s">
        <v>122</v>
      </c>
      <c r="F40" s="19" t="s">
        <v>199</v>
      </c>
      <c r="G40" s="5" t="s">
        <v>138</v>
      </c>
      <c r="H40" s="20" t="n">
        <v>226</v>
      </c>
      <c r="I40" s="5" t="s">
        <v>193</v>
      </c>
      <c r="J40" s="19" t="s">
        <v>139</v>
      </c>
      <c r="K40" s="19" t="s">
        <v>75</v>
      </c>
      <c r="L40" s="21" t="s">
        <v>76</v>
      </c>
    </row>
    <row r="41" customFormat="false" ht="15" hidden="false" customHeight="false" outlineLevel="0" collapsed="false">
      <c r="A41" s="22" t="s">
        <v>200</v>
      </c>
      <c r="B41" s="23" t="s">
        <v>201</v>
      </c>
      <c r="C41" s="28" t="n">
        <v>10</v>
      </c>
      <c r="D41" s="23" t="s">
        <v>198</v>
      </c>
      <c r="E41" s="23" t="s">
        <v>122</v>
      </c>
      <c r="F41" s="25" t="s">
        <v>202</v>
      </c>
      <c r="G41" s="23" t="s">
        <v>82</v>
      </c>
      <c r="H41" s="26" t="n">
        <v>9</v>
      </c>
      <c r="I41" s="23" t="s">
        <v>193</v>
      </c>
      <c r="J41" s="25" t="s">
        <v>84</v>
      </c>
      <c r="K41" s="25" t="s">
        <v>75</v>
      </c>
      <c r="L41" s="27" t="s">
        <v>76</v>
      </c>
    </row>
    <row r="42" customFormat="false" ht="15" hidden="false" customHeight="false" outlineLevel="0" collapsed="false">
      <c r="A42" s="17" t="s">
        <v>203</v>
      </c>
      <c r="B42" s="5" t="s">
        <v>204</v>
      </c>
      <c r="C42" s="18" t="n">
        <v>1392</v>
      </c>
      <c r="D42" s="5" t="s">
        <v>69</v>
      </c>
      <c r="E42" s="5" t="s">
        <v>126</v>
      </c>
      <c r="F42" s="19" t="s">
        <v>205</v>
      </c>
      <c r="G42" s="5" t="s">
        <v>88</v>
      </c>
      <c r="H42" s="20" t="n">
        <v>9</v>
      </c>
      <c r="I42" s="5" t="s">
        <v>193</v>
      </c>
      <c r="J42" s="19" t="s">
        <v>89</v>
      </c>
      <c r="K42" s="19" t="s">
        <v>75</v>
      </c>
      <c r="L42" s="21" t="s">
        <v>76</v>
      </c>
    </row>
    <row r="43" customFormat="false" ht="15" hidden="false" customHeight="false" outlineLevel="0" collapsed="false">
      <c r="A43" s="22" t="s">
        <v>206</v>
      </c>
      <c r="B43" s="23" t="s">
        <v>204</v>
      </c>
      <c r="C43" s="28" t="n">
        <v>1475</v>
      </c>
      <c r="D43" s="23" t="s">
        <v>69</v>
      </c>
      <c r="E43" s="23" t="s">
        <v>86</v>
      </c>
      <c r="F43" s="25" t="s">
        <v>207</v>
      </c>
      <c r="G43" s="23" t="s">
        <v>88</v>
      </c>
      <c r="H43" s="26" t="n">
        <v>9</v>
      </c>
      <c r="I43" s="23" t="s">
        <v>193</v>
      </c>
      <c r="J43" s="25" t="s">
        <v>89</v>
      </c>
      <c r="K43" s="25" t="s">
        <v>75</v>
      </c>
      <c r="L43" s="27" t="s">
        <v>76</v>
      </c>
    </row>
    <row r="44" customFormat="false" ht="15" hidden="false" customHeight="false" outlineLevel="0" collapsed="false">
      <c r="A44" s="17" t="s">
        <v>208</v>
      </c>
      <c r="B44" s="5" t="s">
        <v>209</v>
      </c>
      <c r="C44" s="18" t="n">
        <v>1189</v>
      </c>
      <c r="D44" s="5" t="s">
        <v>69</v>
      </c>
      <c r="E44" s="5" t="s">
        <v>70</v>
      </c>
      <c r="F44" s="19" t="s">
        <v>210</v>
      </c>
      <c r="G44" s="5" t="s">
        <v>211</v>
      </c>
      <c r="H44" s="20" t="n">
        <v>7</v>
      </c>
      <c r="I44" s="5" t="s">
        <v>193</v>
      </c>
      <c r="J44" s="19" t="s">
        <v>212</v>
      </c>
      <c r="K44" s="19" t="s">
        <v>75</v>
      </c>
      <c r="L44" s="21" t="s">
        <v>76</v>
      </c>
    </row>
    <row r="45" customFormat="false" ht="15" hidden="false" customHeight="false" outlineLevel="0" collapsed="false">
      <c r="A45" s="22" t="s">
        <v>213</v>
      </c>
      <c r="B45" s="23" t="s">
        <v>214</v>
      </c>
      <c r="C45" s="28" t="n">
        <v>2989</v>
      </c>
      <c r="D45" s="23" t="s">
        <v>215</v>
      </c>
      <c r="E45" s="23" t="s">
        <v>216</v>
      </c>
      <c r="F45" s="25" t="s">
        <v>217</v>
      </c>
      <c r="G45" s="23" t="s">
        <v>72</v>
      </c>
      <c r="H45" s="26" t="n">
        <v>46</v>
      </c>
      <c r="I45" s="23" t="s">
        <v>193</v>
      </c>
      <c r="J45" s="25" t="s">
        <v>74</v>
      </c>
      <c r="K45" s="25" t="s">
        <v>75</v>
      </c>
      <c r="L45" s="27" t="s">
        <v>76</v>
      </c>
    </row>
    <row r="46" customFormat="false" ht="15" hidden="false" customHeight="false" outlineLevel="0" collapsed="false">
      <c r="A46" s="17" t="s">
        <v>218</v>
      </c>
      <c r="B46" s="5" t="s">
        <v>214</v>
      </c>
      <c r="C46" s="18" t="n">
        <v>2542</v>
      </c>
      <c r="D46" s="5" t="s">
        <v>69</v>
      </c>
      <c r="E46" s="5" t="s">
        <v>216</v>
      </c>
      <c r="F46" s="19" t="s">
        <v>219</v>
      </c>
      <c r="G46" s="5" t="s">
        <v>72</v>
      </c>
      <c r="H46" s="20" t="n">
        <v>46</v>
      </c>
      <c r="I46" s="5" t="s">
        <v>193</v>
      </c>
      <c r="J46" s="19" t="s">
        <v>74</v>
      </c>
      <c r="K46" s="19" t="s">
        <v>75</v>
      </c>
      <c r="L46" s="21" t="s">
        <v>76</v>
      </c>
    </row>
    <row r="47" customFormat="false" ht="15" hidden="false" customHeight="false" outlineLevel="0" collapsed="false">
      <c r="A47" s="22" t="s">
        <v>220</v>
      </c>
      <c r="B47" s="23" t="s">
        <v>221</v>
      </c>
      <c r="C47" s="28" t="n">
        <v>1106</v>
      </c>
      <c r="D47" s="23" t="s">
        <v>69</v>
      </c>
      <c r="E47" s="23" t="s">
        <v>106</v>
      </c>
      <c r="F47" s="25" t="s">
        <v>222</v>
      </c>
      <c r="G47" s="23" t="s">
        <v>138</v>
      </c>
      <c r="H47" s="26" t="n">
        <v>432</v>
      </c>
      <c r="I47" s="23" t="s">
        <v>223</v>
      </c>
      <c r="J47" s="25" t="s">
        <v>139</v>
      </c>
      <c r="K47" s="25" t="s">
        <v>75</v>
      </c>
      <c r="L47" s="27" t="s">
        <v>76</v>
      </c>
    </row>
    <row r="48" customFormat="false" ht="15" hidden="false" customHeight="false" outlineLevel="0" collapsed="false">
      <c r="A48" s="17" t="s">
        <v>224</v>
      </c>
      <c r="B48" s="5" t="s">
        <v>225</v>
      </c>
      <c r="C48" s="18" t="n">
        <v>53</v>
      </c>
      <c r="D48" s="5" t="s">
        <v>69</v>
      </c>
      <c r="E48" s="5" t="s">
        <v>106</v>
      </c>
      <c r="F48" s="19" t="s">
        <v>226</v>
      </c>
      <c r="G48" s="5" t="s">
        <v>138</v>
      </c>
      <c r="H48" s="20" t="n">
        <v>432</v>
      </c>
      <c r="I48" s="5" t="s">
        <v>223</v>
      </c>
      <c r="J48" s="19" t="s">
        <v>139</v>
      </c>
      <c r="K48" s="19" t="s">
        <v>75</v>
      </c>
      <c r="L48" s="21" t="s">
        <v>76</v>
      </c>
    </row>
    <row r="49" customFormat="false" ht="15" hidden="false" customHeight="false" outlineLevel="0" collapsed="false">
      <c r="A49" s="22" t="s">
        <v>227</v>
      </c>
      <c r="B49" s="23" t="s">
        <v>228</v>
      </c>
      <c r="C49" s="28" t="n">
        <v>1290</v>
      </c>
      <c r="D49" s="23" t="s">
        <v>69</v>
      </c>
      <c r="E49" s="23" t="s">
        <v>113</v>
      </c>
      <c r="F49" s="25" t="s">
        <v>229</v>
      </c>
      <c r="G49" s="23" t="s">
        <v>115</v>
      </c>
      <c r="H49" s="26" t="n">
        <v>65</v>
      </c>
      <c r="I49" s="23" t="s">
        <v>223</v>
      </c>
      <c r="J49" s="25" t="s">
        <v>116</v>
      </c>
      <c r="K49" s="25" t="s">
        <v>75</v>
      </c>
      <c r="L49" s="27" t="s">
        <v>76</v>
      </c>
    </row>
    <row r="50" customFormat="false" ht="15" hidden="false" customHeight="false" outlineLevel="0" collapsed="false">
      <c r="A50" s="17" t="s">
        <v>230</v>
      </c>
      <c r="B50" s="5" t="s">
        <v>231</v>
      </c>
      <c r="C50" s="18" t="n">
        <v>461</v>
      </c>
      <c r="D50" s="5" t="s">
        <v>69</v>
      </c>
      <c r="E50" s="5" t="s">
        <v>113</v>
      </c>
      <c r="F50" s="19" t="s">
        <v>232</v>
      </c>
      <c r="G50" s="5" t="s">
        <v>115</v>
      </c>
      <c r="H50" s="20" t="n">
        <v>65</v>
      </c>
      <c r="I50" s="5" t="s">
        <v>223</v>
      </c>
      <c r="J50" s="19" t="s">
        <v>116</v>
      </c>
      <c r="K50" s="19" t="s">
        <v>75</v>
      </c>
      <c r="L50" s="21" t="s">
        <v>76</v>
      </c>
    </row>
    <row r="51" customFormat="false" ht="15" hidden="false" customHeight="false" outlineLevel="0" collapsed="false">
      <c r="A51" s="22" t="s">
        <v>233</v>
      </c>
      <c r="B51" s="23" t="s">
        <v>234</v>
      </c>
      <c r="C51" s="28" t="n">
        <v>3</v>
      </c>
      <c r="D51" s="23" t="s">
        <v>235</v>
      </c>
      <c r="E51" s="23" t="s">
        <v>236</v>
      </c>
      <c r="F51" s="25" t="s">
        <v>237</v>
      </c>
      <c r="G51" s="23" t="s">
        <v>238</v>
      </c>
      <c r="H51" s="26" t="n">
        <v>3</v>
      </c>
      <c r="I51" s="23" t="s">
        <v>239</v>
      </c>
      <c r="J51" s="25" t="s">
        <v>240</v>
      </c>
      <c r="K51" s="25" t="s">
        <v>75</v>
      </c>
      <c r="L51" s="27" t="s">
        <v>76</v>
      </c>
    </row>
    <row r="52" customFormat="false" ht="15" hidden="false" customHeight="false" outlineLevel="0" collapsed="false">
      <c r="A52" s="17" t="s">
        <v>241</v>
      </c>
      <c r="B52" s="5" t="s">
        <v>242</v>
      </c>
      <c r="C52" s="29" t="n">
        <v>2.6</v>
      </c>
      <c r="D52" s="5" t="s">
        <v>96</v>
      </c>
      <c r="E52" s="5" t="s">
        <v>236</v>
      </c>
      <c r="F52" s="19" t="s">
        <v>243</v>
      </c>
      <c r="G52" s="5" t="s">
        <v>238</v>
      </c>
      <c r="H52" s="20" t="n">
        <v>3</v>
      </c>
      <c r="I52" s="5" t="s">
        <v>239</v>
      </c>
      <c r="J52" s="19" t="s">
        <v>240</v>
      </c>
      <c r="K52" s="19" t="s">
        <v>75</v>
      </c>
      <c r="L52" s="21" t="s">
        <v>76</v>
      </c>
    </row>
    <row r="53" customFormat="false" ht="15" hidden="false" customHeight="false" outlineLevel="0" collapsed="false">
      <c r="A53" s="22" t="s">
        <v>244</v>
      </c>
      <c r="B53" s="23" t="s">
        <v>245</v>
      </c>
      <c r="C53" s="24" t="n">
        <v>9.8</v>
      </c>
      <c r="D53" s="23" t="s">
        <v>99</v>
      </c>
      <c r="E53" s="23" t="s">
        <v>246</v>
      </c>
      <c r="F53" s="25" t="s">
        <v>247</v>
      </c>
      <c r="G53" s="23" t="s">
        <v>238</v>
      </c>
      <c r="H53" s="26" t="n">
        <v>3</v>
      </c>
      <c r="I53" s="23" t="s">
        <v>239</v>
      </c>
      <c r="J53" s="25" t="s">
        <v>240</v>
      </c>
      <c r="K53" s="25" t="s">
        <v>75</v>
      </c>
      <c r="L53" s="27" t="s">
        <v>76</v>
      </c>
    </row>
    <row r="54" customFormat="false" ht="15" hidden="false" customHeight="false" outlineLevel="0" collapsed="false">
      <c r="A54" s="17" t="s">
        <v>248</v>
      </c>
      <c r="B54" s="5" t="s">
        <v>249</v>
      </c>
      <c r="C54" s="18" t="n">
        <v>120</v>
      </c>
      <c r="D54" s="5" t="s">
        <v>215</v>
      </c>
      <c r="E54" s="5" t="s">
        <v>250</v>
      </c>
      <c r="F54" s="19" t="s">
        <v>251</v>
      </c>
      <c r="G54" s="5" t="s">
        <v>238</v>
      </c>
      <c r="H54" s="20" t="n">
        <v>13</v>
      </c>
      <c r="I54" s="5" t="s">
        <v>239</v>
      </c>
      <c r="J54" s="19" t="s">
        <v>240</v>
      </c>
      <c r="K54" s="19" t="s">
        <v>75</v>
      </c>
      <c r="L54" s="21" t="s">
        <v>76</v>
      </c>
    </row>
    <row r="55" customFormat="false" ht="15" hidden="false" customHeight="false" outlineLevel="0" collapsed="false">
      <c r="A55" s="22" t="s">
        <v>252</v>
      </c>
      <c r="B55" s="23" t="s">
        <v>253</v>
      </c>
      <c r="C55" s="28" t="n">
        <v>90</v>
      </c>
      <c r="D55" s="23" t="s">
        <v>215</v>
      </c>
      <c r="E55" s="23" t="s">
        <v>254</v>
      </c>
      <c r="F55" s="25" t="s">
        <v>255</v>
      </c>
      <c r="G55" s="23" t="s">
        <v>238</v>
      </c>
      <c r="H55" s="26" t="n">
        <v>13</v>
      </c>
      <c r="I55" s="23" t="s">
        <v>239</v>
      </c>
      <c r="J55" s="25" t="s">
        <v>240</v>
      </c>
      <c r="K55" s="25" t="s">
        <v>75</v>
      </c>
      <c r="L55" s="27" t="s">
        <v>76</v>
      </c>
    </row>
    <row r="56" customFormat="false" ht="15" hidden="false" customHeight="false" outlineLevel="0" collapsed="false">
      <c r="A56" s="17" t="s">
        <v>256</v>
      </c>
      <c r="B56" s="5" t="s">
        <v>257</v>
      </c>
      <c r="C56" s="18" t="n">
        <v>200</v>
      </c>
      <c r="D56" s="5" t="s">
        <v>215</v>
      </c>
      <c r="E56" s="5" t="s">
        <v>258</v>
      </c>
      <c r="F56" s="19" t="s">
        <v>259</v>
      </c>
      <c r="G56" s="5" t="s">
        <v>238</v>
      </c>
      <c r="H56" s="20" t="n">
        <v>6</v>
      </c>
      <c r="I56" s="5" t="s">
        <v>73</v>
      </c>
      <c r="J56" s="19" t="s">
        <v>240</v>
      </c>
      <c r="K56" s="19" t="s">
        <v>75</v>
      </c>
      <c r="L56" s="21" t="s">
        <v>76</v>
      </c>
    </row>
    <row r="57" customFormat="false" ht="15" hidden="false" customHeight="false" outlineLevel="0" collapsed="false">
      <c r="A57" s="22" t="s">
        <v>260</v>
      </c>
      <c r="B57" s="23" t="s">
        <v>261</v>
      </c>
      <c r="C57" s="28" t="n">
        <v>1030</v>
      </c>
      <c r="D57" s="23" t="s">
        <v>215</v>
      </c>
      <c r="E57" s="23" t="s">
        <v>258</v>
      </c>
      <c r="F57" s="25" t="s">
        <v>262</v>
      </c>
      <c r="G57" s="23" t="s">
        <v>238</v>
      </c>
      <c r="H57" s="26" t="n">
        <v>6</v>
      </c>
      <c r="I57" s="23" t="s">
        <v>193</v>
      </c>
      <c r="J57" s="25" t="s">
        <v>240</v>
      </c>
      <c r="K57" s="25" t="s">
        <v>75</v>
      </c>
      <c r="L57" s="27" t="s">
        <v>76</v>
      </c>
    </row>
    <row r="58" customFormat="false" ht="15" hidden="false" customHeight="false" outlineLevel="0" collapsed="false">
      <c r="A58" s="17" t="s">
        <v>263</v>
      </c>
      <c r="B58" s="5" t="s">
        <v>264</v>
      </c>
      <c r="C58" s="18" t="n">
        <v>60</v>
      </c>
      <c r="D58" s="5" t="s">
        <v>265</v>
      </c>
      <c r="E58" s="5" t="s">
        <v>258</v>
      </c>
      <c r="F58" s="19" t="s">
        <v>266</v>
      </c>
      <c r="G58" s="5" t="s">
        <v>238</v>
      </c>
      <c r="H58" s="20" t="n">
        <v>6</v>
      </c>
      <c r="I58" s="5" t="s">
        <v>93</v>
      </c>
      <c r="J58" s="19" t="s">
        <v>240</v>
      </c>
      <c r="K58" s="19" t="s">
        <v>75</v>
      </c>
      <c r="L58" s="21" t="s">
        <v>76</v>
      </c>
    </row>
    <row r="59" customFormat="false" ht="15" hidden="false" customHeight="false" outlineLevel="0" collapsed="false">
      <c r="A59" s="22" t="s">
        <v>267</v>
      </c>
      <c r="B59" s="23" t="s">
        <v>261</v>
      </c>
      <c r="C59" s="28" t="n">
        <v>980</v>
      </c>
      <c r="D59" s="23" t="s">
        <v>215</v>
      </c>
      <c r="E59" s="23" t="s">
        <v>268</v>
      </c>
      <c r="F59" s="25" t="s">
        <v>269</v>
      </c>
      <c r="G59" s="23" t="s">
        <v>238</v>
      </c>
      <c r="H59" s="26" t="n">
        <v>7</v>
      </c>
      <c r="I59" s="23" t="s">
        <v>193</v>
      </c>
      <c r="J59" s="25" t="s">
        <v>240</v>
      </c>
      <c r="K59" s="25" t="s">
        <v>75</v>
      </c>
      <c r="L59" s="27" t="s">
        <v>76</v>
      </c>
    </row>
    <row r="60" customFormat="false" ht="15" hidden="false" customHeight="false" outlineLevel="0" collapsed="false">
      <c r="A60" s="17" t="s">
        <v>270</v>
      </c>
      <c r="B60" s="5" t="s">
        <v>271</v>
      </c>
      <c r="C60" s="18" t="n">
        <v>3</v>
      </c>
      <c r="D60" s="5" t="s">
        <v>99</v>
      </c>
      <c r="E60" s="5" t="s">
        <v>157</v>
      </c>
      <c r="F60" s="19" t="s">
        <v>100</v>
      </c>
      <c r="G60" s="5" t="s">
        <v>238</v>
      </c>
      <c r="H60" s="20" t="n">
        <v>16</v>
      </c>
      <c r="I60" s="5" t="s">
        <v>73</v>
      </c>
      <c r="J60" s="19" t="s">
        <v>240</v>
      </c>
      <c r="K60" s="19" t="s">
        <v>75</v>
      </c>
      <c r="L60" s="21" t="s">
        <v>76</v>
      </c>
    </row>
    <row r="61" customFormat="false" ht="15" hidden="false" customHeight="false" outlineLevel="0" collapsed="false">
      <c r="A61" s="22" t="s">
        <v>272</v>
      </c>
      <c r="B61" s="23" t="s">
        <v>273</v>
      </c>
      <c r="C61" s="28" t="n">
        <v>3</v>
      </c>
      <c r="D61" s="23" t="s">
        <v>99</v>
      </c>
      <c r="E61" s="23" t="s">
        <v>122</v>
      </c>
      <c r="F61" s="25" t="s">
        <v>100</v>
      </c>
      <c r="G61" s="23" t="s">
        <v>238</v>
      </c>
      <c r="H61" s="26" t="n">
        <v>16</v>
      </c>
      <c r="I61" s="23" t="s">
        <v>73</v>
      </c>
      <c r="J61" s="25" t="s">
        <v>240</v>
      </c>
      <c r="K61" s="25" t="s">
        <v>75</v>
      </c>
      <c r="L61" s="27" t="s">
        <v>76</v>
      </c>
    </row>
    <row r="62" customFormat="false" ht="15" hidden="false" customHeight="false" outlineLevel="0" collapsed="false">
      <c r="A62" s="17" t="s">
        <v>274</v>
      </c>
      <c r="B62" s="5" t="s">
        <v>275</v>
      </c>
      <c r="C62" s="18" t="n">
        <v>3</v>
      </c>
      <c r="D62" s="5" t="s">
        <v>99</v>
      </c>
      <c r="E62" s="5" t="s">
        <v>276</v>
      </c>
      <c r="F62" s="19" t="s">
        <v>100</v>
      </c>
      <c r="G62" s="5" t="s">
        <v>211</v>
      </c>
      <c r="H62" s="20" t="n">
        <v>3</v>
      </c>
      <c r="I62" s="5" t="s">
        <v>73</v>
      </c>
      <c r="J62" s="19" t="s">
        <v>212</v>
      </c>
      <c r="K62" s="19" t="s">
        <v>75</v>
      </c>
      <c r="L62" s="21" t="s">
        <v>76</v>
      </c>
    </row>
    <row r="63" customFormat="false" ht="15" hidden="false" customHeight="false" outlineLevel="0" collapsed="false">
      <c r="A63" s="22" t="s">
        <v>277</v>
      </c>
      <c r="B63" s="23" t="s">
        <v>278</v>
      </c>
      <c r="C63" s="24" t="n">
        <v>4.3</v>
      </c>
      <c r="D63" s="23" t="s">
        <v>96</v>
      </c>
      <c r="E63" s="23" t="s">
        <v>191</v>
      </c>
      <c r="F63" s="25" t="s">
        <v>279</v>
      </c>
      <c r="G63" s="23" t="s">
        <v>238</v>
      </c>
      <c r="H63" s="26" t="n">
        <v>4</v>
      </c>
      <c r="I63" s="23" t="s">
        <v>193</v>
      </c>
      <c r="J63" s="25" t="s">
        <v>240</v>
      </c>
      <c r="K63" s="25" t="s">
        <v>75</v>
      </c>
      <c r="L63" s="27" t="s">
        <v>76</v>
      </c>
    </row>
    <row r="64" customFormat="false" ht="15" hidden="false" customHeight="false" outlineLevel="0" collapsed="false">
      <c r="A64" s="17" t="s">
        <v>280</v>
      </c>
      <c r="B64" s="5" t="s">
        <v>281</v>
      </c>
      <c r="C64" s="29" t="n">
        <v>5.2</v>
      </c>
      <c r="D64" s="5" t="s">
        <v>96</v>
      </c>
      <c r="E64" s="5" t="s">
        <v>268</v>
      </c>
      <c r="F64" s="19" t="s">
        <v>282</v>
      </c>
      <c r="G64" s="5" t="s">
        <v>238</v>
      </c>
      <c r="H64" s="20" t="n">
        <v>9</v>
      </c>
      <c r="I64" s="5" t="s">
        <v>193</v>
      </c>
      <c r="J64" s="19" t="s">
        <v>240</v>
      </c>
      <c r="K64" s="19" t="s">
        <v>75</v>
      </c>
      <c r="L64" s="21" t="s">
        <v>76</v>
      </c>
    </row>
    <row r="65" customFormat="false" ht="15" hidden="false" customHeight="false" outlineLevel="0" collapsed="false">
      <c r="A65" s="22" t="s">
        <v>283</v>
      </c>
      <c r="B65" s="23" t="s">
        <v>284</v>
      </c>
      <c r="C65" s="24" t="n">
        <v>0.9</v>
      </c>
      <c r="D65" s="23" t="s">
        <v>96</v>
      </c>
      <c r="E65" s="23" t="s">
        <v>268</v>
      </c>
      <c r="F65" s="25" t="s">
        <v>285</v>
      </c>
      <c r="G65" s="23" t="s">
        <v>238</v>
      </c>
      <c r="H65" s="26" t="n">
        <v>9</v>
      </c>
      <c r="I65" s="23" t="s">
        <v>193</v>
      </c>
      <c r="J65" s="25" t="s">
        <v>240</v>
      </c>
      <c r="K65" s="25" t="s">
        <v>75</v>
      </c>
      <c r="L65" s="27" t="s">
        <v>76</v>
      </c>
    </row>
    <row r="66" customFormat="false" ht="15" hidden="false" customHeight="false" outlineLevel="0" collapsed="false">
      <c r="A66" s="17" t="s">
        <v>286</v>
      </c>
      <c r="B66" s="5" t="s">
        <v>287</v>
      </c>
      <c r="C66" s="18" t="n">
        <v>17</v>
      </c>
      <c r="D66" s="5" t="s">
        <v>265</v>
      </c>
      <c r="E66" s="5" t="s">
        <v>268</v>
      </c>
      <c r="F66" s="19" t="s">
        <v>288</v>
      </c>
      <c r="G66" s="5" t="s">
        <v>238</v>
      </c>
      <c r="H66" s="20" t="n">
        <v>9</v>
      </c>
      <c r="I66" s="5" t="s">
        <v>193</v>
      </c>
      <c r="J66" s="19" t="s">
        <v>240</v>
      </c>
      <c r="K66" s="19" t="s">
        <v>75</v>
      </c>
      <c r="L66" s="21" t="s">
        <v>76</v>
      </c>
    </row>
    <row r="67" customFormat="false" ht="15" hidden="false" customHeight="false" outlineLevel="0" collapsed="false">
      <c r="A67" s="22" t="s">
        <v>289</v>
      </c>
      <c r="B67" s="23" t="s">
        <v>290</v>
      </c>
      <c r="C67" s="28" t="n">
        <v>10</v>
      </c>
      <c r="D67" s="23" t="s">
        <v>291</v>
      </c>
      <c r="E67" s="23" t="s">
        <v>80</v>
      </c>
      <c r="F67" s="25" t="s">
        <v>202</v>
      </c>
      <c r="G67" s="23" t="s">
        <v>238</v>
      </c>
      <c r="H67" s="26" t="n">
        <v>9</v>
      </c>
      <c r="I67" s="23" t="s">
        <v>193</v>
      </c>
      <c r="J67" s="25" t="s">
        <v>240</v>
      </c>
      <c r="K67" s="25" t="s">
        <v>75</v>
      </c>
      <c r="L67" s="27" t="s">
        <v>76</v>
      </c>
    </row>
    <row r="68" customFormat="false" ht="15" hidden="false" customHeight="false" outlineLevel="0" collapsed="false">
      <c r="A68" s="17" t="s">
        <v>292</v>
      </c>
      <c r="B68" s="5" t="s">
        <v>293</v>
      </c>
      <c r="C68" s="18" t="n">
        <v>430</v>
      </c>
      <c r="D68" s="5" t="s">
        <v>190</v>
      </c>
      <c r="E68" s="5" t="s">
        <v>294</v>
      </c>
      <c r="F68" s="19" t="s">
        <v>295</v>
      </c>
      <c r="G68" s="5" t="s">
        <v>238</v>
      </c>
      <c r="H68" s="20" t="n">
        <v>9</v>
      </c>
      <c r="I68" s="5" t="s">
        <v>193</v>
      </c>
      <c r="J68" s="19" t="s">
        <v>240</v>
      </c>
      <c r="K68" s="19" t="s">
        <v>75</v>
      </c>
      <c r="L68" s="21" t="s">
        <v>76</v>
      </c>
    </row>
    <row r="69" customFormat="false" ht="15" hidden="false" customHeight="false" outlineLevel="0" collapsed="false">
      <c r="A69" s="22" t="s">
        <v>296</v>
      </c>
      <c r="B69" s="23" t="s">
        <v>297</v>
      </c>
      <c r="C69" s="28" t="n">
        <v>-2301</v>
      </c>
      <c r="D69" s="23" t="s">
        <v>69</v>
      </c>
      <c r="E69" s="23" t="s">
        <v>86</v>
      </c>
      <c r="F69" s="25" t="s">
        <v>298</v>
      </c>
      <c r="G69" s="23" t="s">
        <v>88</v>
      </c>
      <c r="H69" s="26" t="n">
        <v>14</v>
      </c>
      <c r="I69" s="23" t="s">
        <v>93</v>
      </c>
      <c r="J69" s="25" t="s">
        <v>89</v>
      </c>
      <c r="K69" s="25" t="s">
        <v>75</v>
      </c>
      <c r="L69" s="27" t="s">
        <v>76</v>
      </c>
    </row>
    <row r="70" customFormat="false" ht="15" hidden="false" customHeight="false" outlineLevel="0" collapsed="false">
      <c r="A70" s="17" t="s">
        <v>299</v>
      </c>
      <c r="B70" s="5" t="s">
        <v>300</v>
      </c>
      <c r="C70" s="18" t="n">
        <v>-1023</v>
      </c>
      <c r="D70" s="5" t="s">
        <v>69</v>
      </c>
      <c r="E70" s="5" t="s">
        <v>86</v>
      </c>
      <c r="F70" s="19" t="s">
        <v>301</v>
      </c>
      <c r="G70" s="5" t="s">
        <v>88</v>
      </c>
      <c r="H70" s="20" t="n">
        <v>15</v>
      </c>
      <c r="I70" s="5" t="s">
        <v>93</v>
      </c>
      <c r="J70" s="19" t="s">
        <v>89</v>
      </c>
      <c r="K70" s="19" t="s">
        <v>75</v>
      </c>
      <c r="L70" s="21" t="s">
        <v>76</v>
      </c>
    </row>
    <row r="71" customFormat="false" ht="15" hidden="false" customHeight="false" outlineLevel="0" collapsed="false">
      <c r="A71" s="22" t="s">
        <v>302</v>
      </c>
      <c r="B71" s="23" t="s">
        <v>303</v>
      </c>
      <c r="C71" s="28" t="n">
        <v>497</v>
      </c>
      <c r="D71" s="23" t="s">
        <v>69</v>
      </c>
      <c r="E71" s="23" t="s">
        <v>86</v>
      </c>
      <c r="F71" s="25" t="s">
        <v>304</v>
      </c>
      <c r="G71" s="23" t="s">
        <v>88</v>
      </c>
      <c r="H71" s="26" t="n">
        <v>15</v>
      </c>
      <c r="I71" s="23" t="s">
        <v>73</v>
      </c>
      <c r="J71" s="25" t="s">
        <v>89</v>
      </c>
      <c r="K71" s="25" t="s">
        <v>75</v>
      </c>
      <c r="L71" s="27" t="s">
        <v>76</v>
      </c>
    </row>
    <row r="72" customFormat="false" ht="15" hidden="false" customHeight="false" outlineLevel="0" collapsed="false">
      <c r="A72" s="17" t="s">
        <v>305</v>
      </c>
      <c r="B72" s="5" t="s">
        <v>306</v>
      </c>
      <c r="C72" s="18" t="n">
        <v>318</v>
      </c>
      <c r="D72" s="5" t="s">
        <v>69</v>
      </c>
      <c r="E72" s="5" t="s">
        <v>86</v>
      </c>
      <c r="F72" s="19" t="s">
        <v>307</v>
      </c>
      <c r="G72" s="5" t="s">
        <v>88</v>
      </c>
      <c r="H72" s="20" t="n">
        <v>15</v>
      </c>
      <c r="I72" s="5" t="s">
        <v>93</v>
      </c>
      <c r="J72" s="19" t="s">
        <v>89</v>
      </c>
      <c r="K72" s="19" t="s">
        <v>75</v>
      </c>
      <c r="L72" s="21" t="s">
        <v>76</v>
      </c>
    </row>
    <row r="73" customFormat="false" ht="15" hidden="false" customHeight="false" outlineLevel="0" collapsed="false">
      <c r="A73" s="22" t="s">
        <v>308</v>
      </c>
      <c r="B73" s="23" t="s">
        <v>309</v>
      </c>
      <c r="C73" s="28" t="n">
        <v>-402</v>
      </c>
      <c r="D73" s="23" t="s">
        <v>69</v>
      </c>
      <c r="E73" s="23" t="s">
        <v>86</v>
      </c>
      <c r="F73" s="25" t="s">
        <v>310</v>
      </c>
      <c r="G73" s="23" t="s">
        <v>88</v>
      </c>
      <c r="H73" s="26" t="n">
        <v>15</v>
      </c>
      <c r="I73" s="23" t="s">
        <v>93</v>
      </c>
      <c r="J73" s="25" t="s">
        <v>89</v>
      </c>
      <c r="K73" s="25" t="s">
        <v>75</v>
      </c>
      <c r="L73" s="27" t="s">
        <v>76</v>
      </c>
    </row>
    <row r="74" customFormat="false" ht="15" hidden="false" customHeight="false" outlineLevel="0" collapsed="false">
      <c r="A74" s="17" t="s">
        <v>311</v>
      </c>
      <c r="B74" s="5" t="s">
        <v>312</v>
      </c>
      <c r="C74" s="18" t="n">
        <v>293</v>
      </c>
      <c r="D74" s="5" t="s">
        <v>69</v>
      </c>
      <c r="E74" s="5" t="s">
        <v>86</v>
      </c>
      <c r="F74" s="19" t="s">
        <v>313</v>
      </c>
      <c r="G74" s="5" t="s">
        <v>88</v>
      </c>
      <c r="H74" s="20" t="n">
        <v>15</v>
      </c>
      <c r="I74" s="5" t="s">
        <v>93</v>
      </c>
      <c r="J74" s="19" t="s">
        <v>89</v>
      </c>
      <c r="K74" s="19" t="s">
        <v>75</v>
      </c>
      <c r="L74" s="21" t="s">
        <v>76</v>
      </c>
    </row>
    <row r="75" customFormat="false" ht="15" hidden="false" customHeight="false" outlineLevel="0" collapsed="false">
      <c r="A75" s="22" t="s">
        <v>314</v>
      </c>
      <c r="B75" s="23" t="s">
        <v>175</v>
      </c>
      <c r="C75" s="28" t="n">
        <v>-451</v>
      </c>
      <c r="D75" s="23" t="s">
        <v>69</v>
      </c>
      <c r="E75" s="23" t="s">
        <v>148</v>
      </c>
      <c r="F75" s="25" t="s">
        <v>315</v>
      </c>
      <c r="G75" s="23" t="s">
        <v>115</v>
      </c>
      <c r="H75" s="26" t="n">
        <v>25</v>
      </c>
      <c r="I75" s="23" t="s">
        <v>93</v>
      </c>
      <c r="J75" s="25" t="s">
        <v>116</v>
      </c>
      <c r="K75" s="25" t="s">
        <v>75</v>
      </c>
      <c r="L75" s="27" t="s">
        <v>76</v>
      </c>
    </row>
    <row r="76" customFormat="false" ht="15" hidden="false" customHeight="false" outlineLevel="0" collapsed="false">
      <c r="A76" s="17" t="s">
        <v>316</v>
      </c>
      <c r="B76" s="5" t="s">
        <v>105</v>
      </c>
      <c r="C76" s="18" t="n">
        <v>20764</v>
      </c>
      <c r="D76" s="5" t="s">
        <v>69</v>
      </c>
      <c r="E76" s="5" t="s">
        <v>317</v>
      </c>
      <c r="F76" s="19" t="s">
        <v>318</v>
      </c>
      <c r="G76" s="5" t="s">
        <v>115</v>
      </c>
      <c r="H76" s="20" t="n">
        <v>26</v>
      </c>
      <c r="I76" s="5" t="s">
        <v>73</v>
      </c>
      <c r="J76" s="19" t="s">
        <v>116</v>
      </c>
      <c r="K76" s="19" t="s">
        <v>75</v>
      </c>
      <c r="L76" s="21" t="s">
        <v>76</v>
      </c>
    </row>
    <row r="77" customFormat="false" ht="15" hidden="false" customHeight="false" outlineLevel="0" collapsed="false">
      <c r="A77" s="22" t="s">
        <v>319</v>
      </c>
      <c r="B77" s="23" t="s">
        <v>320</v>
      </c>
      <c r="C77" s="28" t="n">
        <v>-1394</v>
      </c>
      <c r="D77" s="23" t="s">
        <v>69</v>
      </c>
      <c r="E77" s="23" t="s">
        <v>70</v>
      </c>
      <c r="F77" s="25" t="s">
        <v>321</v>
      </c>
      <c r="G77" s="23" t="s">
        <v>115</v>
      </c>
      <c r="H77" s="26" t="n">
        <v>26</v>
      </c>
      <c r="I77" s="23" t="s">
        <v>93</v>
      </c>
      <c r="J77" s="25" t="s">
        <v>116</v>
      </c>
      <c r="K77" s="25" t="s">
        <v>75</v>
      </c>
      <c r="L77" s="27" t="s">
        <v>76</v>
      </c>
    </row>
    <row r="78" customFormat="false" ht="15" hidden="false" customHeight="false" outlineLevel="0" collapsed="false">
      <c r="A78" s="17" t="s">
        <v>322</v>
      </c>
      <c r="B78" s="5" t="s">
        <v>323</v>
      </c>
      <c r="C78" s="18" t="n">
        <v>-1267</v>
      </c>
      <c r="D78" s="5" t="s">
        <v>69</v>
      </c>
      <c r="E78" s="5" t="s">
        <v>148</v>
      </c>
      <c r="F78" s="19" t="s">
        <v>324</v>
      </c>
      <c r="G78" s="5" t="s">
        <v>115</v>
      </c>
      <c r="H78" s="20" t="n">
        <v>26</v>
      </c>
      <c r="I78" s="5" t="s">
        <v>93</v>
      </c>
      <c r="J78" s="19" t="s">
        <v>116</v>
      </c>
      <c r="K78" s="19" t="s">
        <v>75</v>
      </c>
      <c r="L78" s="21" t="s">
        <v>76</v>
      </c>
    </row>
    <row r="79" customFormat="false" ht="15" hidden="false" customHeight="false" outlineLevel="0" collapsed="false">
      <c r="A79" s="22" t="s">
        <v>325</v>
      </c>
      <c r="B79" s="23" t="s">
        <v>326</v>
      </c>
      <c r="C79" s="28" t="n">
        <v>1099</v>
      </c>
      <c r="D79" s="23" t="s">
        <v>69</v>
      </c>
      <c r="E79" s="23" t="s">
        <v>157</v>
      </c>
      <c r="F79" s="25" t="s">
        <v>327</v>
      </c>
      <c r="G79" s="23" t="s">
        <v>115</v>
      </c>
      <c r="H79" s="26" t="n">
        <v>25</v>
      </c>
      <c r="I79" s="23" t="s">
        <v>93</v>
      </c>
      <c r="J79" s="25" t="s">
        <v>116</v>
      </c>
      <c r="K79" s="25" t="s">
        <v>75</v>
      </c>
      <c r="L79" s="27" t="s">
        <v>76</v>
      </c>
    </row>
    <row r="80" customFormat="false" ht="15" hidden="false" customHeight="false" outlineLevel="0" collapsed="false">
      <c r="A80" s="17" t="s">
        <v>328</v>
      </c>
      <c r="B80" s="5" t="s">
        <v>329</v>
      </c>
      <c r="C80" s="18" t="n">
        <v>-2869</v>
      </c>
      <c r="D80" s="5" t="s">
        <v>69</v>
      </c>
      <c r="E80" s="5" t="s">
        <v>70</v>
      </c>
      <c r="F80" s="19" t="s">
        <v>330</v>
      </c>
      <c r="G80" s="5" t="s">
        <v>115</v>
      </c>
      <c r="H80" s="20" t="n">
        <v>25</v>
      </c>
      <c r="I80" s="5" t="s">
        <v>93</v>
      </c>
      <c r="J80" s="19" t="s">
        <v>116</v>
      </c>
      <c r="K80" s="19" t="s">
        <v>75</v>
      </c>
      <c r="L80" s="21" t="s">
        <v>76</v>
      </c>
    </row>
    <row r="81" customFormat="false" ht="15" hidden="false" customHeight="false" outlineLevel="0" collapsed="false">
      <c r="A81" s="22" t="s">
        <v>331</v>
      </c>
      <c r="B81" s="23" t="s">
        <v>332</v>
      </c>
      <c r="C81" s="28" t="n">
        <v>-2778</v>
      </c>
      <c r="D81" s="23" t="s">
        <v>69</v>
      </c>
      <c r="E81" s="23" t="s">
        <v>70</v>
      </c>
      <c r="F81" s="25" t="s">
        <v>333</v>
      </c>
      <c r="G81" s="23" t="s">
        <v>115</v>
      </c>
      <c r="H81" s="26" t="n">
        <v>25</v>
      </c>
      <c r="I81" s="23" t="s">
        <v>239</v>
      </c>
      <c r="J81" s="25" t="s">
        <v>116</v>
      </c>
      <c r="K81" s="25" t="s">
        <v>75</v>
      </c>
      <c r="L81" s="27" t="s">
        <v>76</v>
      </c>
    </row>
    <row r="82" customFormat="false" ht="15" hidden="false" customHeight="false" outlineLevel="0" collapsed="false">
      <c r="A82" s="17" t="s">
        <v>334</v>
      </c>
      <c r="B82" s="5" t="s">
        <v>335</v>
      </c>
      <c r="C82" s="18" t="n">
        <v>-137</v>
      </c>
      <c r="D82" s="5" t="s">
        <v>69</v>
      </c>
      <c r="E82" s="5" t="s">
        <v>70</v>
      </c>
      <c r="F82" s="19" t="s">
        <v>336</v>
      </c>
      <c r="G82" s="5" t="s">
        <v>115</v>
      </c>
      <c r="H82" s="20" t="n">
        <v>25</v>
      </c>
      <c r="I82" s="5" t="s">
        <v>239</v>
      </c>
      <c r="J82" s="19" t="s">
        <v>116</v>
      </c>
      <c r="K82" s="19" t="s">
        <v>75</v>
      </c>
      <c r="L82" s="21" t="s">
        <v>76</v>
      </c>
    </row>
    <row r="83" customFormat="false" ht="15" hidden="false" customHeight="false" outlineLevel="0" collapsed="false">
      <c r="A83" s="22" t="s">
        <v>337</v>
      </c>
      <c r="B83" s="23" t="s">
        <v>338</v>
      </c>
      <c r="C83" s="28" t="n">
        <v>-260</v>
      </c>
      <c r="D83" s="23" t="s">
        <v>69</v>
      </c>
      <c r="E83" s="23" t="s">
        <v>70</v>
      </c>
      <c r="F83" s="25" t="s">
        <v>339</v>
      </c>
      <c r="G83" s="23" t="s">
        <v>115</v>
      </c>
      <c r="H83" s="26" t="n">
        <v>25</v>
      </c>
      <c r="I83" s="23" t="s">
        <v>73</v>
      </c>
      <c r="J83" s="25" t="s">
        <v>116</v>
      </c>
      <c r="K83" s="25" t="s">
        <v>75</v>
      </c>
      <c r="L83" s="27" t="s">
        <v>76</v>
      </c>
    </row>
    <row r="84" customFormat="false" ht="15" hidden="false" customHeight="false" outlineLevel="0" collapsed="false">
      <c r="A84" s="17" t="s">
        <v>340</v>
      </c>
      <c r="B84" s="5" t="s">
        <v>341</v>
      </c>
      <c r="C84" s="18" t="n">
        <v>-70</v>
      </c>
      <c r="D84" s="5" t="s">
        <v>69</v>
      </c>
      <c r="E84" s="5" t="s">
        <v>70</v>
      </c>
      <c r="F84" s="19" t="s">
        <v>342</v>
      </c>
      <c r="G84" s="5" t="s">
        <v>115</v>
      </c>
      <c r="H84" s="20" t="n">
        <v>26</v>
      </c>
      <c r="I84" s="5" t="s">
        <v>93</v>
      </c>
      <c r="J84" s="19" t="s">
        <v>116</v>
      </c>
      <c r="K84" s="19" t="s">
        <v>75</v>
      </c>
      <c r="L84" s="21" t="s">
        <v>76</v>
      </c>
    </row>
    <row r="85" customFormat="false" ht="15" hidden="false" customHeight="false" outlineLevel="0" collapsed="false">
      <c r="A85" s="22" t="s">
        <v>343</v>
      </c>
      <c r="B85" s="23" t="s">
        <v>344</v>
      </c>
      <c r="C85" s="28" t="n">
        <v>10</v>
      </c>
      <c r="D85" s="23" t="s">
        <v>69</v>
      </c>
      <c r="E85" s="23" t="s">
        <v>70</v>
      </c>
      <c r="F85" s="25" t="s">
        <v>202</v>
      </c>
      <c r="G85" s="23" t="s">
        <v>115</v>
      </c>
      <c r="H85" s="26" t="n">
        <v>26</v>
      </c>
      <c r="I85" s="23" t="s">
        <v>93</v>
      </c>
      <c r="J85" s="25" t="s">
        <v>116</v>
      </c>
      <c r="K85" s="25" t="s">
        <v>75</v>
      </c>
      <c r="L85" s="27" t="s">
        <v>76</v>
      </c>
    </row>
    <row r="86" customFormat="false" ht="15" hidden="false" customHeight="false" outlineLevel="0" collapsed="false">
      <c r="A86" s="17" t="s">
        <v>345</v>
      </c>
      <c r="B86" s="5" t="s">
        <v>346</v>
      </c>
      <c r="C86" s="18" t="n">
        <v>2</v>
      </c>
      <c r="D86" s="5" t="s">
        <v>69</v>
      </c>
      <c r="E86" s="5" t="s">
        <v>70</v>
      </c>
      <c r="F86" s="19" t="s">
        <v>166</v>
      </c>
      <c r="G86" s="5" t="s">
        <v>115</v>
      </c>
      <c r="H86" s="20" t="n">
        <v>26</v>
      </c>
      <c r="I86" s="5" t="s">
        <v>93</v>
      </c>
      <c r="J86" s="19" t="s">
        <v>116</v>
      </c>
      <c r="K86" s="19" t="s">
        <v>75</v>
      </c>
      <c r="L86" s="21" t="s">
        <v>76</v>
      </c>
    </row>
    <row r="87" customFormat="false" ht="15" hidden="false" customHeight="false" outlineLevel="0" collapsed="false">
      <c r="A87" s="22" t="s">
        <v>347</v>
      </c>
      <c r="B87" s="23" t="s">
        <v>348</v>
      </c>
      <c r="C87" s="28" t="n">
        <v>-21</v>
      </c>
      <c r="D87" s="23" t="s">
        <v>69</v>
      </c>
      <c r="E87" s="23" t="s">
        <v>70</v>
      </c>
      <c r="F87" s="25" t="s">
        <v>349</v>
      </c>
      <c r="G87" s="23" t="s">
        <v>115</v>
      </c>
      <c r="H87" s="26" t="n">
        <v>26</v>
      </c>
      <c r="I87" s="23" t="s">
        <v>73</v>
      </c>
      <c r="J87" s="25" t="s">
        <v>116</v>
      </c>
      <c r="K87" s="25" t="s">
        <v>75</v>
      </c>
      <c r="L87" s="27" t="s">
        <v>76</v>
      </c>
    </row>
    <row r="88" customFormat="false" ht="15" hidden="false" customHeight="false" outlineLevel="0" collapsed="false">
      <c r="A88" s="17" t="s">
        <v>350</v>
      </c>
      <c r="B88" s="5" t="s">
        <v>351</v>
      </c>
      <c r="C88" s="18" t="n">
        <v>-1238</v>
      </c>
      <c r="D88" s="5" t="s">
        <v>69</v>
      </c>
      <c r="E88" s="5" t="s">
        <v>70</v>
      </c>
      <c r="F88" s="19" t="s">
        <v>352</v>
      </c>
      <c r="G88" s="5" t="s">
        <v>115</v>
      </c>
      <c r="H88" s="20" t="n">
        <v>26</v>
      </c>
      <c r="I88" s="5" t="s">
        <v>93</v>
      </c>
      <c r="J88" s="19" t="s">
        <v>116</v>
      </c>
      <c r="K88" s="19" t="s">
        <v>75</v>
      </c>
      <c r="L88" s="21" t="s">
        <v>76</v>
      </c>
    </row>
    <row r="89" customFormat="false" ht="15" hidden="false" customHeight="false" outlineLevel="0" collapsed="false">
      <c r="A89" s="22" t="s">
        <v>353</v>
      </c>
      <c r="B89" s="23" t="s">
        <v>351</v>
      </c>
      <c r="C89" s="28" t="n">
        <v>-1171</v>
      </c>
      <c r="D89" s="23" t="s">
        <v>69</v>
      </c>
      <c r="E89" s="23" t="s">
        <v>148</v>
      </c>
      <c r="F89" s="25" t="s">
        <v>354</v>
      </c>
      <c r="G89" s="23" t="s">
        <v>115</v>
      </c>
      <c r="H89" s="26" t="n">
        <v>26</v>
      </c>
      <c r="I89" s="23" t="s">
        <v>93</v>
      </c>
      <c r="J89" s="25" t="s">
        <v>116</v>
      </c>
      <c r="K89" s="25" t="s">
        <v>75</v>
      </c>
      <c r="L89" s="27" t="s">
        <v>76</v>
      </c>
    </row>
    <row r="90" customFormat="false" ht="15" hidden="false" customHeight="false" outlineLevel="0" collapsed="false">
      <c r="A90" s="17" t="s">
        <v>355</v>
      </c>
      <c r="B90" s="5" t="s">
        <v>356</v>
      </c>
      <c r="C90" s="18" t="n">
        <v>-1630</v>
      </c>
      <c r="D90" s="5" t="s">
        <v>69</v>
      </c>
      <c r="E90" s="5" t="s">
        <v>70</v>
      </c>
      <c r="F90" s="19" t="s">
        <v>357</v>
      </c>
      <c r="G90" s="5" t="s">
        <v>115</v>
      </c>
      <c r="H90" s="20" t="n">
        <v>26</v>
      </c>
      <c r="I90" s="5" t="s">
        <v>93</v>
      </c>
      <c r="J90" s="19" t="s">
        <v>116</v>
      </c>
      <c r="K90" s="19" t="s">
        <v>75</v>
      </c>
      <c r="L90" s="21" t="s">
        <v>76</v>
      </c>
    </row>
    <row r="91" customFormat="false" ht="15" hidden="false" customHeight="false" outlineLevel="0" collapsed="false">
      <c r="A91" s="22" t="s">
        <v>358</v>
      </c>
      <c r="B91" s="23" t="s">
        <v>359</v>
      </c>
      <c r="C91" s="28" t="n">
        <v>731697339</v>
      </c>
      <c r="D91" s="23" t="s">
        <v>360</v>
      </c>
      <c r="E91" s="23" t="s">
        <v>70</v>
      </c>
      <c r="F91" s="25" t="s">
        <v>361</v>
      </c>
      <c r="G91" s="23" t="s">
        <v>115</v>
      </c>
      <c r="H91" s="26" t="n">
        <v>64</v>
      </c>
      <c r="I91" s="23" t="s">
        <v>93</v>
      </c>
      <c r="J91" s="25" t="s">
        <v>116</v>
      </c>
      <c r="K91" s="25" t="s">
        <v>75</v>
      </c>
      <c r="L91" s="27" t="s">
        <v>76</v>
      </c>
    </row>
    <row r="92" customFormat="false" ht="15" hidden="false" customHeight="false" outlineLevel="0" collapsed="false">
      <c r="A92" s="17" t="s">
        <v>362</v>
      </c>
      <c r="B92" s="5" t="s">
        <v>363</v>
      </c>
      <c r="C92" s="18" t="n">
        <v>5</v>
      </c>
      <c r="D92" s="5" t="s">
        <v>265</v>
      </c>
      <c r="E92" s="5" t="s">
        <v>157</v>
      </c>
      <c r="F92" s="19" t="s">
        <v>364</v>
      </c>
      <c r="G92" s="5" t="s">
        <v>211</v>
      </c>
      <c r="H92" s="20" t="n">
        <v>3</v>
      </c>
      <c r="I92" s="5" t="s">
        <v>93</v>
      </c>
      <c r="J92" s="19" t="s">
        <v>212</v>
      </c>
      <c r="K92" s="19" t="s">
        <v>75</v>
      </c>
      <c r="L92" s="21" t="s">
        <v>76</v>
      </c>
    </row>
    <row r="93" customFormat="false" ht="15" hidden="false" customHeight="false" outlineLevel="0" collapsed="false">
      <c r="A93" s="22" t="s">
        <v>365</v>
      </c>
      <c r="B93" s="23" t="s">
        <v>366</v>
      </c>
      <c r="C93" s="28" t="n">
        <v>6</v>
      </c>
      <c r="D93" s="23" t="s">
        <v>265</v>
      </c>
      <c r="E93" s="23" t="s">
        <v>157</v>
      </c>
      <c r="F93" s="25" t="s">
        <v>367</v>
      </c>
      <c r="G93" s="23" t="s">
        <v>211</v>
      </c>
      <c r="H93" s="26" t="n">
        <v>3</v>
      </c>
      <c r="I93" s="23" t="s">
        <v>93</v>
      </c>
      <c r="J93" s="25" t="s">
        <v>212</v>
      </c>
      <c r="K93" s="25" t="s">
        <v>75</v>
      </c>
      <c r="L93" s="27" t="s">
        <v>76</v>
      </c>
    </row>
    <row r="94" customFormat="false" ht="15" hidden="false" customHeight="false" outlineLevel="0" collapsed="false">
      <c r="A94" s="17" t="s">
        <v>368</v>
      </c>
      <c r="B94" s="5" t="s">
        <v>369</v>
      </c>
      <c r="C94" s="18" t="n">
        <v>8</v>
      </c>
      <c r="D94" s="5" t="s">
        <v>265</v>
      </c>
      <c r="E94" s="5" t="s">
        <v>157</v>
      </c>
      <c r="F94" s="19" t="s">
        <v>123</v>
      </c>
      <c r="G94" s="5" t="s">
        <v>211</v>
      </c>
      <c r="H94" s="20" t="n">
        <v>3</v>
      </c>
      <c r="I94" s="5" t="s">
        <v>93</v>
      </c>
      <c r="J94" s="19" t="s">
        <v>212</v>
      </c>
      <c r="K94" s="19" t="s">
        <v>75</v>
      </c>
      <c r="L94" s="21" t="s">
        <v>76</v>
      </c>
    </row>
    <row r="95" customFormat="false" ht="15" hidden="false" customHeight="false" outlineLevel="0" collapsed="false">
      <c r="A95" s="22" t="s">
        <v>370</v>
      </c>
      <c r="B95" s="23" t="s">
        <v>371</v>
      </c>
      <c r="C95" s="24" t="n">
        <v>1.9</v>
      </c>
      <c r="D95" s="23" t="s">
        <v>79</v>
      </c>
      <c r="E95" s="23" t="s">
        <v>80</v>
      </c>
      <c r="F95" s="25" t="s">
        <v>372</v>
      </c>
      <c r="G95" s="23" t="s">
        <v>82</v>
      </c>
      <c r="H95" s="26" t="n">
        <v>63</v>
      </c>
      <c r="I95" s="23" t="s">
        <v>83</v>
      </c>
      <c r="J95" s="25" t="s">
        <v>84</v>
      </c>
      <c r="K95" s="25" t="s">
        <v>75</v>
      </c>
      <c r="L95" s="27" t="s">
        <v>76</v>
      </c>
    </row>
    <row r="96" customFormat="false" ht="15" hidden="false" customHeight="false" outlineLevel="0" collapsed="false">
      <c r="A96" s="17" t="s">
        <v>373</v>
      </c>
      <c r="B96" s="5" t="s">
        <v>374</v>
      </c>
      <c r="C96" s="29" t="n">
        <v>1.5</v>
      </c>
      <c r="D96" s="5" t="s">
        <v>79</v>
      </c>
      <c r="E96" s="5" t="s">
        <v>80</v>
      </c>
      <c r="F96" s="19" t="s">
        <v>375</v>
      </c>
      <c r="G96" s="5" t="s">
        <v>82</v>
      </c>
      <c r="H96" s="20" t="n">
        <v>63</v>
      </c>
      <c r="I96" s="5" t="s">
        <v>83</v>
      </c>
      <c r="J96" s="19" t="s">
        <v>84</v>
      </c>
      <c r="K96" s="19" t="s">
        <v>75</v>
      </c>
      <c r="L96" s="21" t="s">
        <v>76</v>
      </c>
    </row>
    <row r="97" customFormat="false" ht="15" hidden="false" customHeight="false" outlineLevel="0" collapsed="false">
      <c r="A97" s="22" t="s">
        <v>376</v>
      </c>
      <c r="B97" s="23" t="s">
        <v>377</v>
      </c>
      <c r="C97" s="24" t="n">
        <v>0.3</v>
      </c>
      <c r="D97" s="23" t="s">
        <v>79</v>
      </c>
      <c r="E97" s="23" t="s">
        <v>80</v>
      </c>
      <c r="F97" s="25" t="s">
        <v>378</v>
      </c>
      <c r="G97" s="23" t="s">
        <v>82</v>
      </c>
      <c r="H97" s="26" t="n">
        <v>63</v>
      </c>
      <c r="I97" s="23" t="s">
        <v>83</v>
      </c>
      <c r="J97" s="25" t="s">
        <v>84</v>
      </c>
      <c r="K97" s="25" t="s">
        <v>75</v>
      </c>
      <c r="L97" s="27" t="s">
        <v>76</v>
      </c>
    </row>
    <row r="98" customFormat="false" ht="15" hidden="false" customHeight="false" outlineLevel="0" collapsed="false">
      <c r="A98" s="17" t="s">
        <v>379</v>
      </c>
      <c r="B98" s="5" t="s">
        <v>380</v>
      </c>
      <c r="C98" s="29" t="n">
        <v>-0.2</v>
      </c>
      <c r="D98" s="5" t="s">
        <v>265</v>
      </c>
      <c r="E98" s="5" t="s">
        <v>70</v>
      </c>
      <c r="F98" s="19" t="s">
        <v>381</v>
      </c>
      <c r="G98" s="5" t="s">
        <v>211</v>
      </c>
      <c r="H98" s="20" t="n">
        <v>7</v>
      </c>
      <c r="I98" s="5" t="s">
        <v>193</v>
      </c>
      <c r="J98" s="19" t="s">
        <v>212</v>
      </c>
      <c r="K98" s="19" t="s">
        <v>75</v>
      </c>
      <c r="L98" s="21" t="s">
        <v>76</v>
      </c>
    </row>
    <row r="99" customFormat="false" ht="15" hidden="false" customHeight="false" outlineLevel="0" collapsed="false">
      <c r="A99" s="22" t="s">
        <v>382</v>
      </c>
      <c r="B99" s="23" t="s">
        <v>204</v>
      </c>
      <c r="C99" s="28" t="n">
        <v>653</v>
      </c>
      <c r="D99" s="23" t="s">
        <v>69</v>
      </c>
      <c r="E99" s="23" t="s">
        <v>148</v>
      </c>
      <c r="F99" s="25" t="s">
        <v>383</v>
      </c>
      <c r="G99" s="23" t="s">
        <v>211</v>
      </c>
      <c r="H99" s="26" t="n">
        <v>7</v>
      </c>
      <c r="I99" s="23" t="s">
        <v>193</v>
      </c>
      <c r="J99" s="25" t="s">
        <v>212</v>
      </c>
      <c r="K99" s="25" t="s">
        <v>75</v>
      </c>
      <c r="L99" s="27" t="s">
        <v>76</v>
      </c>
    </row>
    <row r="100" customFormat="false" ht="15" hidden="false" customHeight="false" outlineLevel="0" collapsed="false">
      <c r="A100" s="17" t="s">
        <v>384</v>
      </c>
      <c r="B100" s="5" t="s">
        <v>204</v>
      </c>
      <c r="C100" s="18" t="n">
        <v>676</v>
      </c>
      <c r="D100" s="5" t="s">
        <v>69</v>
      </c>
      <c r="E100" s="5" t="s">
        <v>70</v>
      </c>
      <c r="F100" s="19" t="s">
        <v>385</v>
      </c>
      <c r="G100" s="5" t="s">
        <v>211</v>
      </c>
      <c r="H100" s="20" t="n">
        <v>7</v>
      </c>
      <c r="I100" s="5" t="s">
        <v>193</v>
      </c>
      <c r="J100" s="19" t="s">
        <v>212</v>
      </c>
      <c r="K100" s="19" t="s">
        <v>75</v>
      </c>
      <c r="L100" s="21" t="s">
        <v>76</v>
      </c>
    </row>
    <row r="101" customFormat="false" ht="15" hidden="false" customHeight="false" outlineLevel="0" collapsed="false">
      <c r="A101" s="22" t="s">
        <v>386</v>
      </c>
      <c r="B101" s="23" t="s">
        <v>387</v>
      </c>
      <c r="C101" s="28" t="n">
        <v>894</v>
      </c>
      <c r="D101" s="23" t="s">
        <v>69</v>
      </c>
      <c r="E101" s="23" t="s">
        <v>148</v>
      </c>
      <c r="F101" s="25" t="s">
        <v>388</v>
      </c>
      <c r="G101" s="23" t="s">
        <v>211</v>
      </c>
      <c r="H101" s="26" t="n">
        <v>7</v>
      </c>
      <c r="I101" s="23" t="s">
        <v>193</v>
      </c>
      <c r="J101" s="25" t="s">
        <v>212</v>
      </c>
      <c r="K101" s="25" t="s">
        <v>75</v>
      </c>
      <c r="L101" s="27" t="s">
        <v>76</v>
      </c>
    </row>
    <row r="102" customFormat="false" ht="15" hidden="false" customHeight="false" outlineLevel="0" collapsed="false">
      <c r="A102" s="17" t="s">
        <v>389</v>
      </c>
      <c r="B102" s="5" t="s">
        <v>387</v>
      </c>
      <c r="C102" s="18" t="n">
        <v>991</v>
      </c>
      <c r="D102" s="5" t="s">
        <v>69</v>
      </c>
      <c r="E102" s="5" t="s">
        <v>70</v>
      </c>
      <c r="F102" s="19" t="s">
        <v>390</v>
      </c>
      <c r="G102" s="5" t="s">
        <v>211</v>
      </c>
      <c r="H102" s="20" t="n">
        <v>7</v>
      </c>
      <c r="I102" s="5" t="s">
        <v>193</v>
      </c>
      <c r="J102" s="19" t="s">
        <v>212</v>
      </c>
      <c r="K102" s="19" t="s">
        <v>75</v>
      </c>
      <c r="L102" s="21" t="s">
        <v>76</v>
      </c>
    </row>
    <row r="103" customFormat="false" ht="15" hidden="false" customHeight="false" outlineLevel="0" collapsed="false">
      <c r="A103" s="22" t="s">
        <v>391</v>
      </c>
      <c r="B103" s="23" t="s">
        <v>392</v>
      </c>
      <c r="C103" s="28" t="n">
        <v>2066</v>
      </c>
      <c r="D103" s="23" t="s">
        <v>69</v>
      </c>
      <c r="E103" s="23" t="s">
        <v>113</v>
      </c>
      <c r="F103" s="25" t="s">
        <v>393</v>
      </c>
      <c r="G103" s="23" t="s">
        <v>115</v>
      </c>
      <c r="H103" s="26" t="n">
        <v>53</v>
      </c>
      <c r="I103" s="23" t="s">
        <v>223</v>
      </c>
      <c r="J103" s="25" t="s">
        <v>116</v>
      </c>
      <c r="K103" s="25" t="s">
        <v>75</v>
      </c>
      <c r="L103" s="27" t="s">
        <v>76</v>
      </c>
    </row>
    <row r="104" customFormat="false" ht="15" hidden="false" customHeight="false" outlineLevel="0" collapsed="false">
      <c r="A104" s="17" t="s">
        <v>394</v>
      </c>
      <c r="B104" s="5" t="s">
        <v>395</v>
      </c>
      <c r="C104" s="18" t="n">
        <v>1220</v>
      </c>
      <c r="D104" s="5" t="s">
        <v>69</v>
      </c>
      <c r="E104" s="5" t="s">
        <v>159</v>
      </c>
      <c r="F104" s="19" t="s">
        <v>396</v>
      </c>
      <c r="G104" s="5" t="s">
        <v>138</v>
      </c>
      <c r="H104" s="20" t="n">
        <v>432</v>
      </c>
      <c r="I104" s="5" t="s">
        <v>223</v>
      </c>
      <c r="J104" s="19" t="s">
        <v>139</v>
      </c>
      <c r="K104" s="19" t="s">
        <v>75</v>
      </c>
      <c r="L104" s="21" t="s">
        <v>76</v>
      </c>
    </row>
    <row r="105" customFormat="false" ht="15" hidden="false" customHeight="false" outlineLevel="0" collapsed="false">
      <c r="A105" s="22" t="s">
        <v>397</v>
      </c>
      <c r="B105" s="23" t="s">
        <v>395</v>
      </c>
      <c r="C105" s="28" t="n">
        <v>1214</v>
      </c>
      <c r="D105" s="23" t="s">
        <v>69</v>
      </c>
      <c r="E105" s="23" t="s">
        <v>106</v>
      </c>
      <c r="F105" s="25" t="s">
        <v>398</v>
      </c>
      <c r="G105" s="23" t="s">
        <v>138</v>
      </c>
      <c r="H105" s="26" t="n">
        <v>432</v>
      </c>
      <c r="I105" s="23" t="s">
        <v>223</v>
      </c>
      <c r="J105" s="25" t="s">
        <v>139</v>
      </c>
      <c r="K105" s="25" t="s">
        <v>75</v>
      </c>
      <c r="L105" s="27" t="s">
        <v>76</v>
      </c>
    </row>
    <row r="106" customFormat="false" ht="15" hidden="false" customHeight="false" outlineLevel="0" collapsed="false">
      <c r="A106" s="17" t="s">
        <v>399</v>
      </c>
      <c r="B106" s="5" t="s">
        <v>400</v>
      </c>
      <c r="C106" s="18" t="n">
        <v>418</v>
      </c>
      <c r="D106" s="5" t="s">
        <v>69</v>
      </c>
      <c r="E106" s="5" t="s">
        <v>106</v>
      </c>
      <c r="F106" s="19" t="s">
        <v>401</v>
      </c>
      <c r="G106" s="5" t="s">
        <v>138</v>
      </c>
      <c r="H106" s="20" t="n">
        <v>432</v>
      </c>
      <c r="I106" s="5" t="s">
        <v>223</v>
      </c>
      <c r="J106" s="19" t="s">
        <v>139</v>
      </c>
      <c r="K106" s="19" t="s">
        <v>75</v>
      </c>
      <c r="L106" s="21" t="s">
        <v>76</v>
      </c>
    </row>
    <row r="107" customFormat="false" ht="15" hidden="false" customHeight="false" outlineLevel="0" collapsed="false">
      <c r="A107" s="22" t="s">
        <v>402</v>
      </c>
      <c r="B107" s="23" t="s">
        <v>400</v>
      </c>
      <c r="C107" s="28" t="n">
        <v>472</v>
      </c>
      <c r="D107" s="23" t="s">
        <v>69</v>
      </c>
      <c r="E107" s="23" t="s">
        <v>113</v>
      </c>
      <c r="F107" s="25" t="s">
        <v>403</v>
      </c>
      <c r="G107" s="23" t="s">
        <v>115</v>
      </c>
      <c r="H107" s="26" t="n">
        <v>65</v>
      </c>
      <c r="I107" s="23" t="s">
        <v>223</v>
      </c>
      <c r="J107" s="25" t="s">
        <v>116</v>
      </c>
      <c r="K107" s="25" t="s">
        <v>75</v>
      </c>
      <c r="L107" s="27" t="s">
        <v>76</v>
      </c>
    </row>
    <row r="108" customFormat="false" ht="15" hidden="false" customHeight="false" outlineLevel="0" collapsed="false">
      <c r="A108" s="17" t="s">
        <v>404</v>
      </c>
      <c r="B108" s="5" t="s">
        <v>405</v>
      </c>
      <c r="C108" s="18" t="n">
        <v>454</v>
      </c>
      <c r="D108" s="5" t="s">
        <v>69</v>
      </c>
      <c r="E108" s="5" t="s">
        <v>106</v>
      </c>
      <c r="F108" s="19" t="s">
        <v>406</v>
      </c>
      <c r="G108" s="5" t="s">
        <v>138</v>
      </c>
      <c r="H108" s="20" t="n">
        <v>432</v>
      </c>
      <c r="I108" s="5" t="s">
        <v>223</v>
      </c>
      <c r="J108" s="19" t="s">
        <v>139</v>
      </c>
      <c r="K108" s="19" t="s">
        <v>75</v>
      </c>
      <c r="L108" s="21" t="s">
        <v>76</v>
      </c>
    </row>
    <row r="109" customFormat="false" ht="15" hidden="false" customHeight="false" outlineLevel="0" collapsed="false">
      <c r="A109" s="22" t="s">
        <v>407</v>
      </c>
      <c r="B109" s="23" t="s">
        <v>408</v>
      </c>
      <c r="C109" s="28" t="n">
        <v>315</v>
      </c>
      <c r="D109" s="23" t="s">
        <v>69</v>
      </c>
      <c r="E109" s="23" t="s">
        <v>106</v>
      </c>
      <c r="F109" s="25" t="s">
        <v>409</v>
      </c>
      <c r="G109" s="23" t="s">
        <v>138</v>
      </c>
      <c r="H109" s="26" t="n">
        <v>432</v>
      </c>
      <c r="I109" s="23" t="s">
        <v>223</v>
      </c>
      <c r="J109" s="25" t="s">
        <v>139</v>
      </c>
      <c r="K109" s="25" t="s">
        <v>75</v>
      </c>
      <c r="L109" s="27" t="s">
        <v>76</v>
      </c>
    </row>
    <row r="110" customFormat="false" ht="15" hidden="false" customHeight="false" outlineLevel="0" collapsed="false">
      <c r="A110" s="17" t="s">
        <v>410</v>
      </c>
      <c r="B110" s="5" t="s">
        <v>408</v>
      </c>
      <c r="C110" s="18" t="n">
        <v>328</v>
      </c>
      <c r="D110" s="5" t="s">
        <v>69</v>
      </c>
      <c r="E110" s="5" t="s">
        <v>113</v>
      </c>
      <c r="F110" s="19" t="s">
        <v>411</v>
      </c>
      <c r="G110" s="5" t="s">
        <v>115</v>
      </c>
      <c r="H110" s="20" t="n">
        <v>65</v>
      </c>
      <c r="I110" s="5" t="s">
        <v>223</v>
      </c>
      <c r="J110" s="19" t="s">
        <v>116</v>
      </c>
      <c r="K110" s="19" t="s">
        <v>75</v>
      </c>
      <c r="L110" s="21" t="s">
        <v>76</v>
      </c>
    </row>
    <row r="111" customFormat="false" ht="15" hidden="false" customHeight="false" outlineLevel="0" collapsed="false">
      <c r="A111" s="22" t="s">
        <v>412</v>
      </c>
      <c r="B111" s="23" t="s">
        <v>413</v>
      </c>
      <c r="C111" s="28" t="n">
        <v>55</v>
      </c>
      <c r="D111" s="23" t="s">
        <v>69</v>
      </c>
      <c r="E111" s="23" t="s">
        <v>106</v>
      </c>
      <c r="F111" s="25" t="s">
        <v>414</v>
      </c>
      <c r="G111" s="23" t="s">
        <v>138</v>
      </c>
      <c r="H111" s="26" t="n">
        <v>432</v>
      </c>
      <c r="I111" s="23" t="s">
        <v>223</v>
      </c>
      <c r="J111" s="25" t="s">
        <v>139</v>
      </c>
      <c r="K111" s="25" t="s">
        <v>75</v>
      </c>
      <c r="L111" s="27" t="s">
        <v>76</v>
      </c>
    </row>
    <row r="112" customFormat="false" ht="15" hidden="false" customHeight="false" outlineLevel="0" collapsed="false">
      <c r="A112" s="17" t="s">
        <v>415</v>
      </c>
      <c r="B112" s="5" t="s">
        <v>416</v>
      </c>
      <c r="C112" s="18" t="n">
        <v>72</v>
      </c>
      <c r="D112" s="5" t="s">
        <v>69</v>
      </c>
      <c r="E112" s="5" t="s">
        <v>86</v>
      </c>
      <c r="F112" s="19" t="s">
        <v>417</v>
      </c>
      <c r="G112" s="5" t="s">
        <v>138</v>
      </c>
      <c r="H112" s="20" t="n">
        <v>432</v>
      </c>
      <c r="I112" s="5" t="s">
        <v>223</v>
      </c>
      <c r="J112" s="19" t="s">
        <v>139</v>
      </c>
      <c r="K112" s="19" t="s">
        <v>75</v>
      </c>
      <c r="L112" s="21" t="s">
        <v>76</v>
      </c>
    </row>
    <row r="113" customFormat="false" ht="15" hidden="false" customHeight="false" outlineLevel="0" collapsed="false">
      <c r="A113" s="22" t="s">
        <v>418</v>
      </c>
      <c r="B113" s="23" t="s">
        <v>419</v>
      </c>
      <c r="C113" s="28" t="n">
        <v>45</v>
      </c>
      <c r="D113" s="23" t="s">
        <v>69</v>
      </c>
      <c r="E113" s="23" t="s">
        <v>106</v>
      </c>
      <c r="F113" s="25" t="s">
        <v>420</v>
      </c>
      <c r="G113" s="23" t="s">
        <v>72</v>
      </c>
      <c r="H113" s="26" t="n">
        <v>46</v>
      </c>
      <c r="I113" s="23" t="s">
        <v>223</v>
      </c>
      <c r="J113" s="25" t="s">
        <v>74</v>
      </c>
      <c r="K113" s="25" t="s">
        <v>75</v>
      </c>
      <c r="L113" s="27" t="s">
        <v>76</v>
      </c>
    </row>
    <row r="114" customFormat="false" ht="15" hidden="false" customHeight="false" outlineLevel="0" collapsed="false">
      <c r="A114" s="17" t="s">
        <v>421</v>
      </c>
      <c r="B114" s="5" t="s">
        <v>419</v>
      </c>
      <c r="C114" s="18" t="n">
        <v>75</v>
      </c>
      <c r="D114" s="5" t="s">
        <v>69</v>
      </c>
      <c r="E114" s="5" t="s">
        <v>113</v>
      </c>
      <c r="F114" s="19" t="s">
        <v>422</v>
      </c>
      <c r="G114" s="5" t="s">
        <v>72</v>
      </c>
      <c r="H114" s="20" t="n">
        <v>46</v>
      </c>
      <c r="I114" s="5" t="s">
        <v>223</v>
      </c>
      <c r="J114" s="19" t="s">
        <v>74</v>
      </c>
      <c r="K114" s="19" t="s">
        <v>75</v>
      </c>
      <c r="L114" s="21" t="s">
        <v>76</v>
      </c>
    </row>
    <row r="115" customFormat="false" ht="15" hidden="false" customHeight="false" outlineLevel="0" collapsed="false">
      <c r="A115" s="22" t="s">
        <v>423</v>
      </c>
      <c r="B115" s="23" t="s">
        <v>424</v>
      </c>
      <c r="C115" s="28" t="n">
        <v>1152</v>
      </c>
      <c r="D115" s="23" t="s">
        <v>69</v>
      </c>
      <c r="E115" s="23" t="s">
        <v>86</v>
      </c>
      <c r="F115" s="25" t="s">
        <v>425</v>
      </c>
      <c r="G115" s="23" t="s">
        <v>426</v>
      </c>
      <c r="H115" s="26" t="n">
        <v>1</v>
      </c>
      <c r="I115" s="23" t="s">
        <v>193</v>
      </c>
      <c r="J115" s="25" t="s">
        <v>427</v>
      </c>
      <c r="K115" s="25" t="s">
        <v>428</v>
      </c>
      <c r="L115" s="27" t="s">
        <v>76</v>
      </c>
    </row>
    <row r="116" customFormat="false" ht="15" hidden="false" customHeight="false" outlineLevel="0" collapsed="false">
      <c r="A116" s="17" t="s">
        <v>429</v>
      </c>
      <c r="B116" s="5" t="s">
        <v>430</v>
      </c>
      <c r="C116" s="29" t="n">
        <v>225.4</v>
      </c>
      <c r="D116" s="5" t="s">
        <v>69</v>
      </c>
      <c r="E116" s="5" t="s">
        <v>86</v>
      </c>
      <c r="F116" s="19" t="s">
        <v>431</v>
      </c>
      <c r="G116" s="5" t="s">
        <v>426</v>
      </c>
      <c r="H116" s="20" t="n">
        <v>3</v>
      </c>
      <c r="I116" s="5" t="s">
        <v>193</v>
      </c>
      <c r="J116" s="19" t="s">
        <v>427</v>
      </c>
      <c r="K116" s="19" t="s">
        <v>428</v>
      </c>
      <c r="L116" s="21" t="s">
        <v>76</v>
      </c>
    </row>
    <row r="117" customFormat="false" ht="15" hidden="false" customHeight="false" outlineLevel="0" collapsed="false">
      <c r="A117" s="22" t="s">
        <v>432</v>
      </c>
      <c r="B117" s="23" t="s">
        <v>430</v>
      </c>
      <c r="C117" s="24" t="n">
        <v>242.3</v>
      </c>
      <c r="D117" s="23" t="s">
        <v>69</v>
      </c>
      <c r="E117" s="23" t="s">
        <v>126</v>
      </c>
      <c r="F117" s="25" t="s">
        <v>433</v>
      </c>
      <c r="G117" s="23" t="s">
        <v>426</v>
      </c>
      <c r="H117" s="26" t="n">
        <v>3</v>
      </c>
      <c r="I117" s="23" t="s">
        <v>193</v>
      </c>
      <c r="J117" s="25" t="s">
        <v>427</v>
      </c>
      <c r="K117" s="25" t="s">
        <v>428</v>
      </c>
      <c r="L117" s="27" t="s">
        <v>76</v>
      </c>
    </row>
    <row r="118" customFormat="false" ht="15" hidden="false" customHeight="false" outlineLevel="0" collapsed="false">
      <c r="A118" s="17" t="s">
        <v>434</v>
      </c>
      <c r="B118" s="5" t="s">
        <v>435</v>
      </c>
      <c r="C118" s="29" t="n">
        <v>19.6</v>
      </c>
      <c r="D118" s="5" t="s">
        <v>265</v>
      </c>
      <c r="E118" s="5" t="s">
        <v>86</v>
      </c>
      <c r="F118" s="19" t="s">
        <v>436</v>
      </c>
      <c r="G118" s="5" t="s">
        <v>426</v>
      </c>
      <c r="H118" s="20" t="n">
        <v>3</v>
      </c>
      <c r="I118" s="5" t="s">
        <v>193</v>
      </c>
      <c r="J118" s="19" t="s">
        <v>427</v>
      </c>
      <c r="K118" s="19" t="s">
        <v>428</v>
      </c>
      <c r="L118" s="21" t="s">
        <v>76</v>
      </c>
    </row>
    <row r="119" customFormat="false" ht="15" hidden="false" customHeight="false" outlineLevel="0" collapsed="false">
      <c r="A119" s="22" t="s">
        <v>437</v>
      </c>
      <c r="B119" s="23" t="s">
        <v>438</v>
      </c>
      <c r="C119" s="24" t="n">
        <v>548.8</v>
      </c>
      <c r="D119" s="23" t="s">
        <v>69</v>
      </c>
      <c r="E119" s="23" t="s">
        <v>106</v>
      </c>
      <c r="F119" s="25" t="s">
        <v>439</v>
      </c>
      <c r="G119" s="23" t="s">
        <v>426</v>
      </c>
      <c r="H119" s="26" t="n">
        <v>3</v>
      </c>
      <c r="I119" s="23" t="s">
        <v>193</v>
      </c>
      <c r="J119" s="25" t="s">
        <v>427</v>
      </c>
      <c r="K119" s="25" t="s">
        <v>428</v>
      </c>
      <c r="L119" s="27" t="s">
        <v>76</v>
      </c>
    </row>
    <row r="120" customFormat="false" ht="15" hidden="false" customHeight="false" outlineLevel="0" collapsed="false">
      <c r="A120" s="17" t="s">
        <v>440</v>
      </c>
      <c r="B120" s="5" t="s">
        <v>438</v>
      </c>
      <c r="C120" s="29" t="n">
        <v>849.7</v>
      </c>
      <c r="D120" s="5" t="s">
        <v>69</v>
      </c>
      <c r="E120" s="5" t="s">
        <v>159</v>
      </c>
      <c r="F120" s="19" t="s">
        <v>441</v>
      </c>
      <c r="G120" s="5" t="s">
        <v>426</v>
      </c>
      <c r="H120" s="20" t="n">
        <v>3</v>
      </c>
      <c r="I120" s="5" t="s">
        <v>193</v>
      </c>
      <c r="J120" s="19" t="s">
        <v>427</v>
      </c>
      <c r="K120" s="19" t="s">
        <v>428</v>
      </c>
      <c r="L120" s="21" t="s">
        <v>76</v>
      </c>
    </row>
    <row r="121" customFormat="false" ht="15" hidden="false" customHeight="false" outlineLevel="0" collapsed="false">
      <c r="A121" s="22" t="s">
        <v>442</v>
      </c>
      <c r="B121" s="23" t="s">
        <v>443</v>
      </c>
      <c r="C121" s="24" t="n">
        <v>509.2</v>
      </c>
      <c r="D121" s="23" t="s">
        <v>69</v>
      </c>
      <c r="E121" s="23" t="s">
        <v>106</v>
      </c>
      <c r="F121" s="25" t="s">
        <v>444</v>
      </c>
      <c r="G121" s="23" t="s">
        <v>426</v>
      </c>
      <c r="H121" s="26" t="n">
        <v>3</v>
      </c>
      <c r="I121" s="23" t="s">
        <v>193</v>
      </c>
      <c r="J121" s="25" t="s">
        <v>427</v>
      </c>
      <c r="K121" s="25" t="s">
        <v>428</v>
      </c>
      <c r="L121" s="27" t="s">
        <v>76</v>
      </c>
    </row>
    <row r="122" customFormat="false" ht="15" hidden="false" customHeight="false" outlineLevel="0" collapsed="false">
      <c r="A122" s="17" t="s">
        <v>445</v>
      </c>
      <c r="B122" s="5" t="s">
        <v>446</v>
      </c>
      <c r="C122" s="29" t="n">
        <v>2.3</v>
      </c>
      <c r="D122" s="5" t="s">
        <v>99</v>
      </c>
      <c r="E122" s="5" t="s">
        <v>106</v>
      </c>
      <c r="F122" s="19" t="s">
        <v>447</v>
      </c>
      <c r="G122" s="5" t="s">
        <v>426</v>
      </c>
      <c r="H122" s="20" t="n">
        <v>3</v>
      </c>
      <c r="I122" s="5" t="s">
        <v>193</v>
      </c>
      <c r="J122" s="19" t="s">
        <v>427</v>
      </c>
      <c r="K122" s="19" t="s">
        <v>428</v>
      </c>
      <c r="L122" s="21" t="s">
        <v>76</v>
      </c>
    </row>
    <row r="123" customFormat="false" ht="15" hidden="false" customHeight="false" outlineLevel="0" collapsed="false">
      <c r="A123" s="22" t="s">
        <v>448</v>
      </c>
      <c r="B123" s="23" t="s">
        <v>446</v>
      </c>
      <c r="C123" s="24" t="n">
        <v>3.2</v>
      </c>
      <c r="D123" s="23" t="s">
        <v>99</v>
      </c>
      <c r="E123" s="23" t="s">
        <v>159</v>
      </c>
      <c r="F123" s="25" t="s">
        <v>449</v>
      </c>
      <c r="G123" s="23" t="s">
        <v>426</v>
      </c>
      <c r="H123" s="26" t="n">
        <v>3</v>
      </c>
      <c r="I123" s="23" t="s">
        <v>193</v>
      </c>
      <c r="J123" s="25" t="s">
        <v>427</v>
      </c>
      <c r="K123" s="25" t="s">
        <v>428</v>
      </c>
      <c r="L123" s="27" t="s">
        <v>76</v>
      </c>
    </row>
    <row r="124" customFormat="false" ht="15" hidden="false" customHeight="false" outlineLevel="0" collapsed="false">
      <c r="A124" s="17" t="s">
        <v>450</v>
      </c>
      <c r="B124" s="5" t="s">
        <v>451</v>
      </c>
      <c r="C124" s="18" t="n">
        <v>3</v>
      </c>
      <c r="D124" s="5" t="s">
        <v>99</v>
      </c>
      <c r="E124" s="5" t="s">
        <v>452</v>
      </c>
      <c r="F124" s="19" t="s">
        <v>100</v>
      </c>
      <c r="G124" s="5" t="s">
        <v>426</v>
      </c>
      <c r="H124" s="20" t="n">
        <v>1</v>
      </c>
      <c r="I124" s="5" t="s">
        <v>193</v>
      </c>
      <c r="J124" s="19" t="s">
        <v>427</v>
      </c>
      <c r="K124" s="19" t="s">
        <v>428</v>
      </c>
      <c r="L124" s="21" t="s">
        <v>76</v>
      </c>
    </row>
    <row r="125" customFormat="false" ht="15" hidden="false" customHeight="false" outlineLevel="0" collapsed="false">
      <c r="A125" s="22" t="s">
        <v>453</v>
      </c>
      <c r="B125" s="23" t="s">
        <v>454</v>
      </c>
      <c r="C125" s="28" t="n">
        <v>36</v>
      </c>
      <c r="D125" s="23" t="s">
        <v>265</v>
      </c>
      <c r="E125" s="23" t="s">
        <v>86</v>
      </c>
      <c r="F125" s="25" t="s">
        <v>455</v>
      </c>
      <c r="G125" s="23" t="s">
        <v>426</v>
      </c>
      <c r="H125" s="26" t="n">
        <v>5</v>
      </c>
      <c r="I125" s="23" t="s">
        <v>193</v>
      </c>
      <c r="J125" s="25" t="s">
        <v>427</v>
      </c>
      <c r="K125" s="25" t="s">
        <v>428</v>
      </c>
      <c r="L125" s="27" t="s">
        <v>76</v>
      </c>
    </row>
    <row r="126" customFormat="false" ht="15" hidden="false" customHeight="false" outlineLevel="0" collapsed="false">
      <c r="A126" s="17" t="s">
        <v>456</v>
      </c>
      <c r="B126" s="5" t="s">
        <v>457</v>
      </c>
      <c r="C126" s="18" t="n">
        <v>51</v>
      </c>
      <c r="D126" s="5" t="s">
        <v>265</v>
      </c>
      <c r="E126" s="5" t="s">
        <v>86</v>
      </c>
      <c r="F126" s="19" t="s">
        <v>458</v>
      </c>
      <c r="G126" s="5" t="s">
        <v>426</v>
      </c>
      <c r="H126" s="20" t="n">
        <v>8</v>
      </c>
      <c r="I126" s="5" t="s">
        <v>193</v>
      </c>
      <c r="J126" s="19" t="s">
        <v>427</v>
      </c>
      <c r="K126" s="19" t="s">
        <v>428</v>
      </c>
      <c r="L126" s="21" t="s">
        <v>76</v>
      </c>
    </row>
    <row r="127" customFormat="false" ht="15" hidden="false" customHeight="false" outlineLevel="0" collapsed="false">
      <c r="A127" s="22" t="s">
        <v>459</v>
      </c>
      <c r="B127" s="23" t="s">
        <v>424</v>
      </c>
      <c r="C127" s="24" t="n">
        <v>607.8</v>
      </c>
      <c r="D127" s="23" t="s">
        <v>69</v>
      </c>
      <c r="E127" s="23" t="s">
        <v>70</v>
      </c>
      <c r="F127" s="25" t="s">
        <v>460</v>
      </c>
      <c r="G127" s="23" t="s">
        <v>461</v>
      </c>
      <c r="H127" s="26" t="n">
        <v>3</v>
      </c>
      <c r="I127" s="23" t="s">
        <v>193</v>
      </c>
      <c r="J127" s="25" t="s">
        <v>462</v>
      </c>
      <c r="K127" s="25" t="s">
        <v>428</v>
      </c>
      <c r="L127" s="27" t="s">
        <v>76</v>
      </c>
    </row>
    <row r="128" customFormat="false" ht="15" hidden="false" customHeight="false" outlineLevel="0" collapsed="false">
      <c r="A128" s="17" t="s">
        <v>463</v>
      </c>
      <c r="B128" s="5" t="s">
        <v>430</v>
      </c>
      <c r="C128" s="29" t="n">
        <v>128.3</v>
      </c>
      <c r="D128" s="5" t="s">
        <v>69</v>
      </c>
      <c r="E128" s="5" t="s">
        <v>70</v>
      </c>
      <c r="F128" s="19" t="s">
        <v>464</v>
      </c>
      <c r="G128" s="5" t="s">
        <v>461</v>
      </c>
      <c r="H128" s="20" t="n">
        <v>3</v>
      </c>
      <c r="I128" s="5" t="s">
        <v>193</v>
      </c>
      <c r="J128" s="19" t="s">
        <v>462</v>
      </c>
      <c r="K128" s="19" t="s">
        <v>428</v>
      </c>
      <c r="L128" s="21" t="s">
        <v>76</v>
      </c>
    </row>
    <row r="129" customFormat="false" ht="15" hidden="false" customHeight="false" outlineLevel="0" collapsed="false">
      <c r="A129" s="22" t="s">
        <v>465</v>
      </c>
      <c r="B129" s="23" t="s">
        <v>438</v>
      </c>
      <c r="C129" s="24" t="n">
        <v>757.4</v>
      </c>
      <c r="D129" s="23" t="s">
        <v>69</v>
      </c>
      <c r="E129" s="23" t="s">
        <v>113</v>
      </c>
      <c r="F129" s="25" t="s">
        <v>466</v>
      </c>
      <c r="G129" s="23" t="s">
        <v>461</v>
      </c>
      <c r="H129" s="26" t="n">
        <v>3</v>
      </c>
      <c r="I129" s="23" t="s">
        <v>193</v>
      </c>
      <c r="J129" s="25" t="s">
        <v>462</v>
      </c>
      <c r="K129" s="25" t="s">
        <v>428</v>
      </c>
      <c r="L129" s="27" t="s">
        <v>76</v>
      </c>
    </row>
    <row r="130" customFormat="false" ht="15" hidden="false" customHeight="false" outlineLevel="0" collapsed="false">
      <c r="A130" s="17" t="s">
        <v>467</v>
      </c>
      <c r="B130" s="5" t="s">
        <v>468</v>
      </c>
      <c r="C130" s="29" t="n">
        <v>2.9</v>
      </c>
      <c r="D130" s="5" t="s">
        <v>99</v>
      </c>
      <c r="E130" s="5" t="s">
        <v>113</v>
      </c>
      <c r="F130" s="19" t="s">
        <v>469</v>
      </c>
      <c r="G130" s="5" t="s">
        <v>461</v>
      </c>
      <c r="H130" s="20" t="n">
        <v>3</v>
      </c>
      <c r="I130" s="5" t="s">
        <v>193</v>
      </c>
      <c r="J130" s="19" t="s">
        <v>462</v>
      </c>
      <c r="K130" s="19" t="s">
        <v>428</v>
      </c>
      <c r="L130" s="21" t="s">
        <v>76</v>
      </c>
    </row>
    <row r="131" customFormat="false" ht="15" hidden="false" customHeight="false" outlineLevel="0" collapsed="false">
      <c r="A131" s="22" t="s">
        <v>470</v>
      </c>
      <c r="B131" s="23" t="s">
        <v>471</v>
      </c>
      <c r="C131" s="28" t="n">
        <v>224</v>
      </c>
      <c r="D131" s="23" t="s">
        <v>69</v>
      </c>
      <c r="E131" s="23" t="s">
        <v>70</v>
      </c>
      <c r="F131" s="25" t="s">
        <v>472</v>
      </c>
      <c r="G131" s="23" t="s">
        <v>461</v>
      </c>
      <c r="H131" s="26" t="n">
        <v>4</v>
      </c>
      <c r="I131" s="23" t="s">
        <v>239</v>
      </c>
      <c r="J131" s="25" t="s">
        <v>462</v>
      </c>
      <c r="K131" s="25" t="s">
        <v>428</v>
      </c>
      <c r="L131" s="27" t="s">
        <v>76</v>
      </c>
    </row>
    <row r="132" customFormat="false" ht="15" hidden="false" customHeight="false" outlineLevel="0" collapsed="false">
      <c r="A132" s="17" t="s">
        <v>473</v>
      </c>
      <c r="B132" s="5" t="s">
        <v>474</v>
      </c>
      <c r="C132" s="18" t="n">
        <v>82</v>
      </c>
      <c r="D132" s="5" t="s">
        <v>475</v>
      </c>
      <c r="E132" s="5" t="s">
        <v>236</v>
      </c>
      <c r="F132" s="19" t="s">
        <v>476</v>
      </c>
      <c r="G132" s="5" t="s">
        <v>238</v>
      </c>
      <c r="H132" s="20" t="n">
        <v>4</v>
      </c>
      <c r="I132" s="5" t="s">
        <v>223</v>
      </c>
      <c r="J132" s="19" t="s">
        <v>240</v>
      </c>
      <c r="K132" s="19" t="s">
        <v>75</v>
      </c>
      <c r="L132" s="21" t="s">
        <v>76</v>
      </c>
    </row>
    <row r="133" customFormat="false" ht="15" hidden="false" customHeight="false" outlineLevel="0" collapsed="false">
      <c r="A133" s="22" t="s">
        <v>477</v>
      </c>
      <c r="B133" s="23" t="s">
        <v>478</v>
      </c>
      <c r="C133" s="28" t="n">
        <v>700</v>
      </c>
      <c r="D133" s="23" t="s">
        <v>479</v>
      </c>
      <c r="E133" s="23" t="s">
        <v>236</v>
      </c>
      <c r="F133" s="25" t="s">
        <v>480</v>
      </c>
      <c r="G133" s="23" t="s">
        <v>238</v>
      </c>
      <c r="H133" s="26" t="n">
        <v>4</v>
      </c>
      <c r="I133" s="23" t="s">
        <v>223</v>
      </c>
      <c r="J133" s="25" t="s">
        <v>240</v>
      </c>
      <c r="K133" s="25" t="s">
        <v>75</v>
      </c>
      <c r="L133" s="27" t="s">
        <v>76</v>
      </c>
    </row>
    <row r="134" customFormat="false" ht="15" hidden="false" customHeight="false" outlineLevel="0" collapsed="false">
      <c r="A134" s="17" t="s">
        <v>481</v>
      </c>
      <c r="B134" s="5" t="s">
        <v>482</v>
      </c>
      <c r="C134" s="18" t="n">
        <v>4</v>
      </c>
      <c r="D134" s="5" t="s">
        <v>96</v>
      </c>
      <c r="E134" s="5" t="s">
        <v>80</v>
      </c>
      <c r="F134" s="19" t="s">
        <v>483</v>
      </c>
      <c r="G134" s="5" t="s">
        <v>82</v>
      </c>
      <c r="H134" s="20" t="n">
        <v>44</v>
      </c>
      <c r="I134" s="5" t="s">
        <v>83</v>
      </c>
      <c r="J134" s="19" t="s">
        <v>84</v>
      </c>
      <c r="K134" s="19" t="s">
        <v>75</v>
      </c>
      <c r="L134" s="21" t="s">
        <v>76</v>
      </c>
    </row>
    <row r="135" customFormat="false" ht="15" hidden="false" customHeight="false" outlineLevel="0" collapsed="false">
      <c r="A135" s="22" t="s">
        <v>484</v>
      </c>
      <c r="B135" s="23" t="s">
        <v>485</v>
      </c>
      <c r="C135" s="28" t="n">
        <v>2</v>
      </c>
      <c r="D135" s="23" t="s">
        <v>96</v>
      </c>
      <c r="E135" s="23" t="s">
        <v>80</v>
      </c>
      <c r="F135" s="25" t="s">
        <v>166</v>
      </c>
      <c r="G135" s="23" t="s">
        <v>82</v>
      </c>
      <c r="H135" s="26" t="n">
        <v>44</v>
      </c>
      <c r="I135" s="23" t="s">
        <v>83</v>
      </c>
      <c r="J135" s="25" t="s">
        <v>84</v>
      </c>
      <c r="K135" s="25" t="s">
        <v>75</v>
      </c>
      <c r="L135" s="27" t="s">
        <v>76</v>
      </c>
    </row>
    <row r="136" customFormat="false" ht="15" hidden="false" customHeight="false" outlineLevel="0" collapsed="false">
      <c r="A136" s="17" t="s">
        <v>486</v>
      </c>
      <c r="B136" s="5" t="s">
        <v>487</v>
      </c>
      <c r="C136" s="18" t="n">
        <v>4</v>
      </c>
      <c r="D136" s="5" t="s">
        <v>96</v>
      </c>
      <c r="E136" s="5" t="s">
        <v>488</v>
      </c>
      <c r="F136" s="19" t="s">
        <v>483</v>
      </c>
      <c r="G136" s="5" t="s">
        <v>238</v>
      </c>
      <c r="H136" s="20" t="n">
        <v>17</v>
      </c>
      <c r="I136" s="5" t="s">
        <v>83</v>
      </c>
      <c r="J136" s="19" t="s">
        <v>240</v>
      </c>
      <c r="K136" s="19" t="s">
        <v>75</v>
      </c>
      <c r="L136" s="21" t="s">
        <v>76</v>
      </c>
    </row>
    <row r="137" customFormat="false" ht="15" hidden="false" customHeight="false" outlineLevel="0" collapsed="false">
      <c r="A137" s="22" t="s">
        <v>489</v>
      </c>
      <c r="B137" s="23" t="s">
        <v>490</v>
      </c>
      <c r="C137" s="28" t="n">
        <v>2</v>
      </c>
      <c r="D137" s="23" t="s">
        <v>96</v>
      </c>
      <c r="E137" s="23" t="s">
        <v>165</v>
      </c>
      <c r="F137" s="25" t="s">
        <v>166</v>
      </c>
      <c r="G137" s="23" t="s">
        <v>238</v>
      </c>
      <c r="H137" s="26" t="n">
        <v>17</v>
      </c>
      <c r="I137" s="23" t="s">
        <v>83</v>
      </c>
      <c r="J137" s="25" t="s">
        <v>240</v>
      </c>
      <c r="K137" s="25" t="s">
        <v>75</v>
      </c>
      <c r="L137" s="27" t="s">
        <v>76</v>
      </c>
    </row>
    <row r="138" customFormat="false" ht="15" hidden="false" customHeight="false" outlineLevel="0" collapsed="false">
      <c r="A138" s="17" t="s">
        <v>491</v>
      </c>
      <c r="B138" s="5" t="s">
        <v>492</v>
      </c>
      <c r="C138" s="29" t="n">
        <v>8.5</v>
      </c>
      <c r="D138" s="5" t="s">
        <v>96</v>
      </c>
      <c r="E138" s="5" t="s">
        <v>493</v>
      </c>
      <c r="F138" s="19" t="s">
        <v>494</v>
      </c>
      <c r="G138" s="5" t="s">
        <v>238</v>
      </c>
      <c r="H138" s="20" t="n">
        <v>17</v>
      </c>
      <c r="I138" s="5" t="s">
        <v>83</v>
      </c>
      <c r="J138" s="19" t="s">
        <v>240</v>
      </c>
      <c r="K138" s="19" t="s">
        <v>75</v>
      </c>
      <c r="L138" s="21" t="s">
        <v>76</v>
      </c>
    </row>
    <row r="139" customFormat="false" ht="15" hidden="false" customHeight="false" outlineLevel="0" collapsed="false">
      <c r="A139" s="22" t="s">
        <v>495</v>
      </c>
      <c r="B139" s="23" t="s">
        <v>496</v>
      </c>
      <c r="C139" s="28" t="n">
        <v>90</v>
      </c>
      <c r="D139" s="23" t="s">
        <v>265</v>
      </c>
      <c r="E139" s="23" t="s">
        <v>488</v>
      </c>
      <c r="F139" s="25" t="s">
        <v>255</v>
      </c>
      <c r="G139" s="23" t="s">
        <v>238</v>
      </c>
      <c r="H139" s="26" t="n">
        <v>17</v>
      </c>
      <c r="I139" s="23" t="s">
        <v>83</v>
      </c>
      <c r="J139" s="25" t="s">
        <v>240</v>
      </c>
      <c r="K139" s="25" t="s">
        <v>75</v>
      </c>
      <c r="L139" s="27" t="s">
        <v>76</v>
      </c>
    </row>
    <row r="140" customFormat="false" ht="15" hidden="false" customHeight="false" outlineLevel="0" collapsed="false">
      <c r="A140" s="17" t="s">
        <v>497</v>
      </c>
      <c r="B140" s="5" t="s">
        <v>498</v>
      </c>
      <c r="C140" s="18" t="n">
        <v>80</v>
      </c>
      <c r="D140" s="5" t="s">
        <v>265</v>
      </c>
      <c r="E140" s="5" t="s">
        <v>488</v>
      </c>
      <c r="F140" s="19" t="s">
        <v>499</v>
      </c>
      <c r="G140" s="5" t="s">
        <v>238</v>
      </c>
      <c r="H140" s="20" t="n">
        <v>17</v>
      </c>
      <c r="I140" s="5" t="s">
        <v>83</v>
      </c>
      <c r="J140" s="19" t="s">
        <v>240</v>
      </c>
      <c r="K140" s="19" t="s">
        <v>75</v>
      </c>
      <c r="L140" s="21" t="s">
        <v>76</v>
      </c>
    </row>
    <row r="141" customFormat="false" ht="15" hidden="false" customHeight="false" outlineLevel="0" collapsed="false">
      <c r="A141" s="22" t="s">
        <v>500</v>
      </c>
      <c r="B141" s="23" t="s">
        <v>501</v>
      </c>
      <c r="C141" s="24" t="n">
        <v>-0.4</v>
      </c>
      <c r="D141" s="23" t="s">
        <v>96</v>
      </c>
      <c r="E141" s="23" t="s">
        <v>126</v>
      </c>
      <c r="F141" s="25" t="s">
        <v>502</v>
      </c>
      <c r="G141" s="23" t="s">
        <v>238</v>
      </c>
      <c r="H141" s="26" t="n">
        <v>17</v>
      </c>
      <c r="I141" s="23" t="s">
        <v>83</v>
      </c>
      <c r="J141" s="25" t="s">
        <v>240</v>
      </c>
      <c r="K141" s="25" t="s">
        <v>75</v>
      </c>
      <c r="L141" s="27" t="s">
        <v>76</v>
      </c>
    </row>
    <row r="142" customFormat="false" ht="15" hidden="false" customHeight="false" outlineLevel="0" collapsed="false">
      <c r="A142" s="17" t="s">
        <v>503</v>
      </c>
      <c r="B142" s="5" t="s">
        <v>504</v>
      </c>
      <c r="C142" s="29" t="n">
        <v>2.3</v>
      </c>
      <c r="D142" s="5" t="s">
        <v>96</v>
      </c>
      <c r="E142" s="5" t="s">
        <v>505</v>
      </c>
      <c r="F142" s="19" t="s">
        <v>447</v>
      </c>
      <c r="G142" s="5" t="s">
        <v>238</v>
      </c>
      <c r="H142" s="20" t="n">
        <v>17</v>
      </c>
      <c r="I142" s="5" t="s">
        <v>83</v>
      </c>
      <c r="J142" s="19" t="s">
        <v>240</v>
      </c>
      <c r="K142" s="19" t="s">
        <v>75</v>
      </c>
      <c r="L142" s="21" t="s">
        <v>76</v>
      </c>
    </row>
    <row r="143" customFormat="false" ht="15" hidden="false" customHeight="false" outlineLevel="0" collapsed="false">
      <c r="A143" s="22" t="s">
        <v>506</v>
      </c>
      <c r="B143" s="23" t="s">
        <v>507</v>
      </c>
      <c r="C143" s="28" t="n">
        <v>397</v>
      </c>
      <c r="D143" s="23" t="s">
        <v>69</v>
      </c>
      <c r="E143" s="23" t="s">
        <v>126</v>
      </c>
      <c r="F143" s="25" t="s">
        <v>508</v>
      </c>
      <c r="G143" s="23" t="s">
        <v>509</v>
      </c>
      <c r="H143" s="26" t="n">
        <v>9</v>
      </c>
      <c r="I143" s="23" t="s">
        <v>83</v>
      </c>
      <c r="J143" s="25" t="s">
        <v>510</v>
      </c>
      <c r="K143" s="25" t="s">
        <v>75</v>
      </c>
      <c r="L143" s="27" t="s">
        <v>76</v>
      </c>
    </row>
    <row r="144" customFormat="false" ht="15" hidden="false" customHeight="false" outlineLevel="0" collapsed="false">
      <c r="A144" s="17" t="s">
        <v>511</v>
      </c>
      <c r="B144" s="5" t="s">
        <v>512</v>
      </c>
      <c r="C144" s="18" t="n">
        <v>-895</v>
      </c>
      <c r="D144" s="5" t="s">
        <v>69</v>
      </c>
      <c r="E144" s="5" t="s">
        <v>126</v>
      </c>
      <c r="F144" s="19" t="s">
        <v>513</v>
      </c>
      <c r="G144" s="5" t="s">
        <v>509</v>
      </c>
      <c r="H144" s="20" t="n">
        <v>9</v>
      </c>
      <c r="I144" s="5" t="s">
        <v>93</v>
      </c>
      <c r="J144" s="19" t="s">
        <v>510</v>
      </c>
      <c r="K144" s="19" t="s">
        <v>75</v>
      </c>
      <c r="L144" s="21" t="s">
        <v>76</v>
      </c>
    </row>
    <row r="145" customFormat="false" ht="15" hidden="false" customHeight="false" outlineLevel="0" collapsed="false">
      <c r="A145" s="22" t="s">
        <v>514</v>
      </c>
      <c r="B145" s="23" t="s">
        <v>515</v>
      </c>
      <c r="C145" s="28" t="n">
        <v>-203</v>
      </c>
      <c r="D145" s="23" t="s">
        <v>69</v>
      </c>
      <c r="E145" s="23" t="s">
        <v>126</v>
      </c>
      <c r="F145" s="25" t="s">
        <v>516</v>
      </c>
      <c r="G145" s="23" t="s">
        <v>509</v>
      </c>
      <c r="H145" s="26" t="n">
        <v>9</v>
      </c>
      <c r="I145" s="23" t="s">
        <v>73</v>
      </c>
      <c r="J145" s="25" t="s">
        <v>510</v>
      </c>
      <c r="K145" s="25" t="s">
        <v>75</v>
      </c>
      <c r="L145" s="27" t="s">
        <v>76</v>
      </c>
    </row>
    <row r="146" customFormat="false" ht="15" hidden="false" customHeight="false" outlineLevel="0" collapsed="false">
      <c r="A146" s="17" t="s">
        <v>517</v>
      </c>
      <c r="B146" s="5" t="s">
        <v>518</v>
      </c>
      <c r="C146" s="18" t="n">
        <v>336</v>
      </c>
      <c r="D146" s="5" t="s">
        <v>69</v>
      </c>
      <c r="E146" s="5" t="s">
        <v>126</v>
      </c>
      <c r="F146" s="19" t="s">
        <v>519</v>
      </c>
      <c r="G146" s="5" t="s">
        <v>509</v>
      </c>
      <c r="H146" s="20" t="n">
        <v>9</v>
      </c>
      <c r="I146" s="5" t="s">
        <v>93</v>
      </c>
      <c r="J146" s="19" t="s">
        <v>510</v>
      </c>
      <c r="K146" s="19" t="s">
        <v>75</v>
      </c>
      <c r="L146" s="21" t="s">
        <v>76</v>
      </c>
    </row>
    <row r="147" customFormat="false" ht="15" hidden="false" customHeight="false" outlineLevel="0" collapsed="false">
      <c r="A147" s="22" t="s">
        <v>520</v>
      </c>
      <c r="B147" s="23" t="s">
        <v>521</v>
      </c>
      <c r="C147" s="28" t="n">
        <v>-157</v>
      </c>
      <c r="D147" s="23" t="s">
        <v>69</v>
      </c>
      <c r="E147" s="23" t="s">
        <v>126</v>
      </c>
      <c r="F147" s="25" t="s">
        <v>522</v>
      </c>
      <c r="G147" s="23" t="s">
        <v>509</v>
      </c>
      <c r="H147" s="26" t="n">
        <v>9</v>
      </c>
      <c r="I147" s="23" t="s">
        <v>73</v>
      </c>
      <c r="J147" s="25" t="s">
        <v>510</v>
      </c>
      <c r="K147" s="25" t="s">
        <v>75</v>
      </c>
      <c r="L147" s="27" t="s">
        <v>76</v>
      </c>
    </row>
    <row r="148" customFormat="false" ht="15" hidden="false" customHeight="false" outlineLevel="0" collapsed="false">
      <c r="A148" s="17" t="s">
        <v>523</v>
      </c>
      <c r="B148" s="5" t="s">
        <v>91</v>
      </c>
      <c r="C148" s="18" t="n">
        <v>3836</v>
      </c>
      <c r="D148" s="5" t="s">
        <v>69</v>
      </c>
      <c r="E148" s="5" t="s">
        <v>126</v>
      </c>
      <c r="F148" s="19" t="s">
        <v>524</v>
      </c>
      <c r="G148" s="5" t="s">
        <v>509</v>
      </c>
      <c r="H148" s="20" t="n">
        <v>9</v>
      </c>
      <c r="I148" s="5" t="s">
        <v>93</v>
      </c>
      <c r="J148" s="19" t="s">
        <v>510</v>
      </c>
      <c r="K148" s="19" t="s">
        <v>75</v>
      </c>
      <c r="L148" s="21" t="s">
        <v>76</v>
      </c>
    </row>
    <row r="149" customFormat="false" ht="15" hidden="false" customHeight="false" outlineLevel="0" collapsed="false">
      <c r="A149" s="22" t="s">
        <v>525</v>
      </c>
      <c r="B149" s="23" t="s">
        <v>526</v>
      </c>
      <c r="C149" s="24" t="n">
        <v>6.5</v>
      </c>
      <c r="D149" s="23" t="s">
        <v>527</v>
      </c>
      <c r="E149" s="23" t="s">
        <v>106</v>
      </c>
      <c r="F149" s="25" t="s">
        <v>528</v>
      </c>
      <c r="G149" s="23" t="s">
        <v>138</v>
      </c>
      <c r="H149" s="26" t="n">
        <v>351</v>
      </c>
      <c r="I149" s="23" t="s">
        <v>73</v>
      </c>
      <c r="J149" s="25" t="s">
        <v>139</v>
      </c>
      <c r="K149" s="25" t="s">
        <v>75</v>
      </c>
      <c r="L149" s="27" t="s">
        <v>76</v>
      </c>
    </row>
    <row r="150" customFormat="false" ht="15" hidden="false" customHeight="false" outlineLevel="0" collapsed="false">
      <c r="A150" s="17" t="s">
        <v>529</v>
      </c>
      <c r="B150" s="5" t="s">
        <v>526</v>
      </c>
      <c r="C150" s="29" t="n">
        <v>7.1</v>
      </c>
      <c r="D150" s="5" t="s">
        <v>527</v>
      </c>
      <c r="E150" s="5" t="s">
        <v>159</v>
      </c>
      <c r="F150" s="19" t="s">
        <v>530</v>
      </c>
      <c r="G150" s="5" t="s">
        <v>138</v>
      </c>
      <c r="H150" s="20" t="n">
        <v>351</v>
      </c>
      <c r="I150" s="5" t="s">
        <v>73</v>
      </c>
      <c r="J150" s="19" t="s">
        <v>139</v>
      </c>
      <c r="K150" s="19" t="s">
        <v>75</v>
      </c>
      <c r="L150" s="21" t="s">
        <v>76</v>
      </c>
    </row>
    <row r="151" customFormat="false" ht="15" hidden="false" customHeight="false" outlineLevel="0" collapsed="false">
      <c r="A151" s="22" t="s">
        <v>531</v>
      </c>
      <c r="B151" s="23" t="s">
        <v>532</v>
      </c>
      <c r="C151" s="28" t="n">
        <v>85</v>
      </c>
      <c r="D151" s="23" t="s">
        <v>265</v>
      </c>
      <c r="E151" s="23" t="s">
        <v>106</v>
      </c>
      <c r="F151" s="25" t="s">
        <v>533</v>
      </c>
      <c r="G151" s="23" t="s">
        <v>138</v>
      </c>
      <c r="H151" s="26" t="n">
        <v>351</v>
      </c>
      <c r="I151" s="23" t="s">
        <v>73</v>
      </c>
      <c r="J151" s="25" t="s">
        <v>139</v>
      </c>
      <c r="K151" s="25" t="s">
        <v>75</v>
      </c>
      <c r="L151" s="27" t="s">
        <v>76</v>
      </c>
    </row>
    <row r="152" customFormat="false" ht="15" hidden="false" customHeight="false" outlineLevel="0" collapsed="false">
      <c r="A152" s="17" t="s">
        <v>534</v>
      </c>
      <c r="B152" s="5" t="s">
        <v>535</v>
      </c>
      <c r="C152" s="29" t="n">
        <v>20.3</v>
      </c>
      <c r="D152" s="5" t="s">
        <v>265</v>
      </c>
      <c r="E152" s="5" t="s">
        <v>86</v>
      </c>
      <c r="F152" s="19" t="s">
        <v>536</v>
      </c>
      <c r="G152" s="5" t="s">
        <v>537</v>
      </c>
      <c r="H152" s="20" t="n">
        <v>7</v>
      </c>
      <c r="I152" s="5" t="s">
        <v>73</v>
      </c>
      <c r="J152" s="19" t="s">
        <v>538</v>
      </c>
      <c r="K152" s="19" t="s">
        <v>539</v>
      </c>
      <c r="L152" s="21" t="s">
        <v>76</v>
      </c>
    </row>
    <row r="153" customFormat="false" ht="15" hidden="false" customHeight="false" outlineLevel="0" collapsed="false">
      <c r="A153" s="22" t="s">
        <v>540</v>
      </c>
      <c r="B153" s="23" t="s">
        <v>541</v>
      </c>
      <c r="C153" s="28" t="n">
        <v>18</v>
      </c>
      <c r="D153" s="23" t="s">
        <v>265</v>
      </c>
      <c r="E153" s="23" t="s">
        <v>542</v>
      </c>
      <c r="F153" s="25" t="s">
        <v>543</v>
      </c>
      <c r="G153" s="23" t="s">
        <v>537</v>
      </c>
      <c r="H153" s="26" t="n">
        <v>7</v>
      </c>
      <c r="I153" s="23" t="s">
        <v>73</v>
      </c>
      <c r="J153" s="25" t="s">
        <v>538</v>
      </c>
      <c r="K153" s="25" t="s">
        <v>539</v>
      </c>
      <c r="L153" s="27" t="s">
        <v>76</v>
      </c>
    </row>
    <row r="154" customFormat="false" ht="15" hidden="false" customHeight="false" outlineLevel="0" collapsed="false">
      <c r="A154" s="17" t="s">
        <v>544</v>
      </c>
      <c r="B154" s="5" t="s">
        <v>545</v>
      </c>
      <c r="C154" s="18" t="n">
        <v>19</v>
      </c>
      <c r="D154" s="5" t="s">
        <v>265</v>
      </c>
      <c r="E154" s="5" t="s">
        <v>542</v>
      </c>
      <c r="F154" s="19" t="s">
        <v>546</v>
      </c>
      <c r="G154" s="5" t="s">
        <v>537</v>
      </c>
      <c r="H154" s="20" t="n">
        <v>7</v>
      </c>
      <c r="I154" s="5" t="s">
        <v>73</v>
      </c>
      <c r="J154" s="19" t="s">
        <v>538</v>
      </c>
      <c r="K154" s="19" t="s">
        <v>539</v>
      </c>
      <c r="L154" s="21" t="s">
        <v>76</v>
      </c>
    </row>
    <row r="155" customFormat="false" ht="15" hidden="false" customHeight="false" outlineLevel="0" collapsed="false">
      <c r="A155" s="22" t="s">
        <v>547</v>
      </c>
      <c r="B155" s="23" t="s">
        <v>548</v>
      </c>
      <c r="C155" s="24" t="n">
        <v>25.4</v>
      </c>
      <c r="D155" s="23" t="s">
        <v>96</v>
      </c>
      <c r="E155" s="23" t="s">
        <v>86</v>
      </c>
      <c r="F155" s="25" t="s">
        <v>549</v>
      </c>
      <c r="G155" s="23" t="s">
        <v>537</v>
      </c>
      <c r="H155" s="26" t="n">
        <v>7</v>
      </c>
      <c r="I155" s="23" t="s">
        <v>73</v>
      </c>
      <c r="J155" s="25" t="s">
        <v>538</v>
      </c>
      <c r="K155" s="25" t="s">
        <v>539</v>
      </c>
      <c r="L155" s="27" t="s">
        <v>76</v>
      </c>
    </row>
    <row r="156" customFormat="false" ht="15" hidden="false" customHeight="false" outlineLevel="0" collapsed="false">
      <c r="A156" s="17" t="s">
        <v>550</v>
      </c>
      <c r="B156" s="5" t="s">
        <v>551</v>
      </c>
      <c r="C156" s="18" t="n">
        <v>29</v>
      </c>
      <c r="D156" s="5" t="s">
        <v>96</v>
      </c>
      <c r="E156" s="5" t="s">
        <v>542</v>
      </c>
      <c r="F156" s="19" t="s">
        <v>552</v>
      </c>
      <c r="G156" s="5" t="s">
        <v>537</v>
      </c>
      <c r="H156" s="20" t="n">
        <v>7</v>
      </c>
      <c r="I156" s="5" t="s">
        <v>73</v>
      </c>
      <c r="J156" s="19" t="s">
        <v>538</v>
      </c>
      <c r="K156" s="19" t="s">
        <v>539</v>
      </c>
      <c r="L156" s="21" t="s">
        <v>76</v>
      </c>
    </row>
    <row r="157" customFormat="false" ht="15" hidden="false" customHeight="false" outlineLevel="0" collapsed="false">
      <c r="A157" s="22" t="s">
        <v>553</v>
      </c>
      <c r="B157" s="23" t="s">
        <v>554</v>
      </c>
      <c r="C157" s="30" t="s">
        <v>555</v>
      </c>
      <c r="D157" s="23" t="s">
        <v>265</v>
      </c>
      <c r="E157" s="23" t="s">
        <v>556</v>
      </c>
      <c r="F157" s="25" t="s">
        <v>555</v>
      </c>
      <c r="G157" s="23" t="s">
        <v>537</v>
      </c>
      <c r="H157" s="26" t="n">
        <v>2</v>
      </c>
      <c r="I157" s="23" t="s">
        <v>73</v>
      </c>
      <c r="J157" s="25" t="s">
        <v>538</v>
      </c>
      <c r="K157" s="25" t="s">
        <v>539</v>
      </c>
      <c r="L157" s="27" t="s">
        <v>76</v>
      </c>
    </row>
    <row r="158" customFormat="false" ht="15" hidden="false" customHeight="false" outlineLevel="0" collapsed="false">
      <c r="A158" s="17" t="s">
        <v>557</v>
      </c>
      <c r="B158" s="5" t="s">
        <v>558</v>
      </c>
      <c r="C158" s="31" t="s">
        <v>559</v>
      </c>
      <c r="D158" s="5" t="s">
        <v>265</v>
      </c>
      <c r="E158" s="5" t="s">
        <v>556</v>
      </c>
      <c r="F158" s="19" t="s">
        <v>559</v>
      </c>
      <c r="G158" s="5" t="s">
        <v>537</v>
      </c>
      <c r="H158" s="20" t="n">
        <v>2</v>
      </c>
      <c r="I158" s="5" t="s">
        <v>73</v>
      </c>
      <c r="J158" s="19" t="s">
        <v>538</v>
      </c>
      <c r="K158" s="19" t="s">
        <v>539</v>
      </c>
      <c r="L158" s="21" t="s">
        <v>76</v>
      </c>
    </row>
    <row r="159" customFormat="false" ht="15" hidden="false" customHeight="false" outlineLevel="0" collapsed="false">
      <c r="A159" s="22" t="s">
        <v>560</v>
      </c>
      <c r="B159" s="23" t="s">
        <v>535</v>
      </c>
      <c r="C159" s="24" t="n">
        <v>19.6</v>
      </c>
      <c r="D159" s="23" t="s">
        <v>265</v>
      </c>
      <c r="E159" s="23" t="s">
        <v>561</v>
      </c>
      <c r="F159" s="25" t="s">
        <v>436</v>
      </c>
      <c r="G159" s="23" t="s">
        <v>537</v>
      </c>
      <c r="H159" s="26" t="n">
        <v>11</v>
      </c>
      <c r="I159" s="23" t="s">
        <v>73</v>
      </c>
      <c r="J159" s="25" t="s">
        <v>538</v>
      </c>
      <c r="K159" s="25" t="s">
        <v>539</v>
      </c>
      <c r="L159" s="27" t="s">
        <v>76</v>
      </c>
    </row>
    <row r="160" customFormat="false" ht="15" hidden="false" customHeight="false" outlineLevel="0" collapsed="false">
      <c r="A160" s="17" t="s">
        <v>562</v>
      </c>
      <c r="B160" s="5" t="s">
        <v>535</v>
      </c>
      <c r="C160" s="29" t="n">
        <v>21.3</v>
      </c>
      <c r="D160" s="5" t="s">
        <v>265</v>
      </c>
      <c r="E160" s="5" t="s">
        <v>126</v>
      </c>
      <c r="F160" s="19" t="s">
        <v>563</v>
      </c>
      <c r="G160" s="5" t="s">
        <v>537</v>
      </c>
      <c r="H160" s="20" t="n">
        <v>11</v>
      </c>
      <c r="I160" s="5" t="s">
        <v>73</v>
      </c>
      <c r="J160" s="19" t="s">
        <v>538</v>
      </c>
      <c r="K160" s="19" t="s">
        <v>539</v>
      </c>
      <c r="L160" s="21" t="s">
        <v>76</v>
      </c>
    </row>
    <row r="161" customFormat="false" ht="15" hidden="false" customHeight="false" outlineLevel="0" collapsed="false">
      <c r="A161" s="22" t="s">
        <v>564</v>
      </c>
      <c r="B161" s="23" t="s">
        <v>565</v>
      </c>
      <c r="C161" s="28" t="n">
        <v>15</v>
      </c>
      <c r="D161" s="23" t="s">
        <v>265</v>
      </c>
      <c r="E161" s="23" t="s">
        <v>86</v>
      </c>
      <c r="F161" s="25" t="s">
        <v>566</v>
      </c>
      <c r="G161" s="23" t="s">
        <v>537</v>
      </c>
      <c r="H161" s="26" t="n">
        <v>10</v>
      </c>
      <c r="I161" s="23" t="s">
        <v>73</v>
      </c>
      <c r="J161" s="25" t="s">
        <v>538</v>
      </c>
      <c r="K161" s="25" t="s">
        <v>539</v>
      </c>
      <c r="L161" s="27" t="s">
        <v>76</v>
      </c>
    </row>
    <row r="162" customFormat="false" ht="15" hidden="false" customHeight="false" outlineLevel="0" collapsed="false">
      <c r="A162" s="17" t="s">
        <v>567</v>
      </c>
      <c r="B162" s="5" t="s">
        <v>568</v>
      </c>
      <c r="C162" s="29" t="n">
        <v>5.1</v>
      </c>
      <c r="D162" s="5" t="s">
        <v>99</v>
      </c>
      <c r="E162" s="5" t="s">
        <v>86</v>
      </c>
      <c r="F162" s="19" t="s">
        <v>569</v>
      </c>
      <c r="G162" s="5" t="s">
        <v>537</v>
      </c>
      <c r="H162" s="20" t="n">
        <v>10</v>
      </c>
      <c r="I162" s="5" t="s">
        <v>73</v>
      </c>
      <c r="J162" s="19" t="s">
        <v>538</v>
      </c>
      <c r="K162" s="19" t="s">
        <v>539</v>
      </c>
      <c r="L162" s="21" t="s">
        <v>76</v>
      </c>
    </row>
    <row r="163" customFormat="false" ht="15" hidden="false" customHeight="false" outlineLevel="0" collapsed="false">
      <c r="A163" s="22" t="s">
        <v>570</v>
      </c>
      <c r="B163" s="23" t="s">
        <v>571</v>
      </c>
      <c r="C163" s="24" t="n">
        <v>2.8</v>
      </c>
      <c r="D163" s="23" t="s">
        <v>99</v>
      </c>
      <c r="E163" s="23" t="s">
        <v>86</v>
      </c>
      <c r="F163" s="25" t="s">
        <v>572</v>
      </c>
      <c r="G163" s="23" t="s">
        <v>537</v>
      </c>
      <c r="H163" s="26" t="n">
        <v>6</v>
      </c>
      <c r="I163" s="23" t="s">
        <v>73</v>
      </c>
      <c r="J163" s="25" t="s">
        <v>538</v>
      </c>
      <c r="K163" s="25" t="s">
        <v>539</v>
      </c>
      <c r="L163" s="27" t="s">
        <v>76</v>
      </c>
    </row>
    <row r="164" customFormat="false" ht="15" hidden="false" customHeight="false" outlineLevel="0" collapsed="false">
      <c r="A164" s="17" t="s">
        <v>573</v>
      </c>
      <c r="B164" s="5" t="s">
        <v>574</v>
      </c>
      <c r="C164" s="18" t="n">
        <v>2</v>
      </c>
      <c r="D164" s="5" t="s">
        <v>96</v>
      </c>
      <c r="E164" s="5" t="s">
        <v>165</v>
      </c>
      <c r="F164" s="19" t="s">
        <v>166</v>
      </c>
      <c r="G164" s="5" t="s">
        <v>537</v>
      </c>
      <c r="H164" s="20" t="n">
        <v>6</v>
      </c>
      <c r="I164" s="5" t="s">
        <v>93</v>
      </c>
      <c r="J164" s="19" t="s">
        <v>538</v>
      </c>
      <c r="K164" s="19" t="s">
        <v>539</v>
      </c>
      <c r="L164" s="21" t="s">
        <v>76</v>
      </c>
    </row>
    <row r="165" customFormat="false" ht="15" hidden="false" customHeight="false" outlineLevel="0" collapsed="false">
      <c r="A165" s="22" t="s">
        <v>575</v>
      </c>
      <c r="B165" s="23" t="s">
        <v>576</v>
      </c>
      <c r="C165" s="24" t="n">
        <v>4.2</v>
      </c>
      <c r="D165" s="23" t="s">
        <v>96</v>
      </c>
      <c r="E165" s="23" t="s">
        <v>86</v>
      </c>
      <c r="F165" s="25" t="s">
        <v>577</v>
      </c>
      <c r="G165" s="23" t="s">
        <v>537</v>
      </c>
      <c r="H165" s="26" t="n">
        <v>5</v>
      </c>
      <c r="I165" s="23" t="s">
        <v>193</v>
      </c>
      <c r="J165" s="25" t="s">
        <v>538</v>
      </c>
      <c r="K165" s="25" t="s">
        <v>539</v>
      </c>
      <c r="L165" s="27" t="s">
        <v>76</v>
      </c>
    </row>
    <row r="166" customFormat="false" ht="15" hidden="false" customHeight="false" outlineLevel="0" collapsed="false">
      <c r="A166" s="17" t="s">
        <v>578</v>
      </c>
      <c r="B166" s="5" t="s">
        <v>579</v>
      </c>
      <c r="C166" s="29" t="n">
        <v>9.5</v>
      </c>
      <c r="D166" s="5" t="s">
        <v>265</v>
      </c>
      <c r="E166" s="5" t="s">
        <v>86</v>
      </c>
      <c r="F166" s="19" t="s">
        <v>580</v>
      </c>
      <c r="G166" s="5" t="s">
        <v>537</v>
      </c>
      <c r="H166" s="20" t="n">
        <v>5</v>
      </c>
      <c r="I166" s="5" t="s">
        <v>193</v>
      </c>
      <c r="J166" s="19" t="s">
        <v>538</v>
      </c>
      <c r="K166" s="19" t="s">
        <v>539</v>
      </c>
      <c r="L166" s="21" t="s">
        <v>76</v>
      </c>
    </row>
    <row r="167" customFormat="false" ht="15" hidden="false" customHeight="false" outlineLevel="0" collapsed="false">
      <c r="A167" s="22" t="s">
        <v>581</v>
      </c>
      <c r="B167" s="23" t="s">
        <v>582</v>
      </c>
      <c r="C167" s="24" t="n">
        <v>5.1</v>
      </c>
      <c r="D167" s="23" t="s">
        <v>96</v>
      </c>
      <c r="E167" s="23" t="s">
        <v>136</v>
      </c>
      <c r="F167" s="25" t="s">
        <v>569</v>
      </c>
      <c r="G167" s="23" t="s">
        <v>537</v>
      </c>
      <c r="H167" s="26" t="n">
        <v>5</v>
      </c>
      <c r="I167" s="23" t="s">
        <v>193</v>
      </c>
      <c r="J167" s="25" t="s">
        <v>538</v>
      </c>
      <c r="K167" s="25" t="s">
        <v>539</v>
      </c>
      <c r="L167" s="27" t="s">
        <v>76</v>
      </c>
    </row>
    <row r="168" customFormat="false" ht="15" hidden="false" customHeight="false" outlineLevel="0" collapsed="false">
      <c r="A168" s="17" t="s">
        <v>583</v>
      </c>
      <c r="B168" s="5" t="s">
        <v>584</v>
      </c>
      <c r="C168" s="18" t="n">
        <v>18</v>
      </c>
      <c r="D168" s="5" t="s">
        <v>265</v>
      </c>
      <c r="E168" s="5" t="s">
        <v>165</v>
      </c>
      <c r="F168" s="19" t="s">
        <v>543</v>
      </c>
      <c r="G168" s="5" t="s">
        <v>585</v>
      </c>
      <c r="H168" s="20" t="n">
        <v>3</v>
      </c>
      <c r="I168" s="5" t="s">
        <v>73</v>
      </c>
      <c r="J168" s="19" t="s">
        <v>586</v>
      </c>
      <c r="K168" s="19" t="s">
        <v>539</v>
      </c>
      <c r="L168" s="21" t="s">
        <v>76</v>
      </c>
    </row>
    <row r="169" customFormat="false" ht="15" hidden="false" customHeight="false" outlineLevel="0" collapsed="false">
      <c r="A169" s="22" t="s">
        <v>587</v>
      </c>
      <c r="B169" s="23" t="s">
        <v>588</v>
      </c>
      <c r="C169" s="28" t="n">
        <v>20</v>
      </c>
      <c r="D169" s="23" t="s">
        <v>265</v>
      </c>
      <c r="E169" s="23" t="s">
        <v>165</v>
      </c>
      <c r="F169" s="25" t="s">
        <v>589</v>
      </c>
      <c r="G169" s="23" t="s">
        <v>585</v>
      </c>
      <c r="H169" s="26" t="n">
        <v>3</v>
      </c>
      <c r="I169" s="23" t="s">
        <v>73</v>
      </c>
      <c r="J169" s="25" t="s">
        <v>586</v>
      </c>
      <c r="K169" s="25" t="s">
        <v>539</v>
      </c>
      <c r="L169" s="27" t="s">
        <v>76</v>
      </c>
    </row>
    <row r="170" customFormat="false" ht="15" hidden="false" customHeight="false" outlineLevel="0" collapsed="false">
      <c r="A170" s="17" t="s">
        <v>590</v>
      </c>
      <c r="B170" s="5" t="s">
        <v>591</v>
      </c>
      <c r="C170" s="18" t="n">
        <v>22</v>
      </c>
      <c r="D170" s="5" t="s">
        <v>265</v>
      </c>
      <c r="E170" s="5" t="s">
        <v>165</v>
      </c>
      <c r="F170" s="19" t="s">
        <v>592</v>
      </c>
      <c r="G170" s="5" t="s">
        <v>585</v>
      </c>
      <c r="H170" s="20" t="n">
        <v>3</v>
      </c>
      <c r="I170" s="5" t="s">
        <v>73</v>
      </c>
      <c r="J170" s="19" t="s">
        <v>586</v>
      </c>
      <c r="K170" s="19" t="s">
        <v>539</v>
      </c>
      <c r="L170" s="21" t="s">
        <v>76</v>
      </c>
    </row>
    <row r="171" customFormat="false" ht="15" hidden="false" customHeight="false" outlineLevel="0" collapsed="false">
      <c r="A171" s="22" t="s">
        <v>593</v>
      </c>
      <c r="B171" s="23" t="s">
        <v>594</v>
      </c>
      <c r="C171" s="28" t="n">
        <v>4</v>
      </c>
      <c r="D171" s="23" t="s">
        <v>265</v>
      </c>
      <c r="E171" s="23" t="s">
        <v>165</v>
      </c>
      <c r="F171" s="25" t="s">
        <v>483</v>
      </c>
      <c r="G171" s="23" t="s">
        <v>585</v>
      </c>
      <c r="H171" s="26" t="n">
        <v>3</v>
      </c>
      <c r="I171" s="23" t="s">
        <v>93</v>
      </c>
      <c r="J171" s="25" t="s">
        <v>586</v>
      </c>
      <c r="K171" s="25" t="s">
        <v>539</v>
      </c>
      <c r="L171" s="27" t="s">
        <v>76</v>
      </c>
    </row>
    <row r="172" customFormat="false" ht="15" hidden="false" customHeight="false" outlineLevel="0" collapsed="false">
      <c r="A172" s="17" t="s">
        <v>595</v>
      </c>
      <c r="B172" s="5" t="s">
        <v>596</v>
      </c>
      <c r="C172" s="18" t="n">
        <v>5</v>
      </c>
      <c r="D172" s="5" t="s">
        <v>265</v>
      </c>
      <c r="E172" s="5" t="s">
        <v>165</v>
      </c>
      <c r="F172" s="19" t="s">
        <v>364</v>
      </c>
      <c r="G172" s="5" t="s">
        <v>585</v>
      </c>
      <c r="H172" s="20" t="n">
        <v>3</v>
      </c>
      <c r="I172" s="5" t="s">
        <v>93</v>
      </c>
      <c r="J172" s="19" t="s">
        <v>586</v>
      </c>
      <c r="K172" s="19" t="s">
        <v>539</v>
      </c>
      <c r="L172" s="21" t="s">
        <v>76</v>
      </c>
    </row>
  </sheetData>
  <autoFilter ref="A5:L172"/>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s>
  <sheetData>
    <row r="1" customFormat="false" ht="17.35" hidden="false" customHeight="false" outlineLevel="0" collapsed="false">
      <c r="A1" s="1" t="s">
        <v>597</v>
      </c>
      <c r="B1" s="2"/>
      <c r="C1" s="2"/>
      <c r="D1" s="2"/>
      <c r="E1" s="2"/>
      <c r="F1" s="2"/>
      <c r="G1" s="2"/>
      <c r="H1" s="2"/>
    </row>
    <row r="2" customFormat="false" ht="15" hidden="false" customHeight="false" outlineLevel="0" collapsed="false">
      <c r="A2" s="3" t="s">
        <v>598</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16" t="s">
        <v>599</v>
      </c>
      <c r="B4" s="16" t="s">
        <v>600</v>
      </c>
      <c r="C4" s="16" t="s">
        <v>601</v>
      </c>
      <c r="D4" s="16" t="s">
        <v>602</v>
      </c>
      <c r="E4" s="16" t="s">
        <v>603</v>
      </c>
      <c r="F4" s="16" t="s">
        <v>59</v>
      </c>
      <c r="G4" s="16" t="s">
        <v>604</v>
      </c>
      <c r="H4" s="16" t="s">
        <v>605</v>
      </c>
    </row>
    <row r="5" customFormat="false" ht="30" hidden="false" customHeight="true" outlineLevel="0" collapsed="false">
      <c r="A5" s="17" t="s">
        <v>606</v>
      </c>
      <c r="B5" s="32" t="s">
        <v>607</v>
      </c>
      <c r="C5" s="33" t="n">
        <f aca="false">AVERAGE(Entrées!$C$92,Entrées!$C$93)/100</f>
        <v>0.055</v>
      </c>
      <c r="D5" s="33" t="n">
        <f aca="false">Entrées!$C$92/100</f>
        <v>0.05</v>
      </c>
      <c r="E5" s="33" t="n">
        <f aca="false">Entrées!$C$93/100</f>
        <v>0.06</v>
      </c>
      <c r="F5" s="5" t="s">
        <v>265</v>
      </c>
      <c r="G5" s="32" t="s">
        <v>608</v>
      </c>
      <c r="H5" s="19" t="s">
        <v>609</v>
      </c>
    </row>
    <row r="6" customFormat="false" ht="30" hidden="false" customHeight="true" outlineLevel="0" collapsed="false">
      <c r="A6" s="17" t="s">
        <v>610</v>
      </c>
      <c r="B6" s="32" t="s">
        <v>611</v>
      </c>
      <c r="C6" s="34" t="n">
        <f aca="false">C5</f>
        <v>0.055</v>
      </c>
      <c r="D6" s="35" t="n">
        <v>0.04</v>
      </c>
      <c r="E6" s="35" t="n">
        <v>0.07</v>
      </c>
      <c r="F6" s="5" t="s">
        <v>265</v>
      </c>
      <c r="G6" s="32" t="s">
        <v>612</v>
      </c>
      <c r="H6" s="19" t="s">
        <v>613</v>
      </c>
    </row>
    <row r="7" customFormat="false" ht="30" hidden="false" customHeight="true" outlineLevel="0" collapsed="false">
      <c r="A7" s="17" t="s">
        <v>614</v>
      </c>
      <c r="B7" s="32" t="s">
        <v>615</v>
      </c>
      <c r="C7" s="36" t="n">
        <f aca="false">Entrées!$C$56</f>
        <v>200</v>
      </c>
      <c r="D7" s="36" t="n">
        <f aca="false">Entrées!$C$56*0.9</f>
        <v>180</v>
      </c>
      <c r="E7" s="36" t="n">
        <f aca="false">Entrées!$C$56*1.1</f>
        <v>220</v>
      </c>
      <c r="F7" s="5" t="s">
        <v>215</v>
      </c>
      <c r="G7" s="32" t="s">
        <v>616</v>
      </c>
      <c r="H7" s="19" t="s">
        <v>256</v>
      </c>
    </row>
    <row r="8" customFormat="false" ht="30" hidden="false" customHeight="true" outlineLevel="0" collapsed="false">
      <c r="A8" s="17" t="s">
        <v>617</v>
      </c>
      <c r="B8" s="32" t="s">
        <v>618</v>
      </c>
      <c r="C8" s="35" t="n">
        <v>0.25</v>
      </c>
      <c r="D8" s="35" t="n">
        <v>0</v>
      </c>
      <c r="E8" s="35" t="n">
        <v>0.5</v>
      </c>
      <c r="F8" s="5" t="s">
        <v>265</v>
      </c>
      <c r="G8" s="32" t="s">
        <v>619</v>
      </c>
      <c r="H8" s="19" t="s">
        <v>248</v>
      </c>
    </row>
    <row r="9" customFormat="false" ht="30" hidden="false" customHeight="true" outlineLevel="0" collapsed="false">
      <c r="A9" s="17" t="s">
        <v>620</v>
      </c>
      <c r="B9" s="32" t="s">
        <v>621</v>
      </c>
      <c r="C9" s="36" t="n">
        <f aca="false">Entrées!$C$34-Entrées!$C$75</f>
        <v>1629</v>
      </c>
      <c r="D9" s="37" t="n">
        <f aca="false">C9*0.8</f>
        <v>1303.2</v>
      </c>
      <c r="E9" s="37" t="n">
        <f aca="false">C9*1.1</f>
        <v>1791.9</v>
      </c>
      <c r="F9" s="5" t="s">
        <v>69</v>
      </c>
      <c r="G9" s="32" t="s">
        <v>622</v>
      </c>
      <c r="H9" s="19" t="s">
        <v>623</v>
      </c>
    </row>
    <row r="10" customFormat="false" ht="30" hidden="false" customHeight="true" outlineLevel="0" collapsed="false">
      <c r="A10" s="17" t="s">
        <v>624</v>
      </c>
      <c r="B10" s="32" t="s">
        <v>625</v>
      </c>
      <c r="C10" s="33" t="n">
        <f aca="false">AVERAGE(Entrées!$C$18/Entrées!$C$22,Entrées!$C$34/Entrées!$C$8)</f>
        <v>0.168696364464616</v>
      </c>
      <c r="D10" s="35" t="n">
        <v>0.14</v>
      </c>
      <c r="E10" s="35" t="n">
        <v>0.19</v>
      </c>
      <c r="F10" s="5" t="s">
        <v>265</v>
      </c>
      <c r="G10" s="32" t="s">
        <v>626</v>
      </c>
      <c r="H10" s="19" t="s">
        <v>627</v>
      </c>
    </row>
    <row r="11" customFormat="false" ht="30" hidden="false" customHeight="true" outlineLevel="0" collapsed="false">
      <c r="A11" s="17" t="s">
        <v>628</v>
      </c>
      <c r="B11" s="32" t="s">
        <v>629</v>
      </c>
      <c r="C11" s="33" t="n">
        <f aca="false">Entrées!$C$94/100</f>
        <v>0.08</v>
      </c>
      <c r="D11" s="35" t="n">
        <v>0.04</v>
      </c>
      <c r="E11" s="35" t="n">
        <v>0.12</v>
      </c>
      <c r="F11" s="5" t="s">
        <v>265</v>
      </c>
      <c r="G11" s="32" t="s">
        <v>630</v>
      </c>
      <c r="H11" s="19" t="s">
        <v>368</v>
      </c>
    </row>
    <row r="12" customFormat="false" ht="30" hidden="false" customHeight="true" outlineLevel="0" collapsed="false">
      <c r="A12" s="17" t="s">
        <v>631</v>
      </c>
      <c r="B12" s="32" t="s">
        <v>632</v>
      </c>
      <c r="C12" s="35" t="n">
        <v>0.5</v>
      </c>
      <c r="D12" s="35" t="n">
        <v>0</v>
      </c>
      <c r="E12" s="35" t="n">
        <v>1</v>
      </c>
      <c r="F12" s="5" t="s">
        <v>265</v>
      </c>
      <c r="G12" s="32" t="s">
        <v>633</v>
      </c>
      <c r="H12" s="19" t="s">
        <v>184</v>
      </c>
    </row>
    <row r="13" customFormat="false" ht="30" hidden="false" customHeight="true" outlineLevel="0" collapsed="false">
      <c r="A13" s="17" t="s">
        <v>634</v>
      </c>
      <c r="B13" s="32" t="s">
        <v>635</v>
      </c>
      <c r="C13" s="35" t="n">
        <v>0.5</v>
      </c>
      <c r="D13" s="35" t="n">
        <v>0</v>
      </c>
      <c r="E13" s="35" t="n">
        <v>1</v>
      </c>
      <c r="F13" s="5" t="s">
        <v>265</v>
      </c>
      <c r="G13" s="32" t="s">
        <v>636</v>
      </c>
      <c r="H13" s="19" t="s">
        <v>163</v>
      </c>
    </row>
    <row r="14" customFormat="false" ht="30" hidden="false" customHeight="true" outlineLevel="0" collapsed="false">
      <c r="A14" s="17" t="s">
        <v>637</v>
      </c>
      <c r="B14" s="32" t="s">
        <v>638</v>
      </c>
      <c r="C14" s="38" t="n">
        <v>10</v>
      </c>
      <c r="D14" s="38" t="n">
        <v>8</v>
      </c>
      <c r="E14" s="38" t="n">
        <v>12</v>
      </c>
      <c r="F14" s="5" t="s">
        <v>99</v>
      </c>
      <c r="G14" s="32" t="s">
        <v>639</v>
      </c>
      <c r="H14" s="19" t="s">
        <v>613</v>
      </c>
    </row>
    <row r="15" customFormat="false" ht="30" hidden="false" customHeight="true" outlineLevel="0" collapsed="false">
      <c r="A15" s="17" t="s">
        <v>640</v>
      </c>
      <c r="B15" s="32" t="s">
        <v>641</v>
      </c>
      <c r="C15" s="39" t="n">
        <f aca="false">Entrées!$C$10</f>
        <v>0.5</v>
      </c>
      <c r="D15" s="40" t="n">
        <v>0</v>
      </c>
      <c r="E15" s="39" t="n">
        <f aca="false">Entrées!$C$26</f>
        <v>1</v>
      </c>
      <c r="F15" s="5" t="s">
        <v>96</v>
      </c>
      <c r="G15" s="32" t="s">
        <v>642</v>
      </c>
      <c r="H15" s="19" t="s">
        <v>643</v>
      </c>
    </row>
    <row r="16" customFormat="false" ht="30" hidden="false" customHeight="true" outlineLevel="0" collapsed="false">
      <c r="A16" s="2"/>
      <c r="B16" s="2"/>
      <c r="C16" s="2"/>
      <c r="D16" s="2"/>
      <c r="E16" s="2"/>
      <c r="F16" s="2"/>
      <c r="G16" s="2"/>
      <c r="H16" s="2"/>
    </row>
    <row r="17" customFormat="false" ht="30" hidden="false" customHeight="true" outlineLevel="0" collapsed="false">
      <c r="A17" s="17" t="s">
        <v>644</v>
      </c>
      <c r="B17" s="2"/>
      <c r="C17" s="2"/>
      <c r="D17" s="2"/>
      <c r="E17" s="2"/>
      <c r="F17" s="2"/>
      <c r="G17" s="2"/>
      <c r="H17" s="2"/>
    </row>
    <row r="18" customFormat="false" ht="30" hidden="false" customHeight="true" outlineLevel="0" collapsed="false">
      <c r="A18" s="17" t="s">
        <v>645</v>
      </c>
      <c r="B18" s="32" t="s">
        <v>646</v>
      </c>
      <c r="C18" s="41" t="n">
        <f aca="false">Entrées!$C$45/Entrées!$C$46</f>
        <v>1.17584579071597</v>
      </c>
      <c r="D18" s="42" t="s">
        <v>613</v>
      </c>
      <c r="E18" s="42" t="s">
        <v>613</v>
      </c>
      <c r="F18" s="5" t="s">
        <v>647</v>
      </c>
      <c r="G18" s="32" t="s">
        <v>648</v>
      </c>
      <c r="H18" s="19" t="s">
        <v>649</v>
      </c>
    </row>
    <row r="19" customFormat="false" ht="30" hidden="false" customHeight="true" outlineLevel="0" collapsed="false">
      <c r="A19" s="17" t="s">
        <v>650</v>
      </c>
      <c r="B19" s="32" t="s">
        <v>651</v>
      </c>
      <c r="C19" s="36" t="n">
        <f aca="false">-Entrées!$C$77-Entrées!$C$79</f>
        <v>295</v>
      </c>
      <c r="D19" s="42" t="s">
        <v>613</v>
      </c>
      <c r="E19" s="42" t="s">
        <v>613</v>
      </c>
      <c r="F19" s="5" t="s">
        <v>69</v>
      </c>
      <c r="G19" s="32" t="s">
        <v>652</v>
      </c>
      <c r="H19" s="19" t="s">
        <v>653</v>
      </c>
    </row>
    <row r="20" customFormat="false" ht="30" hidden="false" customHeight="true" outlineLevel="0" collapsed="false">
      <c r="A20" s="17" t="s">
        <v>654</v>
      </c>
      <c r="B20" s="32" t="s">
        <v>655</v>
      </c>
      <c r="C20" s="43" t="n">
        <f aca="false">Entrées!$C$53</f>
        <v>9.8</v>
      </c>
      <c r="D20" s="42" t="s">
        <v>613</v>
      </c>
      <c r="E20" s="42" t="s">
        <v>613</v>
      </c>
      <c r="F20" s="5" t="s">
        <v>99</v>
      </c>
      <c r="G20" s="32" t="s">
        <v>656</v>
      </c>
      <c r="H20" s="19" t="s">
        <v>244</v>
      </c>
    </row>
    <row r="21" customFormat="false" ht="30" hidden="false" customHeight="true" outlineLevel="0" collapsed="false">
      <c r="A21" s="17" t="s">
        <v>657</v>
      </c>
      <c r="B21" s="32" t="s">
        <v>658</v>
      </c>
      <c r="C21" s="40" t="n">
        <v>0</v>
      </c>
      <c r="D21" s="42" t="s">
        <v>613</v>
      </c>
      <c r="E21" s="42" t="s">
        <v>613</v>
      </c>
      <c r="F21" s="5" t="s">
        <v>96</v>
      </c>
      <c r="G21" s="32" t="s">
        <v>659</v>
      </c>
      <c r="H21" s="19" t="s">
        <v>613</v>
      </c>
    </row>
    <row r="22" customFormat="false" ht="30" hidden="false" customHeight="true" outlineLevel="0" collapsed="false">
      <c r="A22" s="17" t="s">
        <v>660</v>
      </c>
      <c r="B22" s="32" t="s">
        <v>661</v>
      </c>
      <c r="C22" s="44" t="n">
        <v>0</v>
      </c>
      <c r="D22" s="42" t="s">
        <v>613</v>
      </c>
      <c r="E22" s="42" t="s">
        <v>613</v>
      </c>
      <c r="F22" s="5" t="s">
        <v>69</v>
      </c>
      <c r="G22" s="32" t="s">
        <v>662</v>
      </c>
      <c r="H22" s="19" t="s">
        <v>613</v>
      </c>
    </row>
    <row r="23" customFormat="false" ht="30" hidden="false" customHeight="true" outlineLevel="0" collapsed="false">
      <c r="A23" s="17" t="s">
        <v>663</v>
      </c>
      <c r="B23" s="32" t="s">
        <v>664</v>
      </c>
      <c r="C23" s="45" t="n">
        <v>7</v>
      </c>
      <c r="D23" s="42" t="s">
        <v>613</v>
      </c>
      <c r="E23" s="42" t="s">
        <v>613</v>
      </c>
      <c r="F23" s="5" t="s">
        <v>665</v>
      </c>
      <c r="G23" s="32" t="s">
        <v>666</v>
      </c>
      <c r="H23" s="19" t="s">
        <v>213</v>
      </c>
    </row>
    <row r="24" customFormat="false" ht="30" hidden="false" customHeight="true" outlineLevel="0" collapsed="false">
      <c r="A24" s="17" t="s">
        <v>667</v>
      </c>
      <c r="B24" s="32" t="s">
        <v>668</v>
      </c>
      <c r="C24" s="46" t="n">
        <f aca="false">Entrées!$C$55/4</f>
        <v>22.5</v>
      </c>
      <c r="D24" s="42" t="s">
        <v>613</v>
      </c>
      <c r="E24" s="42" t="s">
        <v>613</v>
      </c>
      <c r="F24" s="5" t="s">
        <v>215</v>
      </c>
      <c r="G24" s="32" t="s">
        <v>669</v>
      </c>
      <c r="H24" s="19" t="s">
        <v>252</v>
      </c>
    </row>
    <row r="25" customFormat="false" ht="30" hidden="false" customHeight="true" outlineLevel="0" collapsed="false">
      <c r="A25" s="17" t="s">
        <v>670</v>
      </c>
      <c r="B25" s="32" t="s">
        <v>671</v>
      </c>
      <c r="C25" s="43" t="n">
        <f aca="false">Entrées!$C$61</f>
        <v>3</v>
      </c>
      <c r="D25" s="42" t="s">
        <v>613</v>
      </c>
      <c r="E25" s="42" t="s">
        <v>613</v>
      </c>
      <c r="F25" s="5" t="s">
        <v>99</v>
      </c>
      <c r="G25" s="32" t="s">
        <v>672</v>
      </c>
      <c r="H25" s="19" t="s">
        <v>673</v>
      </c>
    </row>
    <row r="26" customFormat="false" ht="30" hidden="false" customHeight="true" outlineLevel="0" collapsed="false">
      <c r="A26" s="17" t="s">
        <v>674</v>
      </c>
      <c r="B26" s="32" t="s">
        <v>675</v>
      </c>
      <c r="C26" s="35" t="n">
        <v>0.5</v>
      </c>
      <c r="D26" s="42" t="s">
        <v>613</v>
      </c>
      <c r="E26" s="42" t="s">
        <v>613</v>
      </c>
      <c r="F26" s="5" t="s">
        <v>265</v>
      </c>
      <c r="G26" s="32" t="s">
        <v>676</v>
      </c>
      <c r="H26" s="19" t="s">
        <v>111</v>
      </c>
    </row>
    <row r="27" customFormat="false" ht="30" hidden="false" customHeight="true" outlineLevel="0" collapsed="false">
      <c r="A27" s="2"/>
      <c r="B27" s="2"/>
      <c r="C27" s="2"/>
      <c r="D27" s="2"/>
      <c r="E27" s="2"/>
      <c r="F27" s="2"/>
      <c r="G27" s="2"/>
      <c r="H27" s="2"/>
    </row>
    <row r="28" customFormat="false" ht="15" hidden="false" customHeight="false" outlineLevel="0" collapsed="false">
      <c r="A28" s="3" t="s">
        <v>677</v>
      </c>
      <c r="B28" s="2"/>
      <c r="C28" s="2"/>
      <c r="D28" s="2"/>
      <c r="E28" s="2"/>
      <c r="F28" s="2"/>
      <c r="G28" s="2"/>
      <c r="H28"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678</v>
      </c>
      <c r="B1" s="2"/>
      <c r="C1" s="2"/>
      <c r="D1" s="2"/>
      <c r="E1" s="2"/>
    </row>
    <row r="2" customFormat="false" ht="15" hidden="false" customHeight="false" outlineLevel="0" collapsed="false">
      <c r="A2" s="3" t="s">
        <v>679</v>
      </c>
      <c r="B2" s="2"/>
      <c r="C2" s="2"/>
      <c r="D2" s="2"/>
      <c r="E2" s="2"/>
    </row>
    <row r="3" customFormat="false" ht="15" hidden="false" customHeight="false" outlineLevel="0" collapsed="false">
      <c r="A3" s="2"/>
      <c r="B3" s="2"/>
      <c r="C3" s="2"/>
      <c r="D3" s="2"/>
      <c r="E3" s="2"/>
    </row>
    <row r="4" customFormat="false" ht="15" hidden="false" customHeight="false" outlineLevel="0" collapsed="false">
      <c r="A4" s="16"/>
      <c r="B4" s="16" t="s">
        <v>57</v>
      </c>
      <c r="C4" s="16" t="s">
        <v>58</v>
      </c>
      <c r="D4" s="16" t="s">
        <v>59</v>
      </c>
      <c r="E4" s="16" t="s">
        <v>680</v>
      </c>
    </row>
    <row r="5" customFormat="false" ht="15" hidden="false" customHeight="false" outlineLevel="0" collapsed="false">
      <c r="A5" s="17" t="s">
        <v>681</v>
      </c>
      <c r="B5" s="17" t="s">
        <v>682</v>
      </c>
      <c r="C5" s="2"/>
      <c r="D5" s="2"/>
      <c r="E5" s="2"/>
    </row>
    <row r="6" customFormat="false" ht="15" hidden="false" customHeight="false" outlineLevel="0" collapsed="false">
      <c r="A6" s="2"/>
      <c r="B6" s="5" t="s">
        <v>683</v>
      </c>
      <c r="C6" s="47" t="n">
        <f aca="false">Entrées!$C$28</f>
        <v>17819</v>
      </c>
      <c r="D6" s="19" t="s">
        <v>69</v>
      </c>
      <c r="E6" s="19" t="s">
        <v>158</v>
      </c>
    </row>
    <row r="7" customFormat="false" ht="15" hidden="false" customHeight="false" outlineLevel="0" collapsed="false">
      <c r="A7" s="2"/>
      <c r="B7" s="5" t="s">
        <v>684</v>
      </c>
      <c r="C7" s="47" t="n">
        <f aca="false">Entrées!$C$22</f>
        <v>6788</v>
      </c>
      <c r="D7" s="19" t="s">
        <v>69</v>
      </c>
      <c r="E7" s="19" t="s">
        <v>143</v>
      </c>
    </row>
    <row r="8" customFormat="false" ht="15" hidden="false" customHeight="false" outlineLevel="0" collapsed="false">
      <c r="A8" s="2"/>
      <c r="B8" s="17" t="s">
        <v>685</v>
      </c>
      <c r="C8" s="48" t="n">
        <f aca="false">C6/C7</f>
        <v>2.62507365939894</v>
      </c>
      <c r="D8" s="19" t="s">
        <v>99</v>
      </c>
      <c r="E8" s="19" t="s">
        <v>686</v>
      </c>
    </row>
    <row r="9" customFormat="false" ht="15" hidden="false" customHeight="false" outlineLevel="0" collapsed="false">
      <c r="A9" s="2"/>
      <c r="B9" s="5" t="s">
        <v>687</v>
      </c>
      <c r="C9" s="49" t="n">
        <f aca="false">Entrées!$C$25</f>
        <v>2.63</v>
      </c>
      <c r="D9" s="19" t="s">
        <v>99</v>
      </c>
      <c r="E9" s="19" t="s">
        <v>150</v>
      </c>
    </row>
    <row r="10" customFormat="false" ht="15" hidden="false" customHeight="false" outlineLevel="0" collapsed="false">
      <c r="A10" s="2"/>
      <c r="B10" s="5" t="s">
        <v>688</v>
      </c>
      <c r="C10" s="47" t="n">
        <f aca="false">Entrées!$C$13</f>
        <v>19657</v>
      </c>
      <c r="D10" s="19" t="s">
        <v>69</v>
      </c>
      <c r="E10" s="19" t="s">
        <v>104</v>
      </c>
    </row>
    <row r="11" customFormat="false" ht="15" hidden="false" customHeight="false" outlineLevel="0" collapsed="false">
      <c r="A11" s="2"/>
      <c r="B11" s="5" t="s">
        <v>689</v>
      </c>
      <c r="C11" s="47" t="n">
        <f aca="false">Entrées!$C$8</f>
        <v>7050</v>
      </c>
      <c r="D11" s="19" t="s">
        <v>69</v>
      </c>
      <c r="E11" s="19" t="s">
        <v>85</v>
      </c>
    </row>
    <row r="12" customFormat="false" ht="15" hidden="false" customHeight="false" outlineLevel="0" collapsed="false">
      <c r="A12" s="2"/>
      <c r="B12" s="17" t="s">
        <v>690</v>
      </c>
      <c r="C12" s="48" t="n">
        <f aca="false">C10/C11</f>
        <v>2.78822695035461</v>
      </c>
      <c r="D12" s="19" t="s">
        <v>99</v>
      </c>
      <c r="E12" s="19" t="s">
        <v>686</v>
      </c>
    </row>
    <row r="13" customFormat="false" ht="15" hidden="false" customHeight="false" outlineLevel="0" collapsed="false">
      <c r="A13" s="2"/>
      <c r="B13" s="5" t="s">
        <v>691</v>
      </c>
      <c r="C13" s="49" t="n">
        <f aca="false">Entrées!$C$21</f>
        <v>2.79</v>
      </c>
      <c r="D13" s="19" t="s">
        <v>99</v>
      </c>
      <c r="E13" s="19" t="s">
        <v>140</v>
      </c>
    </row>
    <row r="14" customFormat="false" ht="15" hidden="false" customHeight="false" outlineLevel="0" collapsed="false">
      <c r="A14" s="2"/>
      <c r="B14" s="17" t="s">
        <v>692</v>
      </c>
      <c r="C14" s="50" t="n">
        <f aca="false">Hypothèses!$C$25*C11-C10</f>
        <v>1493</v>
      </c>
      <c r="D14" s="19" t="s">
        <v>69</v>
      </c>
      <c r="E14" s="19" t="s">
        <v>693</v>
      </c>
    </row>
    <row r="15" customFormat="false" ht="15" hidden="false" customHeight="false" outlineLevel="0" collapsed="false">
      <c r="A15" s="2"/>
      <c r="B15" s="2"/>
      <c r="C15" s="2"/>
      <c r="D15" s="2"/>
      <c r="E15" s="2"/>
    </row>
    <row r="16" customFormat="false" ht="15" hidden="false" customHeight="false" outlineLevel="0" collapsed="false">
      <c r="A16" s="17" t="s">
        <v>694</v>
      </c>
      <c r="B16" s="17" t="s">
        <v>695</v>
      </c>
      <c r="C16" s="2"/>
      <c r="D16" s="2"/>
      <c r="E16" s="2"/>
    </row>
    <row r="17" customFormat="false" ht="15" hidden="false" customHeight="false" outlineLevel="0" collapsed="false">
      <c r="A17" s="2"/>
      <c r="B17" s="5" t="s">
        <v>696</v>
      </c>
      <c r="C17" s="47" t="n">
        <f aca="false">Entrées!$C$16</f>
        <v>24548</v>
      </c>
      <c r="D17" s="19" t="s">
        <v>69</v>
      </c>
      <c r="E17" s="19" t="s">
        <v>117</v>
      </c>
    </row>
    <row r="18" customFormat="false" ht="15" hidden="false" customHeight="false" outlineLevel="0" collapsed="false">
      <c r="A18" s="2"/>
      <c r="B18" s="5" t="s">
        <v>697</v>
      </c>
      <c r="C18" s="51" t="n">
        <f aca="false">Entrées!$C$8-Entrées!$C$24+Entrées!$C$6</f>
        <v>7235</v>
      </c>
      <c r="D18" s="19" t="s">
        <v>69</v>
      </c>
      <c r="E18" s="19" t="s">
        <v>698</v>
      </c>
    </row>
    <row r="19" customFormat="false" ht="15" hidden="false" customHeight="false" outlineLevel="0" collapsed="false">
      <c r="A19" s="2"/>
      <c r="B19" s="17" t="s">
        <v>699</v>
      </c>
      <c r="C19" s="48" t="n">
        <f aca="false">C17/C18</f>
        <v>3.39295093296475</v>
      </c>
      <c r="D19" s="19" t="s">
        <v>99</v>
      </c>
      <c r="E19" s="19" t="s">
        <v>700</v>
      </c>
    </row>
    <row r="20" customFormat="false" ht="15" hidden="false" customHeight="false" outlineLevel="0" collapsed="false">
      <c r="A20" s="2"/>
      <c r="B20" s="5" t="s">
        <v>701</v>
      </c>
      <c r="C20" s="51" t="n">
        <f aca="false">Hypothèses!$C$7*11/12/Hypothèses!$C$18</f>
        <v>155.916136946582</v>
      </c>
      <c r="D20" s="19" t="s">
        <v>69</v>
      </c>
      <c r="E20" s="19" t="s">
        <v>702</v>
      </c>
    </row>
    <row r="21" customFormat="false" ht="15" hidden="false" customHeight="false" outlineLevel="0" collapsed="false">
      <c r="A21" s="2"/>
      <c r="B21" s="17" t="s">
        <v>703</v>
      </c>
      <c r="C21" s="48" t="n">
        <f aca="false">C17/(C18+C20)</f>
        <v>3.32137444738232</v>
      </c>
      <c r="D21" s="19" t="s">
        <v>99</v>
      </c>
      <c r="E21" s="19"/>
    </row>
    <row r="22" customFormat="false" ht="15" hidden="false" customHeight="false" outlineLevel="0" collapsed="false">
      <c r="A22" s="2"/>
      <c r="B22" s="5" t="s">
        <v>704</v>
      </c>
      <c r="C22" s="51" t="n">
        <f aca="false">Entrées!$C$76-Entrées!$C$13</f>
        <v>1107</v>
      </c>
      <c r="D22" s="19" t="s">
        <v>69</v>
      </c>
      <c r="E22" s="19" t="s">
        <v>705</v>
      </c>
    </row>
    <row r="23" customFormat="false" ht="15" hidden="false" customHeight="false" outlineLevel="0" collapsed="false">
      <c r="A23" s="2"/>
      <c r="B23" s="17" t="s">
        <v>706</v>
      </c>
      <c r="C23" s="48" t="n">
        <f aca="false">(C17-C22)/(C18+C20)</f>
        <v>3.17159599238589</v>
      </c>
      <c r="D23" s="19" t="s">
        <v>99</v>
      </c>
      <c r="E23" s="19" t="s">
        <v>707</v>
      </c>
    </row>
    <row r="24" customFormat="false" ht="15" hidden="false" customHeight="false" outlineLevel="0" collapsed="false">
      <c r="A24" s="2"/>
      <c r="B24" s="5" t="s">
        <v>708</v>
      </c>
      <c r="C24" s="49" t="n">
        <f aca="false">Entrées!$C$19</f>
        <v>2.92</v>
      </c>
      <c r="D24" s="19" t="s">
        <v>99</v>
      </c>
      <c r="E24" s="19" t="s">
        <v>128</v>
      </c>
    </row>
    <row r="25" customFormat="false" ht="15" hidden="false" customHeight="false" outlineLevel="0" collapsed="false">
      <c r="A25" s="2"/>
      <c r="B25" s="2"/>
      <c r="C25" s="2"/>
      <c r="D25" s="2"/>
      <c r="E25" s="2"/>
    </row>
    <row r="26" customFormat="false" ht="15" hidden="false" customHeight="false" outlineLevel="0" collapsed="false">
      <c r="A26" s="17" t="s">
        <v>709</v>
      </c>
      <c r="B26" s="17" t="s">
        <v>710</v>
      </c>
      <c r="C26" s="2"/>
      <c r="D26" s="2"/>
      <c r="E26" s="2"/>
    </row>
    <row r="27" customFormat="false" ht="15" hidden="false" customHeight="false" outlineLevel="0" collapsed="false">
      <c r="A27" s="2"/>
      <c r="B27" s="5" t="s">
        <v>711</v>
      </c>
      <c r="C27" s="52" t="n">
        <f aca="false">Entrées!$C$149</f>
        <v>6.5</v>
      </c>
      <c r="D27" s="19" t="s">
        <v>527</v>
      </c>
      <c r="E27" s="19" t="s">
        <v>525</v>
      </c>
    </row>
    <row r="28" customFormat="false" ht="15" hidden="false" customHeight="false" outlineLevel="0" collapsed="false">
      <c r="A28" s="2"/>
      <c r="B28" s="5" t="s">
        <v>711</v>
      </c>
      <c r="C28" s="52" t="n">
        <f aca="false">Entrées!$C$150</f>
        <v>7.1</v>
      </c>
      <c r="D28" s="19" t="s">
        <v>527</v>
      </c>
      <c r="E28" s="19" t="s">
        <v>529</v>
      </c>
    </row>
    <row r="29" customFormat="false" ht="15" hidden="false" customHeight="false" outlineLevel="0" collapsed="false">
      <c r="A29" s="2"/>
      <c r="B29" s="5" t="s">
        <v>712</v>
      </c>
      <c r="C29" s="53" t="n">
        <f aca="false">Entrées!$C$151/100</f>
        <v>0.85</v>
      </c>
      <c r="D29" s="19" t="s">
        <v>265</v>
      </c>
      <c r="E29" s="19" t="s">
        <v>531</v>
      </c>
    </row>
    <row r="30" customFormat="false" ht="15" hidden="false" customHeight="false" outlineLevel="0" collapsed="false">
      <c r="A30" s="2"/>
      <c r="B30" s="17" t="s">
        <v>713</v>
      </c>
      <c r="C30" s="50" t="n">
        <f aca="false">Hypothèses!$C$25*Entrées!$C$17*1000</f>
        <v>24000</v>
      </c>
      <c r="D30" s="19" t="s">
        <v>69</v>
      </c>
      <c r="E30" s="19" t="s">
        <v>714</v>
      </c>
    </row>
    <row r="31" customFormat="false" ht="15" hidden="false" customHeight="false" outlineLevel="0" collapsed="false">
      <c r="A31" s="2"/>
      <c r="B31" s="17" t="s">
        <v>715</v>
      </c>
      <c r="C31" s="50" t="n">
        <f aca="false">Hypothèses!$C$25*Trajectoire!$D$40</f>
        <v>23944.29152183</v>
      </c>
      <c r="D31" s="19" t="s">
        <v>69</v>
      </c>
      <c r="E31" s="19" t="s">
        <v>716</v>
      </c>
    </row>
    <row r="32" customFormat="false" ht="15" hidden="false" customHeight="false" outlineLevel="0" collapsed="false">
      <c r="A32" s="2"/>
      <c r="B32" s="5" t="s">
        <v>717</v>
      </c>
      <c r="C32" s="51" t="n">
        <f aca="false">Hypothèses!$C$25*500</f>
        <v>1500</v>
      </c>
      <c r="D32" s="19" t="s">
        <v>69</v>
      </c>
      <c r="E32" s="19" t="s">
        <v>718</v>
      </c>
    </row>
    <row r="33" customFormat="false" ht="15" hidden="false" customHeight="false" outlineLevel="0" collapsed="false">
      <c r="A33" s="2"/>
      <c r="B33" s="2"/>
      <c r="C33" s="2"/>
      <c r="D33" s="2"/>
      <c r="E33" s="2"/>
    </row>
    <row r="34" customFormat="false" ht="15" hidden="false" customHeight="false" outlineLevel="0" collapsed="false">
      <c r="A34" s="17" t="s">
        <v>719</v>
      </c>
      <c r="B34" s="17" t="s">
        <v>720</v>
      </c>
      <c r="C34" s="2"/>
      <c r="D34" s="2"/>
      <c r="E34" s="2"/>
    </row>
    <row r="35" customFormat="false" ht="15" hidden="false" customHeight="false" outlineLevel="0" collapsed="false">
      <c r="A35" s="2"/>
      <c r="B35" s="5" t="s">
        <v>535</v>
      </c>
      <c r="C35" s="53" t="n">
        <f aca="false">Entrées!$C$160/100</f>
        <v>0.213</v>
      </c>
      <c r="D35" s="19" t="s">
        <v>265</v>
      </c>
      <c r="E35" s="19" t="s">
        <v>562</v>
      </c>
    </row>
    <row r="36" customFormat="false" ht="15" hidden="false" customHeight="false" outlineLevel="0" collapsed="false">
      <c r="A36" s="2"/>
      <c r="B36" s="5" t="s">
        <v>535</v>
      </c>
      <c r="C36" s="53" t="n">
        <f aca="false">Entrées!$C$152/100</f>
        <v>0.203</v>
      </c>
      <c r="D36" s="19" t="s">
        <v>265</v>
      </c>
      <c r="E36" s="19" t="s">
        <v>534</v>
      </c>
    </row>
    <row r="37" customFormat="false" ht="15" hidden="false" customHeight="false" outlineLevel="0" collapsed="false">
      <c r="A37" s="2"/>
      <c r="B37" s="5" t="s">
        <v>721</v>
      </c>
      <c r="C37" s="53" t="n">
        <f aca="false">Entrées!$C$153/100</f>
        <v>0.18</v>
      </c>
      <c r="D37" s="19" t="s">
        <v>265</v>
      </c>
      <c r="E37" s="19" t="s">
        <v>540</v>
      </c>
    </row>
    <row r="38" customFormat="false" ht="15" hidden="false" customHeight="false" outlineLevel="0" collapsed="false">
      <c r="A38" s="2"/>
      <c r="B38" s="5" t="s">
        <v>722</v>
      </c>
      <c r="C38" s="53" t="n">
        <f aca="false">Entrées!$C$154/100</f>
        <v>0.19</v>
      </c>
      <c r="D38" s="19" t="s">
        <v>265</v>
      </c>
      <c r="E38" s="19" t="s">
        <v>544</v>
      </c>
    </row>
    <row r="39" customFormat="false" ht="15" hidden="false" customHeight="false" outlineLevel="0" collapsed="false">
      <c r="A39" s="2"/>
      <c r="B39" s="5" t="s">
        <v>723</v>
      </c>
      <c r="C39" s="54" t="str">
        <f aca="false">Entrées!$C$157</f>
        <v>high teens</v>
      </c>
      <c r="D39" s="19"/>
      <c r="E39" s="19" t="s">
        <v>724</v>
      </c>
    </row>
    <row r="40" customFormat="false" ht="15" hidden="false" customHeight="false" outlineLevel="0" collapsed="false">
      <c r="A40" s="2"/>
      <c r="B40" s="17" t="s">
        <v>725</v>
      </c>
      <c r="C40" s="55" t="n">
        <f aca="false">Entrées!$C$168/100</f>
        <v>0.18</v>
      </c>
      <c r="D40" s="19" t="s">
        <v>265</v>
      </c>
      <c r="E40" s="19" t="s">
        <v>583</v>
      </c>
    </row>
    <row r="41" customFormat="false" ht="15" hidden="false" customHeight="false" outlineLevel="0" collapsed="false">
      <c r="A41" s="2"/>
      <c r="B41" s="5" t="s">
        <v>726</v>
      </c>
      <c r="C41" s="53" t="n">
        <f aca="false">Entrées!$C$169/100</f>
        <v>0.2</v>
      </c>
      <c r="D41" s="19" t="s">
        <v>265</v>
      </c>
      <c r="E41" s="19" t="s">
        <v>727</v>
      </c>
    </row>
    <row r="42" customFormat="false" ht="15" hidden="false" customHeight="false" outlineLevel="0" collapsed="false">
      <c r="A42" s="2"/>
      <c r="B42" s="5" t="s">
        <v>728</v>
      </c>
      <c r="C42" s="51" t="n">
        <f aca="false">Entrées!$C$155*1000</f>
        <v>25400</v>
      </c>
      <c r="D42" s="19" t="s">
        <v>69</v>
      </c>
      <c r="E42" s="19" t="s">
        <v>547</v>
      </c>
    </row>
    <row r="43" customFormat="false" ht="15" hidden="false" customHeight="false" outlineLevel="0" collapsed="false">
      <c r="A43" s="2"/>
      <c r="B43" s="5" t="s">
        <v>729</v>
      </c>
      <c r="C43" s="51" t="n">
        <f aca="false">Entrées!$C$156*1000</f>
        <v>29000</v>
      </c>
      <c r="D43" s="19" t="s">
        <v>69</v>
      </c>
      <c r="E43" s="19" t="s">
        <v>550</v>
      </c>
    </row>
    <row r="44" customFormat="false" ht="15" hidden="false" customHeight="false" outlineLevel="0" collapsed="false">
      <c r="A44" s="2"/>
      <c r="B44" s="17" t="s">
        <v>730</v>
      </c>
      <c r="C44" s="50" t="n">
        <f aca="false">Levier!$C$36*Levier!$C$42</f>
        <v>5156.2</v>
      </c>
      <c r="D44" s="19" t="s">
        <v>69</v>
      </c>
      <c r="E44" s="19" t="s">
        <v>731</v>
      </c>
    </row>
    <row r="45" customFormat="false" ht="15" hidden="false" customHeight="false" outlineLevel="0" collapsed="false">
      <c r="A45" s="2"/>
      <c r="B45" s="17" t="s">
        <v>732</v>
      </c>
      <c r="C45" s="50" t="n">
        <f aca="false">Levier!$C$40*Levier!$C$43</f>
        <v>5220</v>
      </c>
      <c r="D45" s="19" t="s">
        <v>69</v>
      </c>
      <c r="E45" s="19" t="s">
        <v>733</v>
      </c>
    </row>
    <row r="46" customFormat="false" ht="15" hidden="false" customHeight="false" outlineLevel="0" collapsed="false">
      <c r="A46" s="2"/>
      <c r="B46" s="17" t="s">
        <v>734</v>
      </c>
      <c r="C46" s="50" t="n">
        <f aca="false">Levier!$C$44-Levier!$C$45</f>
        <v>-63.7999999999993</v>
      </c>
      <c r="D46" s="19" t="s">
        <v>69</v>
      </c>
      <c r="E46" s="19" t="s">
        <v>735</v>
      </c>
    </row>
    <row r="47" customFormat="false" ht="15" hidden="false" customHeight="false" outlineLevel="0" collapsed="false">
      <c r="A47" s="2"/>
      <c r="B47" s="5" t="s">
        <v>736</v>
      </c>
      <c r="C47" s="51" t="n">
        <f aca="false">Levier!$C$44/Levier!$C$40</f>
        <v>28645.5555555556</v>
      </c>
      <c r="D47" s="19" t="s">
        <v>69</v>
      </c>
      <c r="E47" s="19" t="s">
        <v>737</v>
      </c>
    </row>
    <row r="48" customFormat="false" ht="15" hidden="false" customHeight="false" outlineLevel="0" collapsed="false">
      <c r="A48" s="2"/>
      <c r="B48" s="5" t="s">
        <v>738</v>
      </c>
      <c r="C48" s="51" t="n">
        <f aca="false">Levier!$C$42-Entrées!$C$13</f>
        <v>5743</v>
      </c>
      <c r="D48" s="19" t="s">
        <v>69</v>
      </c>
      <c r="E48" s="19" t="s">
        <v>739</v>
      </c>
    </row>
    <row r="49" customFormat="false" ht="43.5" hidden="false" customHeight="true" outlineLevel="0" collapsed="false">
      <c r="A49" s="2"/>
      <c r="B49" s="56" t="s">
        <v>740</v>
      </c>
      <c r="C49" s="56"/>
      <c r="D49" s="56"/>
      <c r="E49" s="56"/>
    </row>
    <row r="50" customFormat="false" ht="15" hidden="false" customHeight="false" outlineLevel="0" collapsed="false">
      <c r="A50" s="2"/>
      <c r="B50" s="2"/>
      <c r="C50" s="2"/>
      <c r="D50" s="2"/>
      <c r="E50" s="2"/>
    </row>
    <row r="51" customFormat="false" ht="15" hidden="false" customHeight="false" outlineLevel="0" collapsed="false">
      <c r="A51" s="17" t="s">
        <v>741</v>
      </c>
      <c r="B51" s="17" t="s">
        <v>742</v>
      </c>
      <c r="C51" s="2"/>
      <c r="D51" s="2"/>
      <c r="E51" s="2"/>
    </row>
    <row r="52" customFormat="false" ht="15" hidden="false" customHeight="false" outlineLevel="0" collapsed="false">
      <c r="A52" s="16"/>
      <c r="B52" s="16" t="s">
        <v>743</v>
      </c>
      <c r="C52" s="16" t="s">
        <v>744</v>
      </c>
      <c r="D52" s="16" t="s">
        <v>745</v>
      </c>
      <c r="E52" s="16" t="s">
        <v>746</v>
      </c>
    </row>
    <row r="53" customFormat="false" ht="15" hidden="false" customHeight="false" outlineLevel="0" collapsed="false">
      <c r="A53" s="2"/>
      <c r="B53" s="5" t="s">
        <v>747</v>
      </c>
      <c r="C53" s="57" t="n">
        <f aca="false">(Trajectoire!$D$43+0)/Trajectoire!$D$40</f>
        <v>2.80320887741352</v>
      </c>
      <c r="D53" s="51" t="n">
        <f aca="false">Hypothèses!$C$25*Trajectoire!$D$40-(Trajectoire!$D$43+0)</f>
        <v>1570.67466937297</v>
      </c>
      <c r="E53" s="19" t="s">
        <v>748</v>
      </c>
    </row>
    <row r="54" customFormat="false" ht="15" hidden="false" customHeight="false" outlineLevel="0" collapsed="false">
      <c r="A54" s="2"/>
      <c r="B54" s="5" t="s">
        <v>749</v>
      </c>
      <c r="C54" s="57" t="n">
        <f aca="false">(Trajectoire!$D$43+Hypothèses!$C$26*Entrées!$C$15*1000)/Trajectoire!$D$40</f>
        <v>3.06005506534074</v>
      </c>
      <c r="D54" s="51" t="n">
        <f aca="false">Hypothèses!$C$25*Trajectoire!$D$40-(Trajectoire!$D$43+Hypothèses!$C$26*Entrées!$C$15*1000)</f>
        <v>-479.325330627034</v>
      </c>
      <c r="E54" s="19" t="s">
        <v>750</v>
      </c>
    </row>
    <row r="55" customFormat="false" ht="15" hidden="false" customHeight="false" outlineLevel="0" collapsed="false">
      <c r="A55" s="2"/>
      <c r="B55" s="5" t="s">
        <v>751</v>
      </c>
      <c r="C55" s="57" t="n">
        <f aca="false">(Trajectoire!$D$43+Entrées!$C$15*1000)/Trajectoire!$D$40</f>
        <v>3.31690125326795</v>
      </c>
      <c r="D55" s="51" t="n">
        <f aca="false">Hypothèses!$C$25*Trajectoire!$D$40-(Trajectoire!$D$43+Entrées!$C$15*1000)</f>
        <v>-2529.32533062703</v>
      </c>
      <c r="E55" s="19" t="s">
        <v>752</v>
      </c>
    </row>
    <row r="56" customFormat="false" ht="15" hidden="false" customHeight="false" outlineLevel="0" collapsed="false">
      <c r="A56" s="2"/>
      <c r="B56" s="5" t="s">
        <v>753</v>
      </c>
      <c r="C56" s="57" t="n">
        <f aca="false">(Trajectoire!$D$43+Hypothèses!$C$26*Entrées!$C$15*1000+Entrées!$C$49)/Trajectoire!$D$40</f>
        <v>3.22168022749981</v>
      </c>
      <c r="D56" s="51" t="n">
        <f aca="false">Hypothèses!$C$25*Trajectoire!$D$40-(Trajectoire!$D$43+Hypothèses!$C$26*Entrées!$C$15*1000+Entrées!$C$49)</f>
        <v>-1769.32533062703</v>
      </c>
      <c r="E56" s="19" t="s">
        <v>754</v>
      </c>
    </row>
    <row r="57" customFormat="false" ht="27.75" hidden="false" customHeight="true" outlineLevel="0" collapsed="false">
      <c r="A57" s="2"/>
      <c r="B57" s="56" t="s">
        <v>755</v>
      </c>
      <c r="C57" s="56"/>
      <c r="D57" s="56"/>
      <c r="E57" s="56"/>
    </row>
  </sheetData>
  <mergeCells count="2">
    <mergeCell ref="B49:E49"/>
    <mergeCell ref="B57:E5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756</v>
      </c>
      <c r="B1" s="2"/>
      <c r="C1" s="2"/>
      <c r="D1" s="2"/>
      <c r="E1" s="2"/>
    </row>
    <row r="2" customFormat="false" ht="15" hidden="false" customHeight="false" outlineLevel="0" collapsed="false">
      <c r="A2" s="3" t="s">
        <v>757</v>
      </c>
      <c r="B2" s="2"/>
      <c r="C2" s="2"/>
      <c r="D2" s="2"/>
      <c r="E2" s="2"/>
    </row>
    <row r="3" customFormat="false" ht="15" hidden="false" customHeight="false" outlineLevel="0" collapsed="false">
      <c r="A3" s="2"/>
      <c r="B3" s="2"/>
      <c r="C3" s="2"/>
      <c r="D3" s="2"/>
      <c r="E3" s="2"/>
    </row>
    <row r="4" customFormat="false" ht="15" hidden="false" customHeight="false" outlineLevel="0" collapsed="false">
      <c r="A4" s="17" t="s">
        <v>681</v>
      </c>
      <c r="B4" s="17" t="s">
        <v>758</v>
      </c>
      <c r="C4" s="2"/>
      <c r="D4" s="2"/>
      <c r="E4" s="2"/>
    </row>
    <row r="5" customFormat="false" ht="15" hidden="false" customHeight="false" outlineLevel="0" collapsed="false">
      <c r="A5" s="16"/>
      <c r="B5" s="16" t="s">
        <v>759</v>
      </c>
      <c r="C5" s="16" t="s">
        <v>69</v>
      </c>
      <c r="D5" s="16"/>
      <c r="E5" s="16" t="s">
        <v>605</v>
      </c>
    </row>
    <row r="6" customFormat="false" ht="15" hidden="false" customHeight="false" outlineLevel="0" collapsed="false">
      <c r="A6" s="2"/>
      <c r="B6" s="5" t="s">
        <v>688</v>
      </c>
      <c r="C6" s="47" t="n">
        <f aca="false">Entrées!$C$13</f>
        <v>19657</v>
      </c>
      <c r="D6" s="19"/>
      <c r="E6" s="19" t="s">
        <v>104</v>
      </c>
    </row>
    <row r="7" customFormat="false" ht="15" hidden="false" customHeight="false" outlineLevel="0" collapsed="false">
      <c r="A7" s="2"/>
      <c r="B7" s="5" t="s">
        <v>760</v>
      </c>
      <c r="C7" s="47" t="n">
        <f aca="false">Entrées!$C$33</f>
        <v>-288</v>
      </c>
      <c r="D7" s="19"/>
      <c r="E7" s="19" t="s">
        <v>174</v>
      </c>
    </row>
    <row r="8" customFormat="false" ht="15" hidden="false" customHeight="false" outlineLevel="0" collapsed="false">
      <c r="A8" s="2"/>
      <c r="B8" s="5" t="s">
        <v>761</v>
      </c>
      <c r="C8" s="47" t="n">
        <f aca="false">Entrées!$C$77</f>
        <v>-1394</v>
      </c>
      <c r="D8" s="19"/>
      <c r="E8" s="19" t="s">
        <v>319</v>
      </c>
    </row>
    <row r="9" customFormat="false" ht="15" hidden="false" customHeight="false" outlineLevel="0" collapsed="false">
      <c r="A9" s="2"/>
      <c r="B9" s="5" t="s">
        <v>762</v>
      </c>
      <c r="C9" s="47" t="n">
        <f aca="false">Entrées!$C$80</f>
        <v>-2869</v>
      </c>
      <c r="D9" s="19"/>
      <c r="E9" s="19" t="s">
        <v>328</v>
      </c>
    </row>
    <row r="10" customFormat="false" ht="15" hidden="false" customHeight="false" outlineLevel="0" collapsed="false">
      <c r="A10" s="2"/>
      <c r="B10" s="5" t="s">
        <v>763</v>
      </c>
      <c r="C10" s="47" t="n">
        <f aca="false">Entrées!$C$84</f>
        <v>-70</v>
      </c>
      <c r="D10" s="19"/>
      <c r="E10" s="19" t="s">
        <v>340</v>
      </c>
    </row>
    <row r="11" customFormat="false" ht="15" hidden="false" customHeight="false" outlineLevel="0" collapsed="false">
      <c r="A11" s="2"/>
      <c r="B11" s="5" t="s">
        <v>764</v>
      </c>
      <c r="C11" s="47" t="n">
        <f aca="false">Entrées!$C$85</f>
        <v>10</v>
      </c>
      <c r="D11" s="19"/>
      <c r="E11" s="19" t="s">
        <v>343</v>
      </c>
    </row>
    <row r="12" customFormat="false" ht="15" hidden="false" customHeight="false" outlineLevel="0" collapsed="false">
      <c r="A12" s="2"/>
      <c r="B12" s="5" t="s">
        <v>765</v>
      </c>
      <c r="C12" s="47" t="n">
        <f aca="false">Entrées!$C$83</f>
        <v>-260</v>
      </c>
      <c r="D12" s="19"/>
      <c r="E12" s="19" t="s">
        <v>337</v>
      </c>
    </row>
    <row r="13" customFormat="false" ht="15" hidden="false" customHeight="false" outlineLevel="0" collapsed="false">
      <c r="A13" s="2"/>
      <c r="B13" s="5" t="s">
        <v>766</v>
      </c>
      <c r="C13" s="47" t="n">
        <f aca="false">Entrées!$C$86</f>
        <v>2</v>
      </c>
      <c r="D13" s="19"/>
      <c r="E13" s="19" t="s">
        <v>345</v>
      </c>
    </row>
    <row r="14" customFormat="false" ht="15" hidden="false" customHeight="false" outlineLevel="0" collapsed="false">
      <c r="A14" s="2"/>
      <c r="B14" s="17" t="s">
        <v>767</v>
      </c>
      <c r="C14" s="50" t="n">
        <f aca="false">SUM(C7:C13)</f>
        <v>-4869</v>
      </c>
      <c r="D14" s="19"/>
      <c r="E14" s="19"/>
    </row>
    <row r="15" customFormat="false" ht="15" hidden="false" customHeight="false" outlineLevel="0" collapsed="false">
      <c r="A15" s="2"/>
      <c r="B15" s="5" t="s">
        <v>768</v>
      </c>
      <c r="C15" s="47" t="n">
        <f aca="false">Entrées!$C$87</f>
        <v>-21</v>
      </c>
      <c r="D15" s="19"/>
      <c r="E15" s="19" t="s">
        <v>347</v>
      </c>
    </row>
    <row r="16" customFormat="false" ht="15" hidden="false" customHeight="false" outlineLevel="0" collapsed="false">
      <c r="A16" s="2"/>
      <c r="B16" s="17" t="s">
        <v>769</v>
      </c>
      <c r="C16" s="50" t="n">
        <f aca="false">C6-C14-C15</f>
        <v>24547</v>
      </c>
      <c r="D16" s="19"/>
      <c r="E16" s="19" t="s">
        <v>770</v>
      </c>
    </row>
    <row r="17" customFormat="false" ht="15" hidden="false" customHeight="false" outlineLevel="0" collapsed="false">
      <c r="A17" s="2"/>
      <c r="B17" s="5" t="s">
        <v>771</v>
      </c>
      <c r="C17" s="47" t="n">
        <f aca="false">Entrées!$C$16</f>
        <v>24548</v>
      </c>
      <c r="D17" s="19"/>
      <c r="E17" s="19" t="s">
        <v>117</v>
      </c>
    </row>
    <row r="18" customFormat="false" ht="15" hidden="false" customHeight="false" outlineLevel="0" collapsed="false">
      <c r="A18" s="2"/>
      <c r="B18" s="5" t="s">
        <v>772</v>
      </c>
      <c r="C18" s="47" t="n">
        <f aca="false">Entrées!$C$81</f>
        <v>-2778</v>
      </c>
      <c r="D18" s="19"/>
      <c r="E18" s="19" t="s">
        <v>331</v>
      </c>
    </row>
    <row r="19" customFormat="false" ht="15" hidden="false" customHeight="false" outlineLevel="0" collapsed="false">
      <c r="A19" s="2"/>
      <c r="B19" s="5" t="s">
        <v>773</v>
      </c>
      <c r="C19" s="47" t="n">
        <f aca="false">Entrées!$C$82</f>
        <v>-137</v>
      </c>
      <c r="D19" s="19"/>
      <c r="E19" s="19" t="s">
        <v>334</v>
      </c>
    </row>
    <row r="20" customFormat="false" ht="15" hidden="false" customHeight="false" outlineLevel="0" collapsed="false">
      <c r="A20" s="2"/>
      <c r="B20" s="17" t="s">
        <v>774</v>
      </c>
      <c r="C20" s="50" t="n">
        <f aca="false">-C18-Entrées!$C$46</f>
        <v>236</v>
      </c>
      <c r="D20" s="19"/>
      <c r="E20" s="19" t="s">
        <v>775</v>
      </c>
    </row>
    <row r="21" customFormat="false" ht="15" hidden="false" customHeight="false" outlineLevel="0" collapsed="false">
      <c r="A21" s="2"/>
      <c r="B21" s="2"/>
      <c r="C21" s="2"/>
      <c r="D21" s="2"/>
      <c r="E21" s="2"/>
    </row>
    <row r="22" customFormat="false" ht="15" hidden="false" customHeight="false" outlineLevel="0" collapsed="false">
      <c r="A22" s="17" t="s">
        <v>694</v>
      </c>
      <c r="B22" s="17" t="s">
        <v>776</v>
      </c>
      <c r="C22" s="2"/>
      <c r="D22" s="2"/>
      <c r="E22" s="2"/>
    </row>
    <row r="23" customFormat="false" ht="15" hidden="false" customHeight="false" outlineLevel="0" collapsed="false">
      <c r="A23" s="16"/>
      <c r="B23" s="16" t="s">
        <v>759</v>
      </c>
      <c r="C23" s="16" t="s">
        <v>69</v>
      </c>
      <c r="D23" s="16"/>
      <c r="E23" s="16" t="s">
        <v>605</v>
      </c>
    </row>
    <row r="24" customFormat="false" ht="15" hidden="false" customHeight="false" outlineLevel="0" collapsed="false">
      <c r="A24" s="2"/>
      <c r="B24" s="5" t="s">
        <v>683</v>
      </c>
      <c r="C24" s="47" t="n">
        <f aca="false">Entrées!$C$28</f>
        <v>17819</v>
      </c>
      <c r="D24" s="19"/>
      <c r="E24" s="19" t="s">
        <v>158</v>
      </c>
    </row>
    <row r="25" customFormat="false" ht="15" hidden="false" customHeight="false" outlineLevel="0" collapsed="false">
      <c r="A25" s="2"/>
      <c r="B25" s="5" t="s">
        <v>760</v>
      </c>
      <c r="C25" s="47" t="n">
        <f aca="false">Entrées!$C$34</f>
        <v>1178</v>
      </c>
      <c r="D25" s="19"/>
      <c r="E25" s="19" t="s">
        <v>177</v>
      </c>
    </row>
    <row r="26" customFormat="false" ht="15" hidden="false" customHeight="false" outlineLevel="0" collapsed="false">
      <c r="A26" s="2"/>
      <c r="B26" s="5" t="s">
        <v>762</v>
      </c>
      <c r="C26" s="47" t="n">
        <f aca="false">Entrées!$C$69</f>
        <v>-2301</v>
      </c>
      <c r="D26" s="19"/>
      <c r="E26" s="19" t="s">
        <v>296</v>
      </c>
    </row>
    <row r="27" customFormat="false" ht="15" hidden="false" customHeight="false" outlineLevel="0" collapsed="false">
      <c r="A27" s="2"/>
      <c r="B27" s="5" t="s">
        <v>777</v>
      </c>
      <c r="C27" s="47" t="n">
        <f aca="false">Entrées!$C$70</f>
        <v>-1023</v>
      </c>
      <c r="D27" s="19"/>
      <c r="E27" s="19" t="s">
        <v>299</v>
      </c>
    </row>
    <row r="28" customFormat="false" ht="15" hidden="false" customHeight="false" outlineLevel="0" collapsed="false">
      <c r="A28" s="2"/>
      <c r="B28" s="5" t="s">
        <v>778</v>
      </c>
      <c r="C28" s="47" t="n">
        <f aca="false">Entrées!$C$71</f>
        <v>497</v>
      </c>
      <c r="D28" s="19"/>
      <c r="E28" s="19" t="s">
        <v>302</v>
      </c>
    </row>
    <row r="29" customFormat="false" ht="15" hidden="false" customHeight="false" outlineLevel="0" collapsed="false">
      <c r="A29" s="2"/>
      <c r="B29" s="5" t="s">
        <v>779</v>
      </c>
      <c r="C29" s="47" t="n">
        <f aca="false">Entrées!$C$72</f>
        <v>318</v>
      </c>
      <c r="D29" s="19"/>
      <c r="E29" s="19" t="s">
        <v>305</v>
      </c>
    </row>
    <row r="30" customFormat="false" ht="15" hidden="false" customHeight="false" outlineLevel="0" collapsed="false">
      <c r="A30" s="2"/>
      <c r="B30" s="5" t="s">
        <v>780</v>
      </c>
      <c r="C30" s="47" t="n">
        <f aca="false">Entrées!$C$73</f>
        <v>-402</v>
      </c>
      <c r="D30" s="19"/>
      <c r="E30" s="19" t="s">
        <v>308</v>
      </c>
    </row>
    <row r="31" customFormat="false" ht="15" hidden="false" customHeight="false" outlineLevel="0" collapsed="false">
      <c r="A31" s="2"/>
      <c r="B31" s="5" t="s">
        <v>781</v>
      </c>
      <c r="C31" s="47" t="n">
        <f aca="false">Entrées!$C$74</f>
        <v>293</v>
      </c>
      <c r="D31" s="19"/>
      <c r="E31" s="19" t="s">
        <v>311</v>
      </c>
    </row>
    <row r="32" customFormat="false" ht="15" hidden="false" customHeight="false" outlineLevel="0" collapsed="false">
      <c r="A32" s="2"/>
      <c r="B32" s="17" t="s">
        <v>782</v>
      </c>
      <c r="C32" s="50" t="n">
        <f aca="false">SUM(C25:C31)</f>
        <v>-1440</v>
      </c>
      <c r="D32" s="19"/>
      <c r="E32" s="19"/>
    </row>
    <row r="33" customFormat="false" ht="15" hidden="false" customHeight="false" outlineLevel="0" collapsed="false">
      <c r="A33" s="2"/>
      <c r="B33" s="5" t="s">
        <v>783</v>
      </c>
      <c r="C33" s="51" t="n">
        <f aca="false">C24-C32</f>
        <v>19259</v>
      </c>
      <c r="D33" s="19"/>
      <c r="E33" s="19"/>
    </row>
    <row r="34" customFormat="false" ht="15" hidden="false" customHeight="false" outlineLevel="0" collapsed="false">
      <c r="A34" s="2"/>
      <c r="B34" s="5" t="s">
        <v>784</v>
      </c>
      <c r="C34" s="47" t="n">
        <f aca="false">Entrées!$C$13</f>
        <v>19657</v>
      </c>
      <c r="D34" s="19"/>
      <c r="E34" s="19" t="s">
        <v>104</v>
      </c>
    </row>
    <row r="35" customFormat="false" ht="15" hidden="false" customHeight="false" outlineLevel="0" collapsed="false">
      <c r="A35" s="2"/>
      <c r="B35" s="17" t="s">
        <v>785</v>
      </c>
      <c r="C35" s="50" t="n">
        <f aca="false">C34-C33</f>
        <v>398</v>
      </c>
      <c r="D35" s="19"/>
      <c r="E35" s="19" t="s">
        <v>786</v>
      </c>
    </row>
    <row r="36" customFormat="false" ht="15" hidden="false" customHeight="false" outlineLevel="0" collapsed="false">
      <c r="A36" s="2"/>
      <c r="B36" s="5" t="s">
        <v>787</v>
      </c>
      <c r="C36" s="51" t="n">
        <f aca="false">-Entrées!$C$78+Entrées!$C$70</f>
        <v>244</v>
      </c>
      <c r="D36" s="19"/>
      <c r="E36" s="19" t="s">
        <v>788</v>
      </c>
    </row>
    <row r="37" customFormat="false" ht="15" hidden="false" customHeight="false" outlineLevel="0" collapsed="false">
      <c r="A37" s="2"/>
      <c r="B37" s="2"/>
      <c r="C37" s="2"/>
      <c r="D37" s="2"/>
      <c r="E37" s="2"/>
    </row>
    <row r="38" customFormat="false" ht="15" hidden="false" customHeight="false" outlineLevel="0" collapsed="false">
      <c r="A38" s="17" t="s">
        <v>741</v>
      </c>
      <c r="B38" s="17" t="s">
        <v>789</v>
      </c>
      <c r="C38" s="2"/>
      <c r="D38" s="2"/>
      <c r="E38" s="2"/>
    </row>
    <row r="39" customFormat="false" ht="15" hidden="false" customHeight="false" outlineLevel="0" collapsed="false">
      <c r="A39" s="2"/>
      <c r="B39" s="5" t="s">
        <v>790</v>
      </c>
      <c r="C39" s="47" t="n">
        <f aca="false">Entrées!$C$75</f>
        <v>-451</v>
      </c>
      <c r="D39" s="19"/>
      <c r="E39" s="19" t="s">
        <v>314</v>
      </c>
    </row>
    <row r="40" customFormat="false" ht="15" hidden="false" customHeight="false" outlineLevel="0" collapsed="false">
      <c r="A40" s="2"/>
      <c r="B40" s="17" t="s">
        <v>791</v>
      </c>
      <c r="C40" s="50" t="n">
        <f aca="false">Entrées!$C$34-Entrées!$C$75</f>
        <v>1629</v>
      </c>
      <c r="D40" s="19"/>
      <c r="E40" s="19" t="s">
        <v>792</v>
      </c>
    </row>
    <row r="41" customFormat="false" ht="15" hidden="false" customHeight="false" outlineLevel="0" collapsed="false">
      <c r="A41" s="2"/>
      <c r="B41" s="5" t="s">
        <v>793</v>
      </c>
      <c r="C41" s="47" t="n">
        <f aca="false">Entrées!$C$89</f>
        <v>-1171</v>
      </c>
      <c r="D41" s="19"/>
      <c r="E41" s="19" t="s">
        <v>353</v>
      </c>
    </row>
    <row r="42" customFormat="false" ht="15" hidden="false" customHeight="false" outlineLevel="0" collapsed="false">
      <c r="A42" s="2"/>
      <c r="B42" s="5" t="s">
        <v>794</v>
      </c>
      <c r="C42" s="47" t="n">
        <f aca="false">Entrées!$C$88</f>
        <v>-1238</v>
      </c>
      <c r="D42" s="19"/>
      <c r="E42" s="19" t="s">
        <v>350</v>
      </c>
    </row>
    <row r="43" customFormat="false" ht="15" hidden="false" customHeight="false" outlineLevel="0" collapsed="false">
      <c r="A43" s="2"/>
      <c r="B43" s="5" t="s">
        <v>795</v>
      </c>
      <c r="C43" s="47" t="n">
        <f aca="false">Entrées!$C$76</f>
        <v>20764</v>
      </c>
      <c r="D43" s="19"/>
      <c r="E43" s="19" t="s">
        <v>316</v>
      </c>
    </row>
    <row r="44" customFormat="false" ht="15" hidden="false" customHeight="false" outlineLevel="0" collapsed="false">
      <c r="A44" s="2"/>
      <c r="B44" s="5" t="s">
        <v>796</v>
      </c>
      <c r="C44" s="47" t="n">
        <f aca="false">Entrées!$C$13</f>
        <v>19657</v>
      </c>
      <c r="D44" s="19"/>
      <c r="E44" s="19" t="s">
        <v>104</v>
      </c>
    </row>
    <row r="45" customFormat="false" ht="15" hidden="false" customHeight="false" outlineLevel="0" collapsed="false">
      <c r="A45" s="2"/>
      <c r="B45" s="17" t="s">
        <v>797</v>
      </c>
      <c r="C45" s="50" t="n">
        <f aca="false">C43-C44</f>
        <v>1107</v>
      </c>
      <c r="D45" s="19"/>
      <c r="E45" s="19"/>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2"/>
    <col collapsed="false" customWidth="true" hidden="false" outlineLevel="0" max="5" min="5" style="0" width="50"/>
  </cols>
  <sheetData>
    <row r="1" customFormat="false" ht="17.35" hidden="false" customHeight="false" outlineLevel="0" collapsed="false">
      <c r="A1" s="1" t="s">
        <v>798</v>
      </c>
      <c r="B1" s="2"/>
      <c r="C1" s="2"/>
      <c r="D1" s="2"/>
      <c r="E1" s="2"/>
    </row>
    <row r="2" customFormat="false" ht="15" hidden="false" customHeight="false" outlineLevel="0" collapsed="false">
      <c r="A2" s="3" t="s">
        <v>799</v>
      </c>
      <c r="B2" s="2"/>
      <c r="C2" s="2"/>
      <c r="D2" s="2"/>
      <c r="E2" s="2"/>
    </row>
    <row r="3" customFormat="false" ht="15" hidden="false" customHeight="false" outlineLevel="0" collapsed="false">
      <c r="A3" s="2"/>
      <c r="B3" s="2"/>
      <c r="C3" s="2"/>
      <c r="D3" s="2"/>
      <c r="E3" s="2"/>
    </row>
    <row r="4" customFormat="false" ht="15" hidden="false" customHeight="false" outlineLevel="0" collapsed="false">
      <c r="A4" s="17" t="s">
        <v>681</v>
      </c>
      <c r="B4" s="17" t="s">
        <v>800</v>
      </c>
      <c r="C4" s="2"/>
      <c r="D4" s="2"/>
      <c r="E4" s="2"/>
    </row>
    <row r="5" customFormat="false" ht="15" hidden="false" customHeight="false" outlineLevel="0" collapsed="false">
      <c r="A5" s="16"/>
      <c r="B5" s="16" t="s">
        <v>801</v>
      </c>
      <c r="C5" s="16" t="s">
        <v>79</v>
      </c>
      <c r="D5" s="16"/>
      <c r="E5" s="16" t="s">
        <v>605</v>
      </c>
    </row>
    <row r="6" customFormat="false" ht="15" hidden="false" customHeight="false" outlineLevel="0" collapsed="false">
      <c r="A6" s="2"/>
      <c r="B6" s="5" t="s">
        <v>802</v>
      </c>
      <c r="C6" s="58" t="n">
        <f aca="false">Entrées!$C$95</f>
        <v>1.9</v>
      </c>
      <c r="D6" s="19"/>
      <c r="E6" s="19" t="s">
        <v>370</v>
      </c>
    </row>
    <row r="7" customFormat="false" ht="15" hidden="false" customHeight="false" outlineLevel="0" collapsed="false">
      <c r="A7" s="2"/>
      <c r="B7" s="5" t="s">
        <v>803</v>
      </c>
      <c r="C7" s="58" t="n">
        <f aca="false">Entrées!$C$96</f>
        <v>1.5</v>
      </c>
      <c r="D7" s="19"/>
      <c r="E7" s="19" t="s">
        <v>373</v>
      </c>
    </row>
    <row r="8" customFormat="false" ht="15" hidden="false" customHeight="false" outlineLevel="0" collapsed="false">
      <c r="A8" s="2"/>
      <c r="B8" s="5" t="s">
        <v>804</v>
      </c>
      <c r="C8" s="59" t="n">
        <f aca="false">-Entrées!$C$97</f>
        <v>-0.3</v>
      </c>
      <c r="D8" s="19"/>
      <c r="E8" s="19" t="s">
        <v>376</v>
      </c>
    </row>
    <row r="9" customFormat="false" ht="15" hidden="false" customHeight="false" outlineLevel="0" collapsed="false">
      <c r="A9" s="2"/>
      <c r="B9" s="17" t="s">
        <v>805</v>
      </c>
      <c r="C9" s="60" t="n">
        <f aca="false">SUM(C6:C8)</f>
        <v>3.1</v>
      </c>
      <c r="D9" s="19"/>
      <c r="E9" s="19"/>
    </row>
    <row r="10" customFormat="false" ht="15" hidden="false" customHeight="false" outlineLevel="0" collapsed="false">
      <c r="A10" s="2"/>
      <c r="B10" s="5" t="s">
        <v>806</v>
      </c>
      <c r="C10" s="58" t="n">
        <f aca="false">Entrées!$C$12</f>
        <v>3.1</v>
      </c>
      <c r="D10" s="19"/>
      <c r="E10" s="19" t="s">
        <v>101</v>
      </c>
    </row>
    <row r="11" customFormat="false" ht="15" hidden="false" customHeight="false" outlineLevel="0" collapsed="false">
      <c r="A11" s="2"/>
      <c r="B11" s="2"/>
      <c r="C11" s="2"/>
      <c r="D11" s="2"/>
      <c r="E11" s="2"/>
    </row>
    <row r="12" customFormat="false" ht="15" hidden="false" customHeight="false" outlineLevel="0" collapsed="false">
      <c r="A12" s="2"/>
      <c r="B12" s="5" t="s">
        <v>807</v>
      </c>
      <c r="C12" s="58" t="n">
        <f aca="false">Entrées!$C$10</f>
        <v>0.5</v>
      </c>
      <c r="D12" s="19"/>
      <c r="E12" s="19" t="s">
        <v>94</v>
      </c>
    </row>
    <row r="13" customFormat="false" ht="15" hidden="false" customHeight="false" outlineLevel="0" collapsed="false">
      <c r="A13" s="2"/>
      <c r="B13" s="5" t="s">
        <v>808</v>
      </c>
      <c r="C13" s="58" t="n">
        <f aca="false">Entrées!$C$26</f>
        <v>1</v>
      </c>
      <c r="D13" s="19"/>
      <c r="E13" s="19" t="s">
        <v>152</v>
      </c>
    </row>
    <row r="14" customFormat="false" ht="15" hidden="false" customHeight="false" outlineLevel="0" collapsed="false">
      <c r="A14" s="2"/>
      <c r="B14" s="5" t="s">
        <v>809</v>
      </c>
      <c r="C14" s="58" t="n">
        <f aca="false">Entrées!$C$23</f>
        <v>0.5</v>
      </c>
      <c r="D14" s="19"/>
      <c r="E14" s="19" t="s">
        <v>145</v>
      </c>
    </row>
    <row r="15" customFormat="false" ht="15" hidden="false" customHeight="false" outlineLevel="0" collapsed="false">
      <c r="A15" s="2"/>
      <c r="B15" s="5" t="s">
        <v>810</v>
      </c>
      <c r="C15" s="59" t="n">
        <f aca="false">C12-C14</f>
        <v>0</v>
      </c>
      <c r="D15" s="19"/>
      <c r="E15" s="19"/>
    </row>
    <row r="16" customFormat="false" ht="15" hidden="false" customHeight="false" outlineLevel="0" collapsed="false">
      <c r="A16" s="2"/>
      <c r="B16" s="17" t="s">
        <v>811</v>
      </c>
      <c r="C16" s="60" t="n">
        <f aca="false">C13-C14</f>
        <v>0.5</v>
      </c>
      <c r="D16" s="19"/>
      <c r="E16" s="19"/>
    </row>
    <row r="17" customFormat="false" ht="15" hidden="false" customHeight="false" outlineLevel="0" collapsed="false">
      <c r="A17" s="2"/>
      <c r="B17" s="5" t="s">
        <v>812</v>
      </c>
      <c r="C17" s="58" t="n">
        <f aca="false">Entrées!$C$7</f>
        <v>0.5</v>
      </c>
      <c r="D17" s="19"/>
      <c r="E17" s="19" t="s">
        <v>77</v>
      </c>
    </row>
    <row r="18" customFormat="false" ht="42" hidden="false" customHeight="true" outlineLevel="0" collapsed="false">
      <c r="A18" s="2"/>
      <c r="B18" s="56" t="s">
        <v>813</v>
      </c>
      <c r="C18" s="56"/>
      <c r="D18" s="56"/>
      <c r="E18" s="56"/>
    </row>
    <row r="19" customFormat="false" ht="15" hidden="false" customHeight="false" outlineLevel="0" collapsed="false">
      <c r="A19" s="2"/>
      <c r="B19" s="2"/>
      <c r="C19" s="2"/>
      <c r="D19" s="2"/>
      <c r="E19" s="2"/>
    </row>
    <row r="20" customFormat="false" ht="15" hidden="false" customHeight="false" outlineLevel="0" collapsed="false">
      <c r="A20" s="17" t="s">
        <v>694</v>
      </c>
      <c r="B20" s="17" t="s">
        <v>814</v>
      </c>
      <c r="C20" s="2"/>
      <c r="D20" s="2"/>
      <c r="E20" s="2"/>
    </row>
    <row r="21" customFormat="false" ht="15" hidden="false" customHeight="false" outlineLevel="0" collapsed="false">
      <c r="A21" s="2"/>
      <c r="B21" s="5" t="s">
        <v>815</v>
      </c>
      <c r="C21" s="59" t="n">
        <f aca="false">-Entrées!$C$81/1000</f>
        <v>2.778</v>
      </c>
      <c r="D21" s="19" t="s">
        <v>96</v>
      </c>
      <c r="E21" s="19" t="s">
        <v>331</v>
      </c>
    </row>
    <row r="22" customFormat="false" ht="15" hidden="false" customHeight="false" outlineLevel="0" collapsed="false">
      <c r="A22" s="2"/>
      <c r="B22" s="5" t="s">
        <v>816</v>
      </c>
      <c r="C22" s="59" t="n">
        <f aca="false">$C$17*4</f>
        <v>2</v>
      </c>
      <c r="D22" s="19" t="s">
        <v>96</v>
      </c>
      <c r="E22" s="19" t="s">
        <v>817</v>
      </c>
    </row>
    <row r="23" customFormat="false" ht="15" hidden="false" customHeight="false" outlineLevel="0" collapsed="false">
      <c r="A23" s="2"/>
      <c r="B23" s="17" t="s">
        <v>818</v>
      </c>
      <c r="C23" s="61" t="n">
        <f aca="false">C21/$C$17</f>
        <v>5.556</v>
      </c>
      <c r="D23" s="19" t="s">
        <v>819</v>
      </c>
      <c r="E23" s="19"/>
    </row>
    <row r="24" customFormat="false" ht="15" hidden="false" customHeight="false" outlineLevel="0" collapsed="false">
      <c r="A24" s="2"/>
      <c r="B24" s="5" t="s">
        <v>820</v>
      </c>
      <c r="C24" s="58" t="n">
        <f aca="false">Entrées!$C$30</f>
        <v>2</v>
      </c>
      <c r="D24" s="19" t="s">
        <v>96</v>
      </c>
      <c r="E24" s="19" t="s">
        <v>163</v>
      </c>
    </row>
    <row r="25" customFormat="false" ht="15" hidden="false" customHeight="false" outlineLevel="0" collapsed="false">
      <c r="A25" s="2"/>
      <c r="B25" s="17" t="s">
        <v>821</v>
      </c>
      <c r="C25" s="60" t="n">
        <f aca="false">C21-C24</f>
        <v>0.778</v>
      </c>
      <c r="D25" s="19" t="s">
        <v>96</v>
      </c>
      <c r="E25" s="19"/>
    </row>
    <row r="26" customFormat="false" ht="15" hidden="false" customHeight="false" outlineLevel="0" collapsed="false">
      <c r="A26" s="2"/>
      <c r="B26" s="5" t="s">
        <v>822</v>
      </c>
      <c r="C26" s="62" t="n">
        <f aca="false">C25/$C$17</f>
        <v>1.556</v>
      </c>
      <c r="D26" s="19" t="s">
        <v>819</v>
      </c>
      <c r="E26" s="19"/>
    </row>
    <row r="27" customFormat="false" ht="15" hidden="false" customHeight="false" outlineLevel="0" collapsed="false">
      <c r="A27" s="2"/>
      <c r="B27" s="5" t="s">
        <v>823</v>
      </c>
      <c r="C27" s="58" t="n">
        <f aca="false">Entrées!$C$37</f>
        <v>8</v>
      </c>
      <c r="D27" s="19" t="s">
        <v>96</v>
      </c>
      <c r="E27" s="19" t="s">
        <v>186</v>
      </c>
    </row>
    <row r="28" customFormat="false" ht="42" hidden="false" customHeight="true" outlineLevel="0" collapsed="false">
      <c r="A28" s="2"/>
      <c r="B28" s="56" t="s">
        <v>824</v>
      </c>
      <c r="C28" s="56"/>
      <c r="D28" s="56"/>
      <c r="E28" s="56"/>
    </row>
    <row r="29" customFormat="false" ht="15" hidden="false" customHeight="false" outlineLevel="0" collapsed="false">
      <c r="A29" s="2"/>
      <c r="B29" s="2"/>
      <c r="C29" s="2"/>
      <c r="D29" s="2"/>
      <c r="E29" s="2"/>
    </row>
    <row r="30" customFormat="false" ht="15" hidden="false" customHeight="false" outlineLevel="0" collapsed="false">
      <c r="A30" s="17" t="s">
        <v>741</v>
      </c>
      <c r="B30" s="17" t="s">
        <v>825</v>
      </c>
      <c r="C30" s="2"/>
      <c r="D30" s="2"/>
      <c r="E30" s="2"/>
    </row>
    <row r="31" customFormat="false" ht="15" hidden="false" customHeight="false" outlineLevel="0" collapsed="false">
      <c r="A31" s="16"/>
      <c r="B31" s="16" t="s">
        <v>60</v>
      </c>
      <c r="C31" s="16" t="s">
        <v>826</v>
      </c>
      <c r="D31" s="16" t="s">
        <v>827</v>
      </c>
      <c r="E31" s="16" t="s">
        <v>828</v>
      </c>
    </row>
    <row r="32" customFormat="false" ht="15" hidden="false" customHeight="false" outlineLevel="0" collapsed="false">
      <c r="A32" s="2"/>
      <c r="B32" s="5" t="s">
        <v>829</v>
      </c>
      <c r="C32" s="58" t="n">
        <f aca="false">Entrées!$C$35</f>
        <v>0.1</v>
      </c>
      <c r="D32" s="59" t="n">
        <f aca="false">C32</f>
        <v>0.1</v>
      </c>
      <c r="E32" s="19" t="s">
        <v>179</v>
      </c>
    </row>
    <row r="33" customFormat="false" ht="15" hidden="false" customHeight="false" outlineLevel="0" collapsed="false">
      <c r="A33" s="2"/>
      <c r="B33" s="5" t="s">
        <v>830</v>
      </c>
      <c r="C33" s="59" t="n">
        <f aca="false">Entrées!$C$36*Hypothèses!$C$12</f>
        <v>0.25</v>
      </c>
      <c r="D33" s="59" t="n">
        <f aca="false">D32+C33</f>
        <v>0.35</v>
      </c>
      <c r="E33" s="19" t="s">
        <v>831</v>
      </c>
    </row>
    <row r="34" customFormat="false" ht="15" hidden="false" customHeight="false" outlineLevel="0" collapsed="false">
      <c r="A34" s="2"/>
      <c r="B34" s="5" t="s">
        <v>832</v>
      </c>
      <c r="C34" s="59" t="n">
        <f aca="false">Entrées!$C$36*(1-Hypothèses!$C$12)+MAX(0,Entrées!$C$30-Entrées!$C$35-Entrées!$C$36)*Hypothèses!$C$13</f>
        <v>0.95</v>
      </c>
      <c r="D34" s="59" t="n">
        <f aca="false">D33+C34</f>
        <v>1.3</v>
      </c>
      <c r="E34" s="19" t="s">
        <v>833</v>
      </c>
    </row>
    <row r="35" customFormat="false" ht="15" hidden="false" customHeight="false" outlineLevel="0" collapsed="false">
      <c r="A35" s="2"/>
      <c r="B35" s="5" t="s">
        <v>834</v>
      </c>
      <c r="C35" s="59" t="n">
        <f aca="false">MAX(0,Entrées!$C$30-D34)</f>
        <v>0.7</v>
      </c>
      <c r="D35" s="59" t="n">
        <f aca="false">D34+C35</f>
        <v>2</v>
      </c>
      <c r="E35" s="19" t="s">
        <v>835</v>
      </c>
    </row>
    <row r="36" customFormat="false" ht="15" hidden="false" customHeight="false" outlineLevel="0" collapsed="false">
      <c r="A36" s="2"/>
      <c r="B36" s="17" t="s">
        <v>836</v>
      </c>
      <c r="C36" s="50" t="n">
        <f aca="false">(C33+C34)*1000/Hypothèses!$C$14</f>
        <v>120</v>
      </c>
      <c r="D36" s="19" t="s">
        <v>69</v>
      </c>
      <c r="E36" s="19" t="s">
        <v>837</v>
      </c>
    </row>
    <row r="37" customFormat="false" ht="15" hidden="false" customHeight="false" outlineLevel="0" collapsed="false">
      <c r="A37" s="2"/>
      <c r="B37" s="2"/>
      <c r="C37" s="2"/>
      <c r="D37" s="2"/>
      <c r="E37" s="2"/>
    </row>
    <row r="38" customFormat="false" ht="15" hidden="false" customHeight="false" outlineLevel="0" collapsed="false">
      <c r="A38" s="17" t="s">
        <v>838</v>
      </c>
      <c r="B38" s="17" t="s">
        <v>839</v>
      </c>
      <c r="C38" s="2"/>
      <c r="D38" s="2"/>
      <c r="E38" s="2"/>
    </row>
    <row r="39" customFormat="false" ht="15" hidden="false" customHeight="false" outlineLevel="0" collapsed="false">
      <c r="A39" s="16"/>
      <c r="B39" s="16" t="s">
        <v>759</v>
      </c>
      <c r="C39" s="16" t="s">
        <v>96</v>
      </c>
      <c r="D39" s="16"/>
      <c r="E39" s="16" t="s">
        <v>605</v>
      </c>
    </row>
    <row r="40" customFormat="false" ht="15" hidden="false" customHeight="false" outlineLevel="0" collapsed="false">
      <c r="A40" s="2"/>
      <c r="B40" s="5" t="s">
        <v>840</v>
      </c>
      <c r="C40" s="58" t="n">
        <f aca="false">Entrées!$C$134</f>
        <v>4</v>
      </c>
      <c r="D40" s="19"/>
      <c r="E40" s="19" t="s">
        <v>481</v>
      </c>
    </row>
    <row r="41" customFormat="false" ht="15" hidden="false" customHeight="false" outlineLevel="0" collapsed="false">
      <c r="A41" s="2"/>
      <c r="B41" s="5" t="s">
        <v>841</v>
      </c>
      <c r="C41" s="58" t="n">
        <f aca="false">Entrées!$C$135</f>
        <v>2</v>
      </c>
      <c r="D41" s="19"/>
      <c r="E41" s="19" t="s">
        <v>484</v>
      </c>
    </row>
    <row r="42" customFormat="false" ht="15" hidden="false" customHeight="false" outlineLevel="0" collapsed="false">
      <c r="A42" s="2"/>
      <c r="B42" s="5" t="s">
        <v>842</v>
      </c>
      <c r="C42" s="59" t="n">
        <f aca="false">-Entrées!$C$143/1000</f>
        <v>-0.397</v>
      </c>
      <c r="D42" s="19"/>
      <c r="E42" s="19" t="s">
        <v>843</v>
      </c>
    </row>
    <row r="43" customFormat="false" ht="15" hidden="false" customHeight="false" outlineLevel="0" collapsed="false">
      <c r="A43" s="2"/>
      <c r="B43" s="5" t="s">
        <v>844</v>
      </c>
      <c r="C43" s="59" t="n">
        <f aca="false">-Entrées!$C$69/1000</f>
        <v>2.301</v>
      </c>
      <c r="D43" s="19"/>
      <c r="E43" s="19" t="s">
        <v>845</v>
      </c>
    </row>
    <row r="44" customFormat="false" ht="15" hidden="false" customHeight="false" outlineLevel="0" collapsed="false">
      <c r="A44" s="2"/>
      <c r="B44" s="5" t="s">
        <v>846</v>
      </c>
      <c r="C44" s="59" t="n">
        <f aca="false">-Entrées!$C$80/1000</f>
        <v>2.869</v>
      </c>
      <c r="D44" s="19"/>
      <c r="E44" s="19" t="s">
        <v>847</v>
      </c>
    </row>
    <row r="45" customFormat="false" ht="15" hidden="false" customHeight="false" outlineLevel="0" collapsed="false">
      <c r="A45" s="2"/>
      <c r="B45" s="17" t="s">
        <v>848</v>
      </c>
      <c r="C45" s="60" t="n">
        <f aca="false">SUM(C42:C44)</f>
        <v>4.773</v>
      </c>
      <c r="D45" s="19"/>
      <c r="E45" s="19" t="s">
        <v>849</v>
      </c>
    </row>
    <row r="46" customFormat="false" ht="15" hidden="false" customHeight="false" outlineLevel="0" collapsed="false">
      <c r="A46" s="2"/>
      <c r="B46" s="17" t="s">
        <v>850</v>
      </c>
      <c r="C46" s="60" t="n">
        <f aca="false">C45-C40</f>
        <v>0.773000000000001</v>
      </c>
      <c r="D46" s="19"/>
      <c r="E46" s="19" t="s">
        <v>851</v>
      </c>
    </row>
    <row r="47" customFormat="false" ht="15" hidden="false" customHeight="false" outlineLevel="0" collapsed="false">
      <c r="A47" s="2"/>
      <c r="B47" s="5" t="s">
        <v>852</v>
      </c>
      <c r="C47" s="58" t="n">
        <f aca="false">Entrées!$C$136</f>
        <v>4</v>
      </c>
      <c r="D47" s="19"/>
      <c r="E47" s="19" t="s">
        <v>486</v>
      </c>
    </row>
    <row r="48" customFormat="false" ht="15" hidden="false" customHeight="false" outlineLevel="0" collapsed="false">
      <c r="A48" s="2"/>
      <c r="B48" s="5" t="s">
        <v>853</v>
      </c>
      <c r="C48" s="58" t="n">
        <f aca="false">Entrées!$C$138</f>
        <v>8.5</v>
      </c>
      <c r="D48" s="19"/>
      <c r="E48" s="19" t="s">
        <v>491</v>
      </c>
    </row>
    <row r="49" customFormat="false" ht="15" hidden="false" customHeight="false" outlineLevel="0" collapsed="false">
      <c r="A49" s="2"/>
      <c r="B49" s="5" t="s">
        <v>854</v>
      </c>
      <c r="C49" s="53" t="n">
        <f aca="false">Entrées!$C$139/100</f>
        <v>0.9</v>
      </c>
      <c r="D49" s="19" t="s">
        <v>265</v>
      </c>
      <c r="E49" s="19" t="s">
        <v>495</v>
      </c>
    </row>
    <row r="50" customFormat="false" ht="15" hidden="false" customHeight="false" outlineLevel="0" collapsed="false">
      <c r="A50" s="2"/>
      <c r="B50" s="5" t="s">
        <v>855</v>
      </c>
      <c r="C50" s="53" t="n">
        <f aca="false">Entrées!$C$140/100</f>
        <v>0.8</v>
      </c>
      <c r="D50" s="19" t="s">
        <v>265</v>
      </c>
      <c r="E50" s="19" t="s">
        <v>497</v>
      </c>
    </row>
    <row r="51" customFormat="false" ht="42" hidden="false" customHeight="true" outlineLevel="0" collapsed="false">
      <c r="A51" s="2"/>
      <c r="B51" s="56" t="s">
        <v>856</v>
      </c>
      <c r="C51" s="56"/>
      <c r="D51" s="56"/>
      <c r="E51" s="56"/>
    </row>
  </sheetData>
  <mergeCells count="3">
    <mergeCell ref="B18:E18"/>
    <mergeCell ref="B28:E28"/>
    <mergeCell ref="B51:E5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B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26" min="4" style="0" width="11"/>
    <col collapsed="false" customWidth="true" hidden="false" outlineLevel="0" max="28" min="27" style="0" width="13"/>
  </cols>
  <sheetData>
    <row r="1" customFormat="false" ht="17.35" hidden="false" customHeight="false" outlineLevel="0" collapsed="false">
      <c r="A1" s="1" t="s">
        <v>857</v>
      </c>
      <c r="B1" s="2"/>
      <c r="C1" s="2"/>
      <c r="D1" s="2"/>
      <c r="E1" s="2"/>
      <c r="F1" s="2"/>
      <c r="G1" s="2"/>
      <c r="H1" s="2"/>
      <c r="I1" s="2"/>
      <c r="J1" s="2"/>
      <c r="K1" s="2"/>
      <c r="L1" s="2"/>
      <c r="M1" s="2"/>
      <c r="N1" s="2"/>
      <c r="O1" s="2"/>
      <c r="P1" s="2"/>
      <c r="Q1" s="2"/>
      <c r="R1" s="2"/>
      <c r="S1" s="2"/>
      <c r="T1" s="2"/>
      <c r="U1" s="2"/>
      <c r="V1" s="2"/>
      <c r="W1" s="2"/>
      <c r="X1" s="2"/>
      <c r="Y1" s="2"/>
      <c r="Z1" s="2"/>
      <c r="AA1" s="2"/>
      <c r="AB1" s="2"/>
    </row>
    <row r="2" customFormat="false" ht="15" hidden="false" customHeight="false" outlineLevel="0" collapsed="false">
      <c r="A2" s="3" t="s">
        <v>858</v>
      </c>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30" hidden="false" customHeight="true" outlineLevel="0" collapsed="false">
      <c r="A4" s="2"/>
      <c r="B4" s="17" t="s">
        <v>859</v>
      </c>
      <c r="C4" s="2"/>
      <c r="D4" s="63" t="s">
        <v>601</v>
      </c>
      <c r="E4" s="63" t="s">
        <v>860</v>
      </c>
      <c r="F4" s="63" t="s">
        <v>861</v>
      </c>
      <c r="G4" s="63" t="s">
        <v>862</v>
      </c>
      <c r="H4" s="63" t="s">
        <v>863</v>
      </c>
      <c r="I4" s="63" t="s">
        <v>864</v>
      </c>
      <c r="J4" s="63" t="s">
        <v>865</v>
      </c>
      <c r="K4" s="63" t="s">
        <v>866</v>
      </c>
      <c r="L4" s="63" t="s">
        <v>867</v>
      </c>
      <c r="M4" s="63" t="s">
        <v>868</v>
      </c>
      <c r="N4" s="63" t="s">
        <v>869</v>
      </c>
      <c r="O4" s="63" t="s">
        <v>870</v>
      </c>
      <c r="P4" s="63" t="s">
        <v>871</v>
      </c>
      <c r="Q4" s="63" t="s">
        <v>872</v>
      </c>
      <c r="R4" s="63" t="s">
        <v>873</v>
      </c>
      <c r="S4" s="63" t="s">
        <v>874</v>
      </c>
      <c r="T4" s="63" t="s">
        <v>875</v>
      </c>
      <c r="U4" s="63" t="s">
        <v>876</v>
      </c>
      <c r="V4" s="63" t="s">
        <v>877</v>
      </c>
      <c r="W4" s="63" t="s">
        <v>878</v>
      </c>
      <c r="X4" s="63" t="s">
        <v>879</v>
      </c>
      <c r="Y4" s="63" t="s">
        <v>880</v>
      </c>
      <c r="Z4" s="63" t="s">
        <v>881</v>
      </c>
      <c r="AA4" s="63" t="s">
        <v>882</v>
      </c>
      <c r="AB4" s="63" t="s">
        <v>883</v>
      </c>
    </row>
    <row r="5" customFormat="false" ht="15" hidden="false" customHeight="false" outlineLevel="0" collapsed="false">
      <c r="A5" s="2"/>
      <c r="B5" s="17" t="s">
        <v>884</v>
      </c>
      <c r="C5" s="2"/>
      <c r="D5" s="2"/>
      <c r="E5" s="2"/>
      <c r="F5" s="2"/>
      <c r="G5" s="2"/>
      <c r="H5" s="2"/>
      <c r="I5" s="2"/>
      <c r="J5" s="2"/>
      <c r="K5" s="2"/>
      <c r="L5" s="2"/>
      <c r="M5" s="2"/>
      <c r="N5" s="2"/>
      <c r="O5" s="2"/>
      <c r="P5" s="2"/>
      <c r="Q5" s="2"/>
      <c r="R5" s="2"/>
      <c r="S5" s="2"/>
      <c r="T5" s="2"/>
      <c r="U5" s="2"/>
      <c r="V5" s="2"/>
      <c r="W5" s="2"/>
      <c r="X5" s="2"/>
      <c r="Y5" s="2"/>
      <c r="Z5" s="2"/>
      <c r="AA5" s="2"/>
      <c r="AB5" s="2"/>
    </row>
    <row r="6" customFormat="false" ht="15" hidden="false" customHeight="false" outlineLevel="0" collapsed="false">
      <c r="A6" s="19" t="s">
        <v>606</v>
      </c>
      <c r="B6" s="5" t="s">
        <v>607</v>
      </c>
      <c r="C6" s="19" t="s">
        <v>265</v>
      </c>
      <c r="D6" s="64" t="n">
        <f aca="false">Hypothèses!$C$5</f>
        <v>0.055</v>
      </c>
      <c r="E6" s="65" t="n">
        <f aca="false">Hypothèses!$D$5</f>
        <v>0.05</v>
      </c>
      <c r="F6" s="65" t="n">
        <f aca="false">Hypothèses!$E$5</f>
        <v>0.06</v>
      </c>
      <c r="G6" s="53" t="n">
        <f aca="false">$D6</f>
        <v>0.055</v>
      </c>
      <c r="H6" s="53" t="n">
        <f aca="false">$D6</f>
        <v>0.055</v>
      </c>
      <c r="I6" s="53" t="n">
        <f aca="false">$D6</f>
        <v>0.055</v>
      </c>
      <c r="J6" s="53" t="n">
        <f aca="false">$D6</f>
        <v>0.055</v>
      </c>
      <c r="K6" s="53" t="n">
        <f aca="false">$D6</f>
        <v>0.055</v>
      </c>
      <c r="L6" s="53" t="n">
        <f aca="false">$D6</f>
        <v>0.055</v>
      </c>
      <c r="M6" s="53" t="n">
        <f aca="false">$D6</f>
        <v>0.055</v>
      </c>
      <c r="N6" s="53" t="n">
        <f aca="false">$D6</f>
        <v>0.055</v>
      </c>
      <c r="O6" s="53" t="n">
        <f aca="false">$D6</f>
        <v>0.055</v>
      </c>
      <c r="P6" s="53" t="n">
        <f aca="false">$D6</f>
        <v>0.055</v>
      </c>
      <c r="Q6" s="53" t="n">
        <f aca="false">$D6</f>
        <v>0.055</v>
      </c>
      <c r="R6" s="53" t="n">
        <f aca="false">$D6</f>
        <v>0.055</v>
      </c>
      <c r="S6" s="53" t="n">
        <f aca="false">$D6</f>
        <v>0.055</v>
      </c>
      <c r="T6" s="53" t="n">
        <f aca="false">$D6</f>
        <v>0.055</v>
      </c>
      <c r="U6" s="53" t="n">
        <f aca="false">$D6</f>
        <v>0.055</v>
      </c>
      <c r="V6" s="53" t="n">
        <f aca="false">$D6</f>
        <v>0.055</v>
      </c>
      <c r="W6" s="53" t="n">
        <f aca="false">$D6</f>
        <v>0.055</v>
      </c>
      <c r="X6" s="53" t="n">
        <f aca="false">$D6</f>
        <v>0.055</v>
      </c>
      <c r="Y6" s="53" t="n">
        <f aca="false">$D6</f>
        <v>0.055</v>
      </c>
      <c r="Z6" s="53" t="n">
        <f aca="false">$D6</f>
        <v>0.055</v>
      </c>
      <c r="AA6" s="66" t="n">
        <f aca="false">IF($E$45&lt;=$F$45,Hypothèses!$D$5,Hypothèses!$E$5)</f>
        <v>0.05</v>
      </c>
      <c r="AB6" s="66" t="n">
        <f aca="false">IF($E$45&gt;$F$45,Hypothèses!$D$5,Hypothèses!$E$5)</f>
        <v>0.06</v>
      </c>
    </row>
    <row r="7" customFormat="false" ht="15" hidden="false" customHeight="false" outlineLevel="0" collapsed="false">
      <c r="A7" s="19" t="s">
        <v>610</v>
      </c>
      <c r="B7" s="5" t="s">
        <v>611</v>
      </c>
      <c r="C7" s="19" t="s">
        <v>265</v>
      </c>
      <c r="D7" s="64" t="n">
        <f aca="false">Hypothèses!$C$6</f>
        <v>0.055</v>
      </c>
      <c r="E7" s="53" t="n">
        <f aca="false">$D7</f>
        <v>0.055</v>
      </c>
      <c r="F7" s="53" t="n">
        <f aca="false">$D7</f>
        <v>0.055</v>
      </c>
      <c r="G7" s="65" t="n">
        <f aca="false">Hypothèses!$D$6</f>
        <v>0.04</v>
      </c>
      <c r="H7" s="65" t="n">
        <f aca="false">Hypothèses!$E$6</f>
        <v>0.07</v>
      </c>
      <c r="I7" s="53" t="n">
        <f aca="false">$D7</f>
        <v>0.055</v>
      </c>
      <c r="J7" s="53" t="n">
        <f aca="false">$D7</f>
        <v>0.055</v>
      </c>
      <c r="K7" s="53" t="n">
        <f aca="false">$D7</f>
        <v>0.055</v>
      </c>
      <c r="L7" s="53" t="n">
        <f aca="false">$D7</f>
        <v>0.055</v>
      </c>
      <c r="M7" s="53" t="n">
        <f aca="false">$D7</f>
        <v>0.055</v>
      </c>
      <c r="N7" s="53" t="n">
        <f aca="false">$D7</f>
        <v>0.055</v>
      </c>
      <c r="O7" s="53" t="n">
        <f aca="false">$D7</f>
        <v>0.055</v>
      </c>
      <c r="P7" s="53" t="n">
        <f aca="false">$D7</f>
        <v>0.055</v>
      </c>
      <c r="Q7" s="53" t="n">
        <f aca="false">$D7</f>
        <v>0.055</v>
      </c>
      <c r="R7" s="53" t="n">
        <f aca="false">$D7</f>
        <v>0.055</v>
      </c>
      <c r="S7" s="53" t="n">
        <f aca="false">$D7</f>
        <v>0.055</v>
      </c>
      <c r="T7" s="53" t="n">
        <f aca="false">$D7</f>
        <v>0.055</v>
      </c>
      <c r="U7" s="53" t="n">
        <f aca="false">$D7</f>
        <v>0.055</v>
      </c>
      <c r="V7" s="53" t="n">
        <f aca="false">$D7</f>
        <v>0.055</v>
      </c>
      <c r="W7" s="53" t="n">
        <f aca="false">$D7</f>
        <v>0.055</v>
      </c>
      <c r="X7" s="53" t="n">
        <f aca="false">$D7</f>
        <v>0.055</v>
      </c>
      <c r="Y7" s="53" t="n">
        <f aca="false">$D7</f>
        <v>0.055</v>
      </c>
      <c r="Z7" s="53" t="n">
        <f aca="false">$D7</f>
        <v>0.055</v>
      </c>
      <c r="AA7" s="66" t="n">
        <f aca="false">IF($G$45&lt;=$H$45,Hypothèses!$D$6,Hypothèses!$E$6)</f>
        <v>0.04</v>
      </c>
      <c r="AB7" s="66" t="n">
        <f aca="false">IF($G$45&gt;$H$45,Hypothèses!$D$6,Hypothèses!$E$6)</f>
        <v>0.07</v>
      </c>
    </row>
    <row r="8" customFormat="false" ht="15" hidden="false" customHeight="false" outlineLevel="0" collapsed="false">
      <c r="A8" s="19" t="s">
        <v>614</v>
      </c>
      <c r="B8" s="5" t="s">
        <v>615</v>
      </c>
      <c r="C8" s="19" t="s">
        <v>215</v>
      </c>
      <c r="D8" s="47" t="n">
        <f aca="false">Hypothèses!$C$7</f>
        <v>200</v>
      </c>
      <c r="E8" s="51" t="n">
        <f aca="false">$D8</f>
        <v>200</v>
      </c>
      <c r="F8" s="51" t="n">
        <f aca="false">$D8</f>
        <v>200</v>
      </c>
      <c r="G8" s="51" t="n">
        <f aca="false">$D8</f>
        <v>200</v>
      </c>
      <c r="H8" s="51" t="n">
        <f aca="false">$D8</f>
        <v>200</v>
      </c>
      <c r="I8" s="67" t="n">
        <f aca="false">Hypothèses!$D$7</f>
        <v>180</v>
      </c>
      <c r="J8" s="67" t="n">
        <f aca="false">Hypothèses!$E$7</f>
        <v>220</v>
      </c>
      <c r="K8" s="51" t="n">
        <f aca="false">$D8</f>
        <v>200</v>
      </c>
      <c r="L8" s="51" t="n">
        <f aca="false">$D8</f>
        <v>200</v>
      </c>
      <c r="M8" s="51" t="n">
        <f aca="false">$D8</f>
        <v>200</v>
      </c>
      <c r="N8" s="51" t="n">
        <f aca="false">$D8</f>
        <v>200</v>
      </c>
      <c r="O8" s="51" t="n">
        <f aca="false">$D8</f>
        <v>200</v>
      </c>
      <c r="P8" s="51" t="n">
        <f aca="false">$D8</f>
        <v>200</v>
      </c>
      <c r="Q8" s="51" t="n">
        <f aca="false">$D8</f>
        <v>200</v>
      </c>
      <c r="R8" s="51" t="n">
        <f aca="false">$D8</f>
        <v>200</v>
      </c>
      <c r="S8" s="51" t="n">
        <f aca="false">$D8</f>
        <v>200</v>
      </c>
      <c r="T8" s="51" t="n">
        <f aca="false">$D8</f>
        <v>200</v>
      </c>
      <c r="U8" s="51" t="n">
        <f aca="false">$D8</f>
        <v>200</v>
      </c>
      <c r="V8" s="51" t="n">
        <f aca="false">$D8</f>
        <v>200</v>
      </c>
      <c r="W8" s="51" t="n">
        <f aca="false">$D8</f>
        <v>200</v>
      </c>
      <c r="X8" s="51" t="n">
        <f aca="false">$D8</f>
        <v>200</v>
      </c>
      <c r="Y8" s="51" t="n">
        <f aca="false">$D8</f>
        <v>200</v>
      </c>
      <c r="Z8" s="51" t="n">
        <f aca="false">$D8</f>
        <v>200</v>
      </c>
      <c r="AA8" s="68" t="n">
        <f aca="false">IF($I$45&lt;=$J$45,Hypothèses!$D$7,Hypothèses!$E$7)</f>
        <v>180</v>
      </c>
      <c r="AB8" s="68" t="n">
        <f aca="false">IF($I$45&gt;$J$45,Hypothèses!$D$7,Hypothèses!$E$7)</f>
        <v>220</v>
      </c>
    </row>
    <row r="9" customFormat="false" ht="15" hidden="false" customHeight="false" outlineLevel="0" collapsed="false">
      <c r="A9" s="19" t="s">
        <v>617</v>
      </c>
      <c r="B9" s="5" t="s">
        <v>618</v>
      </c>
      <c r="C9" s="19" t="s">
        <v>265</v>
      </c>
      <c r="D9" s="64" t="n">
        <f aca="false">Hypothèses!$C$8</f>
        <v>0.25</v>
      </c>
      <c r="E9" s="53" t="n">
        <f aca="false">$D9</f>
        <v>0.25</v>
      </c>
      <c r="F9" s="53" t="n">
        <f aca="false">$D9</f>
        <v>0.25</v>
      </c>
      <c r="G9" s="53" t="n">
        <f aca="false">$D9</f>
        <v>0.25</v>
      </c>
      <c r="H9" s="53" t="n">
        <f aca="false">$D9</f>
        <v>0.25</v>
      </c>
      <c r="I9" s="53" t="n">
        <f aca="false">$D9</f>
        <v>0.25</v>
      </c>
      <c r="J9" s="53" t="n">
        <f aca="false">$D9</f>
        <v>0.25</v>
      </c>
      <c r="K9" s="65" t="n">
        <f aca="false">Hypothèses!$D$8</f>
        <v>0</v>
      </c>
      <c r="L9" s="65" t="n">
        <f aca="false">Hypothèses!$E$8</f>
        <v>0.5</v>
      </c>
      <c r="M9" s="53" t="n">
        <f aca="false">$D9</f>
        <v>0.25</v>
      </c>
      <c r="N9" s="53" t="n">
        <f aca="false">$D9</f>
        <v>0.25</v>
      </c>
      <c r="O9" s="53" t="n">
        <f aca="false">$D9</f>
        <v>0.25</v>
      </c>
      <c r="P9" s="53" t="n">
        <f aca="false">$D9</f>
        <v>0.25</v>
      </c>
      <c r="Q9" s="53" t="n">
        <f aca="false">$D9</f>
        <v>0.25</v>
      </c>
      <c r="R9" s="53" t="n">
        <f aca="false">$D9</f>
        <v>0.25</v>
      </c>
      <c r="S9" s="53" t="n">
        <f aca="false">$D9</f>
        <v>0.25</v>
      </c>
      <c r="T9" s="53" t="n">
        <f aca="false">$D9</f>
        <v>0.25</v>
      </c>
      <c r="U9" s="53" t="n">
        <f aca="false">$D9</f>
        <v>0.25</v>
      </c>
      <c r="V9" s="53" t="n">
        <f aca="false">$D9</f>
        <v>0.25</v>
      </c>
      <c r="W9" s="53" t="n">
        <f aca="false">$D9</f>
        <v>0.25</v>
      </c>
      <c r="X9" s="53" t="n">
        <f aca="false">$D9</f>
        <v>0.25</v>
      </c>
      <c r="Y9" s="53" t="n">
        <f aca="false">$D9</f>
        <v>0.25</v>
      </c>
      <c r="Z9" s="53" t="n">
        <f aca="false">$D9</f>
        <v>0.25</v>
      </c>
      <c r="AA9" s="66" t="n">
        <f aca="false">IF($K$45&lt;=$L$45,Hypothèses!$D$8,Hypothèses!$E$8)</f>
        <v>0</v>
      </c>
      <c r="AB9" s="66" t="n">
        <f aca="false">IF($K$45&gt;$L$45,Hypothèses!$D$8,Hypothèses!$E$8)</f>
        <v>0.5</v>
      </c>
    </row>
    <row r="10" customFormat="false" ht="15" hidden="false" customHeight="false" outlineLevel="0" collapsed="false">
      <c r="A10" s="19" t="s">
        <v>620</v>
      </c>
      <c r="B10" s="5" t="s">
        <v>621</v>
      </c>
      <c r="C10" s="19" t="s">
        <v>69</v>
      </c>
      <c r="D10" s="47" t="n">
        <f aca="false">Hypothèses!$C$9</f>
        <v>1629</v>
      </c>
      <c r="E10" s="51" t="n">
        <f aca="false">$D10</f>
        <v>1629</v>
      </c>
      <c r="F10" s="51" t="n">
        <f aca="false">$D10</f>
        <v>1629</v>
      </c>
      <c r="G10" s="51" t="n">
        <f aca="false">$D10</f>
        <v>1629</v>
      </c>
      <c r="H10" s="51" t="n">
        <f aca="false">$D10</f>
        <v>1629</v>
      </c>
      <c r="I10" s="51" t="n">
        <f aca="false">$D10</f>
        <v>1629</v>
      </c>
      <c r="J10" s="51" t="n">
        <f aca="false">$D10</f>
        <v>1629</v>
      </c>
      <c r="K10" s="51" t="n">
        <f aca="false">$D10</f>
        <v>1629</v>
      </c>
      <c r="L10" s="51" t="n">
        <f aca="false">$D10</f>
        <v>1629</v>
      </c>
      <c r="M10" s="67" t="n">
        <f aca="false">Hypothèses!$D$9</f>
        <v>1303.2</v>
      </c>
      <c r="N10" s="67" t="n">
        <f aca="false">Hypothèses!$E$9</f>
        <v>1791.9</v>
      </c>
      <c r="O10" s="51" t="n">
        <f aca="false">$D10</f>
        <v>1629</v>
      </c>
      <c r="P10" s="51" t="n">
        <f aca="false">$D10</f>
        <v>1629</v>
      </c>
      <c r="Q10" s="51" t="n">
        <f aca="false">$D10</f>
        <v>1629</v>
      </c>
      <c r="R10" s="51" t="n">
        <f aca="false">$D10</f>
        <v>1629</v>
      </c>
      <c r="S10" s="51" t="n">
        <f aca="false">$D10</f>
        <v>1629</v>
      </c>
      <c r="T10" s="51" t="n">
        <f aca="false">$D10</f>
        <v>1629</v>
      </c>
      <c r="U10" s="51" t="n">
        <f aca="false">$D10</f>
        <v>1629</v>
      </c>
      <c r="V10" s="51" t="n">
        <f aca="false">$D10</f>
        <v>1629</v>
      </c>
      <c r="W10" s="51" t="n">
        <f aca="false">$D10</f>
        <v>1629</v>
      </c>
      <c r="X10" s="51" t="n">
        <f aca="false">$D10</f>
        <v>1629</v>
      </c>
      <c r="Y10" s="51" t="n">
        <f aca="false">$D10</f>
        <v>1629</v>
      </c>
      <c r="Z10" s="51" t="n">
        <f aca="false">$D10</f>
        <v>1629</v>
      </c>
      <c r="AA10" s="68" t="n">
        <f aca="false">IF($M$45&lt;=$N$45,Hypothèses!$D$9,Hypothèses!$E$9)</f>
        <v>1303.2</v>
      </c>
      <c r="AB10" s="68" t="n">
        <f aca="false">IF($M$45&gt;$N$45,Hypothèses!$D$9,Hypothèses!$E$9)</f>
        <v>1791.9</v>
      </c>
    </row>
    <row r="11" customFormat="false" ht="15" hidden="false" customHeight="false" outlineLevel="0" collapsed="false">
      <c r="A11" s="19" t="s">
        <v>624</v>
      </c>
      <c r="B11" s="5" t="s">
        <v>625</v>
      </c>
      <c r="C11" s="19" t="s">
        <v>265</v>
      </c>
      <c r="D11" s="64" t="n">
        <f aca="false">Hypothèses!$C$10</f>
        <v>0.168696364464616</v>
      </c>
      <c r="E11" s="53" t="n">
        <f aca="false">$D11</f>
        <v>0.168696364464616</v>
      </c>
      <c r="F11" s="53" t="n">
        <f aca="false">$D11</f>
        <v>0.168696364464616</v>
      </c>
      <c r="G11" s="53" t="n">
        <f aca="false">$D11</f>
        <v>0.168696364464616</v>
      </c>
      <c r="H11" s="53" t="n">
        <f aca="false">$D11</f>
        <v>0.168696364464616</v>
      </c>
      <c r="I11" s="53" t="n">
        <f aca="false">$D11</f>
        <v>0.168696364464616</v>
      </c>
      <c r="J11" s="53" t="n">
        <f aca="false">$D11</f>
        <v>0.168696364464616</v>
      </c>
      <c r="K11" s="53" t="n">
        <f aca="false">$D11</f>
        <v>0.168696364464616</v>
      </c>
      <c r="L11" s="53" t="n">
        <f aca="false">$D11</f>
        <v>0.168696364464616</v>
      </c>
      <c r="M11" s="53" t="n">
        <f aca="false">$D11</f>
        <v>0.168696364464616</v>
      </c>
      <c r="N11" s="53" t="n">
        <f aca="false">$D11</f>
        <v>0.168696364464616</v>
      </c>
      <c r="O11" s="65" t="n">
        <f aca="false">Hypothèses!$D$10</f>
        <v>0.14</v>
      </c>
      <c r="P11" s="65" t="n">
        <f aca="false">Hypothèses!$E$10</f>
        <v>0.19</v>
      </c>
      <c r="Q11" s="53" t="n">
        <f aca="false">$D11</f>
        <v>0.168696364464616</v>
      </c>
      <c r="R11" s="53" t="n">
        <f aca="false">$D11</f>
        <v>0.168696364464616</v>
      </c>
      <c r="S11" s="53" t="n">
        <f aca="false">$D11</f>
        <v>0.168696364464616</v>
      </c>
      <c r="T11" s="53" t="n">
        <f aca="false">$D11</f>
        <v>0.168696364464616</v>
      </c>
      <c r="U11" s="53" t="n">
        <f aca="false">$D11</f>
        <v>0.168696364464616</v>
      </c>
      <c r="V11" s="53" t="n">
        <f aca="false">$D11</f>
        <v>0.168696364464616</v>
      </c>
      <c r="W11" s="53" t="n">
        <f aca="false">$D11</f>
        <v>0.168696364464616</v>
      </c>
      <c r="X11" s="53" t="n">
        <f aca="false">$D11</f>
        <v>0.168696364464616</v>
      </c>
      <c r="Y11" s="53" t="n">
        <f aca="false">$D11</f>
        <v>0.168696364464616</v>
      </c>
      <c r="Z11" s="53" t="n">
        <f aca="false">$D11</f>
        <v>0.168696364464616</v>
      </c>
      <c r="AA11" s="66" t="n">
        <f aca="false">IF($O$45&lt;=$P$45,Hypothèses!$D$10,Hypothèses!$E$10)</f>
        <v>0.14</v>
      </c>
      <c r="AB11" s="66" t="n">
        <f aca="false">IF($O$45&gt;$P$45,Hypothèses!$D$10,Hypothèses!$E$10)</f>
        <v>0.19</v>
      </c>
    </row>
    <row r="12" customFormat="false" ht="15" hidden="false" customHeight="false" outlineLevel="0" collapsed="false">
      <c r="A12" s="19" t="s">
        <v>628</v>
      </c>
      <c r="B12" s="5" t="s">
        <v>629</v>
      </c>
      <c r="C12" s="19" t="s">
        <v>265</v>
      </c>
      <c r="D12" s="64" t="n">
        <f aca="false">Hypothèses!$C$11</f>
        <v>0.08</v>
      </c>
      <c r="E12" s="53" t="n">
        <f aca="false">$D12</f>
        <v>0.08</v>
      </c>
      <c r="F12" s="53" t="n">
        <f aca="false">$D12</f>
        <v>0.08</v>
      </c>
      <c r="G12" s="53" t="n">
        <f aca="false">$D12</f>
        <v>0.08</v>
      </c>
      <c r="H12" s="53" t="n">
        <f aca="false">$D12</f>
        <v>0.08</v>
      </c>
      <c r="I12" s="53" t="n">
        <f aca="false">$D12</f>
        <v>0.08</v>
      </c>
      <c r="J12" s="53" t="n">
        <f aca="false">$D12</f>
        <v>0.08</v>
      </c>
      <c r="K12" s="53" t="n">
        <f aca="false">$D12</f>
        <v>0.08</v>
      </c>
      <c r="L12" s="53" t="n">
        <f aca="false">$D12</f>
        <v>0.08</v>
      </c>
      <c r="M12" s="53" t="n">
        <f aca="false">$D12</f>
        <v>0.08</v>
      </c>
      <c r="N12" s="53" t="n">
        <f aca="false">$D12</f>
        <v>0.08</v>
      </c>
      <c r="O12" s="53" t="n">
        <f aca="false">$D12</f>
        <v>0.08</v>
      </c>
      <c r="P12" s="53" t="n">
        <f aca="false">$D12</f>
        <v>0.08</v>
      </c>
      <c r="Q12" s="65" t="n">
        <f aca="false">Hypothèses!$D$11</f>
        <v>0.04</v>
      </c>
      <c r="R12" s="65" t="n">
        <f aca="false">Hypothèses!$E$11</f>
        <v>0.12</v>
      </c>
      <c r="S12" s="53" t="n">
        <f aca="false">$D12</f>
        <v>0.08</v>
      </c>
      <c r="T12" s="53" t="n">
        <f aca="false">$D12</f>
        <v>0.08</v>
      </c>
      <c r="U12" s="53" t="n">
        <f aca="false">$D12</f>
        <v>0.08</v>
      </c>
      <c r="V12" s="53" t="n">
        <f aca="false">$D12</f>
        <v>0.08</v>
      </c>
      <c r="W12" s="53" t="n">
        <f aca="false">$D12</f>
        <v>0.08</v>
      </c>
      <c r="X12" s="53" t="n">
        <f aca="false">$D12</f>
        <v>0.08</v>
      </c>
      <c r="Y12" s="53" t="n">
        <f aca="false">$D12</f>
        <v>0.08</v>
      </c>
      <c r="Z12" s="53" t="n">
        <f aca="false">$D12</f>
        <v>0.08</v>
      </c>
      <c r="AA12" s="66" t="n">
        <f aca="false">IF($Q$45&lt;=$R$45,Hypothèses!$D$11,Hypothèses!$E$11)</f>
        <v>0.12</v>
      </c>
      <c r="AB12" s="66" t="n">
        <f aca="false">IF($Q$45&gt;$R$45,Hypothèses!$D$11,Hypothèses!$E$11)</f>
        <v>0.04</v>
      </c>
    </row>
    <row r="13" customFormat="false" ht="15" hidden="false" customHeight="false" outlineLevel="0" collapsed="false">
      <c r="A13" s="19" t="s">
        <v>631</v>
      </c>
      <c r="B13" s="5" t="s">
        <v>632</v>
      </c>
      <c r="C13" s="19" t="s">
        <v>265</v>
      </c>
      <c r="D13" s="64" t="n">
        <f aca="false">Hypothèses!$C$12</f>
        <v>0.5</v>
      </c>
      <c r="E13" s="53" t="n">
        <f aca="false">$D13</f>
        <v>0.5</v>
      </c>
      <c r="F13" s="53" t="n">
        <f aca="false">$D13</f>
        <v>0.5</v>
      </c>
      <c r="G13" s="53" t="n">
        <f aca="false">$D13</f>
        <v>0.5</v>
      </c>
      <c r="H13" s="53" t="n">
        <f aca="false">$D13</f>
        <v>0.5</v>
      </c>
      <c r="I13" s="53" t="n">
        <f aca="false">$D13</f>
        <v>0.5</v>
      </c>
      <c r="J13" s="53" t="n">
        <f aca="false">$D13</f>
        <v>0.5</v>
      </c>
      <c r="K13" s="53" t="n">
        <f aca="false">$D13</f>
        <v>0.5</v>
      </c>
      <c r="L13" s="53" t="n">
        <f aca="false">$D13</f>
        <v>0.5</v>
      </c>
      <c r="M13" s="53" t="n">
        <f aca="false">$D13</f>
        <v>0.5</v>
      </c>
      <c r="N13" s="53" t="n">
        <f aca="false">$D13</f>
        <v>0.5</v>
      </c>
      <c r="O13" s="53" t="n">
        <f aca="false">$D13</f>
        <v>0.5</v>
      </c>
      <c r="P13" s="53" t="n">
        <f aca="false">$D13</f>
        <v>0.5</v>
      </c>
      <c r="Q13" s="53" t="n">
        <f aca="false">$D13</f>
        <v>0.5</v>
      </c>
      <c r="R13" s="53" t="n">
        <f aca="false">$D13</f>
        <v>0.5</v>
      </c>
      <c r="S13" s="65" t="n">
        <f aca="false">Hypothèses!$D$12</f>
        <v>0</v>
      </c>
      <c r="T13" s="65" t="n">
        <f aca="false">Hypothèses!$E$12</f>
        <v>1</v>
      </c>
      <c r="U13" s="53" t="n">
        <f aca="false">$D13</f>
        <v>0.5</v>
      </c>
      <c r="V13" s="53" t="n">
        <f aca="false">$D13</f>
        <v>0.5</v>
      </c>
      <c r="W13" s="53" t="n">
        <f aca="false">$D13</f>
        <v>0.5</v>
      </c>
      <c r="X13" s="53" t="n">
        <f aca="false">$D13</f>
        <v>0.5</v>
      </c>
      <c r="Y13" s="53" t="n">
        <f aca="false">$D13</f>
        <v>0.5</v>
      </c>
      <c r="Z13" s="53" t="n">
        <f aca="false">$D13</f>
        <v>0.5</v>
      </c>
      <c r="AA13" s="66" t="n">
        <f aca="false">IF($S$45&lt;=$T$45,Hypothèses!$D$12,Hypothèses!$E$12)</f>
        <v>1</v>
      </c>
      <c r="AB13" s="66" t="n">
        <f aca="false">IF($S$45&gt;$T$45,Hypothèses!$D$12,Hypothèses!$E$12)</f>
        <v>0</v>
      </c>
    </row>
    <row r="14" customFormat="false" ht="15" hidden="false" customHeight="false" outlineLevel="0" collapsed="false">
      <c r="A14" s="19" t="s">
        <v>634</v>
      </c>
      <c r="B14" s="5" t="s">
        <v>635</v>
      </c>
      <c r="C14" s="19" t="s">
        <v>265</v>
      </c>
      <c r="D14" s="64" t="n">
        <f aca="false">Hypothèses!$C$13</f>
        <v>0.5</v>
      </c>
      <c r="E14" s="53" t="n">
        <f aca="false">$D14</f>
        <v>0.5</v>
      </c>
      <c r="F14" s="53" t="n">
        <f aca="false">$D14</f>
        <v>0.5</v>
      </c>
      <c r="G14" s="53" t="n">
        <f aca="false">$D14</f>
        <v>0.5</v>
      </c>
      <c r="H14" s="53" t="n">
        <f aca="false">$D14</f>
        <v>0.5</v>
      </c>
      <c r="I14" s="53" t="n">
        <f aca="false">$D14</f>
        <v>0.5</v>
      </c>
      <c r="J14" s="53" t="n">
        <f aca="false">$D14</f>
        <v>0.5</v>
      </c>
      <c r="K14" s="53" t="n">
        <f aca="false">$D14</f>
        <v>0.5</v>
      </c>
      <c r="L14" s="53" t="n">
        <f aca="false">$D14</f>
        <v>0.5</v>
      </c>
      <c r="M14" s="53" t="n">
        <f aca="false">$D14</f>
        <v>0.5</v>
      </c>
      <c r="N14" s="53" t="n">
        <f aca="false">$D14</f>
        <v>0.5</v>
      </c>
      <c r="O14" s="53" t="n">
        <f aca="false">$D14</f>
        <v>0.5</v>
      </c>
      <c r="P14" s="53" t="n">
        <f aca="false">$D14</f>
        <v>0.5</v>
      </c>
      <c r="Q14" s="53" t="n">
        <f aca="false">$D14</f>
        <v>0.5</v>
      </c>
      <c r="R14" s="53" t="n">
        <f aca="false">$D14</f>
        <v>0.5</v>
      </c>
      <c r="S14" s="53" t="n">
        <f aca="false">$D14</f>
        <v>0.5</v>
      </c>
      <c r="T14" s="53" t="n">
        <f aca="false">$D14</f>
        <v>0.5</v>
      </c>
      <c r="U14" s="65" t="n">
        <f aca="false">Hypothèses!$D$13</f>
        <v>0</v>
      </c>
      <c r="V14" s="65" t="n">
        <f aca="false">Hypothèses!$E$13</f>
        <v>1</v>
      </c>
      <c r="W14" s="53" t="n">
        <f aca="false">$D14</f>
        <v>0.5</v>
      </c>
      <c r="X14" s="53" t="n">
        <f aca="false">$D14</f>
        <v>0.5</v>
      </c>
      <c r="Y14" s="53" t="n">
        <f aca="false">$D14</f>
        <v>0.5</v>
      </c>
      <c r="Z14" s="53" t="n">
        <f aca="false">$D14</f>
        <v>0.5</v>
      </c>
      <c r="AA14" s="66" t="n">
        <f aca="false">IF($U$45&lt;=$V$45,Hypothèses!$D$13,Hypothèses!$E$13)</f>
        <v>0</v>
      </c>
      <c r="AB14" s="66" t="n">
        <f aca="false">IF($U$45&gt;$V$45,Hypothèses!$D$13,Hypothèses!$E$13)</f>
        <v>1</v>
      </c>
    </row>
    <row r="15" customFormat="false" ht="15" hidden="false" customHeight="false" outlineLevel="0" collapsed="false">
      <c r="A15" s="19" t="s">
        <v>637</v>
      </c>
      <c r="B15" s="5" t="s">
        <v>638</v>
      </c>
      <c r="C15" s="19" t="s">
        <v>99</v>
      </c>
      <c r="D15" s="69" t="n">
        <f aca="false">Hypothèses!$C$14</f>
        <v>10</v>
      </c>
      <c r="E15" s="70" t="n">
        <f aca="false">$D15</f>
        <v>10</v>
      </c>
      <c r="F15" s="70" t="n">
        <f aca="false">$D15</f>
        <v>10</v>
      </c>
      <c r="G15" s="70" t="n">
        <f aca="false">$D15</f>
        <v>10</v>
      </c>
      <c r="H15" s="70" t="n">
        <f aca="false">$D15</f>
        <v>10</v>
      </c>
      <c r="I15" s="70" t="n">
        <f aca="false">$D15</f>
        <v>10</v>
      </c>
      <c r="J15" s="70" t="n">
        <f aca="false">$D15</f>
        <v>10</v>
      </c>
      <c r="K15" s="70" t="n">
        <f aca="false">$D15</f>
        <v>10</v>
      </c>
      <c r="L15" s="70" t="n">
        <f aca="false">$D15</f>
        <v>10</v>
      </c>
      <c r="M15" s="70" t="n">
        <f aca="false">$D15</f>
        <v>10</v>
      </c>
      <c r="N15" s="70" t="n">
        <f aca="false">$D15</f>
        <v>10</v>
      </c>
      <c r="O15" s="70" t="n">
        <f aca="false">$D15</f>
        <v>10</v>
      </c>
      <c r="P15" s="70" t="n">
        <f aca="false">$D15</f>
        <v>10</v>
      </c>
      <c r="Q15" s="70" t="n">
        <f aca="false">$D15</f>
        <v>10</v>
      </c>
      <c r="R15" s="70" t="n">
        <f aca="false">$D15</f>
        <v>10</v>
      </c>
      <c r="S15" s="70" t="n">
        <f aca="false">$D15</f>
        <v>10</v>
      </c>
      <c r="T15" s="70" t="n">
        <f aca="false">$D15</f>
        <v>10</v>
      </c>
      <c r="U15" s="70" t="n">
        <f aca="false">$D15</f>
        <v>10</v>
      </c>
      <c r="V15" s="70" t="n">
        <f aca="false">$D15</f>
        <v>10</v>
      </c>
      <c r="W15" s="71" t="n">
        <f aca="false">Hypothèses!$D$14</f>
        <v>8</v>
      </c>
      <c r="X15" s="71" t="n">
        <f aca="false">Hypothèses!$E$14</f>
        <v>12</v>
      </c>
      <c r="Y15" s="70" t="n">
        <f aca="false">$D15</f>
        <v>10</v>
      </c>
      <c r="Z15" s="70" t="n">
        <f aca="false">$D15</f>
        <v>10</v>
      </c>
      <c r="AA15" s="72" t="n">
        <f aca="false">IF($W$45&lt;=$X$45,Hypothèses!$D$14,Hypothèses!$E$14)</f>
        <v>8</v>
      </c>
      <c r="AB15" s="72" t="n">
        <f aca="false">IF($W$45&gt;$X$45,Hypothèses!$D$14,Hypothèses!$E$14)</f>
        <v>12</v>
      </c>
    </row>
    <row r="16" customFormat="false" ht="15" hidden="false" customHeight="false" outlineLevel="0" collapsed="false">
      <c r="A16" s="19" t="s">
        <v>640</v>
      </c>
      <c r="B16" s="5" t="s">
        <v>641</v>
      </c>
      <c r="C16" s="19" t="s">
        <v>96</v>
      </c>
      <c r="D16" s="58" t="n">
        <f aca="false">Hypothèses!$C$15</f>
        <v>0.5</v>
      </c>
      <c r="E16" s="59" t="n">
        <f aca="false">$D16</f>
        <v>0.5</v>
      </c>
      <c r="F16" s="59" t="n">
        <f aca="false">$D16</f>
        <v>0.5</v>
      </c>
      <c r="G16" s="59" t="n">
        <f aca="false">$D16</f>
        <v>0.5</v>
      </c>
      <c r="H16" s="59" t="n">
        <f aca="false">$D16</f>
        <v>0.5</v>
      </c>
      <c r="I16" s="59" t="n">
        <f aca="false">$D16</f>
        <v>0.5</v>
      </c>
      <c r="J16" s="59" t="n">
        <f aca="false">$D16</f>
        <v>0.5</v>
      </c>
      <c r="K16" s="59" t="n">
        <f aca="false">$D16</f>
        <v>0.5</v>
      </c>
      <c r="L16" s="59" t="n">
        <f aca="false">$D16</f>
        <v>0.5</v>
      </c>
      <c r="M16" s="59" t="n">
        <f aca="false">$D16</f>
        <v>0.5</v>
      </c>
      <c r="N16" s="59" t="n">
        <f aca="false">$D16</f>
        <v>0.5</v>
      </c>
      <c r="O16" s="59" t="n">
        <f aca="false">$D16</f>
        <v>0.5</v>
      </c>
      <c r="P16" s="59" t="n">
        <f aca="false">$D16</f>
        <v>0.5</v>
      </c>
      <c r="Q16" s="59" t="n">
        <f aca="false">$D16</f>
        <v>0.5</v>
      </c>
      <c r="R16" s="59" t="n">
        <f aca="false">$D16</f>
        <v>0.5</v>
      </c>
      <c r="S16" s="59" t="n">
        <f aca="false">$D16</f>
        <v>0.5</v>
      </c>
      <c r="T16" s="59" t="n">
        <f aca="false">$D16</f>
        <v>0.5</v>
      </c>
      <c r="U16" s="59" t="n">
        <f aca="false">$D16</f>
        <v>0.5</v>
      </c>
      <c r="V16" s="59" t="n">
        <f aca="false">$D16</f>
        <v>0.5</v>
      </c>
      <c r="W16" s="59" t="n">
        <f aca="false">$D16</f>
        <v>0.5</v>
      </c>
      <c r="X16" s="59" t="n">
        <f aca="false">$D16</f>
        <v>0.5</v>
      </c>
      <c r="Y16" s="73" t="n">
        <f aca="false">Hypothèses!$D$15</f>
        <v>0</v>
      </c>
      <c r="Z16" s="73" t="n">
        <f aca="false">Hypothèses!$E$15</f>
        <v>1</v>
      </c>
      <c r="AA16" s="74" t="n">
        <f aca="false">IF($Y$45&lt;=$Z$45,Hypothèses!$D$15,Hypothèses!$E$15)</f>
        <v>1</v>
      </c>
      <c r="AB16" s="74" t="n">
        <f aca="false">IF($Y$45&gt;$Z$45,Hypothèses!$D$15,Hypothèses!$E$15)</f>
        <v>0</v>
      </c>
    </row>
    <row r="17" customFormat="false" ht="15" hidden="false" customHeight="false" outlineLevel="0" collapsed="false">
      <c r="A17" s="19" t="s">
        <v>645</v>
      </c>
      <c r="B17" s="5" t="s">
        <v>646</v>
      </c>
      <c r="C17" s="19" t="s">
        <v>647</v>
      </c>
      <c r="D17" s="75" t="n">
        <f aca="false">Hypothèses!$C$18</f>
        <v>1.17584579071597</v>
      </c>
      <c r="E17" s="76" t="n">
        <f aca="false">$D17</f>
        <v>1.17584579071597</v>
      </c>
      <c r="F17" s="76" t="n">
        <f aca="false">$D17</f>
        <v>1.17584579071597</v>
      </c>
      <c r="G17" s="76" t="n">
        <f aca="false">$D17</f>
        <v>1.17584579071597</v>
      </c>
      <c r="H17" s="76" t="n">
        <f aca="false">$D17</f>
        <v>1.17584579071597</v>
      </c>
      <c r="I17" s="76" t="n">
        <f aca="false">$D17</f>
        <v>1.17584579071597</v>
      </c>
      <c r="J17" s="76" t="n">
        <f aca="false">$D17</f>
        <v>1.17584579071597</v>
      </c>
      <c r="K17" s="76" t="n">
        <f aca="false">$D17</f>
        <v>1.17584579071597</v>
      </c>
      <c r="L17" s="76" t="n">
        <f aca="false">$D17</f>
        <v>1.17584579071597</v>
      </c>
      <c r="M17" s="76" t="n">
        <f aca="false">$D17</f>
        <v>1.17584579071597</v>
      </c>
      <c r="N17" s="76" t="n">
        <f aca="false">$D17</f>
        <v>1.17584579071597</v>
      </c>
      <c r="O17" s="76" t="n">
        <f aca="false">$D17</f>
        <v>1.17584579071597</v>
      </c>
      <c r="P17" s="76" t="n">
        <f aca="false">$D17</f>
        <v>1.17584579071597</v>
      </c>
      <c r="Q17" s="76" t="n">
        <f aca="false">$D17</f>
        <v>1.17584579071597</v>
      </c>
      <c r="R17" s="76" t="n">
        <f aca="false">$D17</f>
        <v>1.17584579071597</v>
      </c>
      <c r="S17" s="76" t="n">
        <f aca="false">$D17</f>
        <v>1.17584579071597</v>
      </c>
      <c r="T17" s="76" t="n">
        <f aca="false">$D17</f>
        <v>1.17584579071597</v>
      </c>
      <c r="U17" s="76" t="n">
        <f aca="false">$D17</f>
        <v>1.17584579071597</v>
      </c>
      <c r="V17" s="76" t="n">
        <f aca="false">$D17</f>
        <v>1.17584579071597</v>
      </c>
      <c r="W17" s="76" t="n">
        <f aca="false">$D17</f>
        <v>1.17584579071597</v>
      </c>
      <c r="X17" s="76" t="n">
        <f aca="false">$D17</f>
        <v>1.17584579071597</v>
      </c>
      <c r="Y17" s="76" t="n">
        <f aca="false">$D17</f>
        <v>1.17584579071597</v>
      </c>
      <c r="Z17" s="76" t="n">
        <f aca="false">$D17</f>
        <v>1.17584579071597</v>
      </c>
      <c r="AA17" s="76" t="n">
        <f aca="false">$D17</f>
        <v>1.17584579071597</v>
      </c>
      <c r="AB17" s="76" t="n">
        <f aca="false">$D17</f>
        <v>1.17584579071597</v>
      </c>
    </row>
    <row r="18" customFormat="false" ht="15" hidden="false" customHeight="false" outlineLevel="0" collapsed="false">
      <c r="A18" s="19" t="s">
        <v>650</v>
      </c>
      <c r="B18" s="5" t="s">
        <v>651</v>
      </c>
      <c r="C18" s="19" t="s">
        <v>69</v>
      </c>
      <c r="D18" s="47" t="n">
        <f aca="false">Hypothèses!$C$19</f>
        <v>295</v>
      </c>
      <c r="E18" s="51" t="n">
        <f aca="false">$D18</f>
        <v>295</v>
      </c>
      <c r="F18" s="51" t="n">
        <f aca="false">$D18</f>
        <v>295</v>
      </c>
      <c r="G18" s="51" t="n">
        <f aca="false">$D18</f>
        <v>295</v>
      </c>
      <c r="H18" s="51" t="n">
        <f aca="false">$D18</f>
        <v>295</v>
      </c>
      <c r="I18" s="51" t="n">
        <f aca="false">$D18</f>
        <v>295</v>
      </c>
      <c r="J18" s="51" t="n">
        <f aca="false">$D18</f>
        <v>295</v>
      </c>
      <c r="K18" s="51" t="n">
        <f aca="false">$D18</f>
        <v>295</v>
      </c>
      <c r="L18" s="51" t="n">
        <f aca="false">$D18</f>
        <v>295</v>
      </c>
      <c r="M18" s="51" t="n">
        <f aca="false">$D18</f>
        <v>295</v>
      </c>
      <c r="N18" s="51" t="n">
        <f aca="false">$D18</f>
        <v>295</v>
      </c>
      <c r="O18" s="51" t="n">
        <f aca="false">$D18</f>
        <v>295</v>
      </c>
      <c r="P18" s="51" t="n">
        <f aca="false">$D18</f>
        <v>295</v>
      </c>
      <c r="Q18" s="51" t="n">
        <f aca="false">$D18</f>
        <v>295</v>
      </c>
      <c r="R18" s="51" t="n">
        <f aca="false">$D18</f>
        <v>295</v>
      </c>
      <c r="S18" s="51" t="n">
        <f aca="false">$D18</f>
        <v>295</v>
      </c>
      <c r="T18" s="51" t="n">
        <f aca="false">$D18</f>
        <v>295</v>
      </c>
      <c r="U18" s="51" t="n">
        <f aca="false">$D18</f>
        <v>295</v>
      </c>
      <c r="V18" s="51" t="n">
        <f aca="false">$D18</f>
        <v>295</v>
      </c>
      <c r="W18" s="51" t="n">
        <f aca="false">$D18</f>
        <v>295</v>
      </c>
      <c r="X18" s="51" t="n">
        <f aca="false">$D18</f>
        <v>295</v>
      </c>
      <c r="Y18" s="51" t="n">
        <f aca="false">$D18</f>
        <v>295</v>
      </c>
      <c r="Z18" s="51" t="n">
        <f aca="false">$D18</f>
        <v>295</v>
      </c>
      <c r="AA18" s="51" t="n">
        <f aca="false">$D18</f>
        <v>295</v>
      </c>
      <c r="AB18" s="51" t="n">
        <f aca="false">$D18</f>
        <v>295</v>
      </c>
    </row>
    <row r="19" customFormat="false" ht="15" hidden="false" customHeight="false" outlineLevel="0" collapsed="false">
      <c r="A19" s="19" t="s">
        <v>654</v>
      </c>
      <c r="B19" s="5" t="s">
        <v>655</v>
      </c>
      <c r="C19" s="19" t="s">
        <v>99</v>
      </c>
      <c r="D19" s="69" t="n">
        <f aca="false">Hypothèses!$C$20</f>
        <v>9.8</v>
      </c>
      <c r="E19" s="70" t="n">
        <f aca="false">$D19</f>
        <v>9.8</v>
      </c>
      <c r="F19" s="70" t="n">
        <f aca="false">$D19</f>
        <v>9.8</v>
      </c>
      <c r="G19" s="70" t="n">
        <f aca="false">$D19</f>
        <v>9.8</v>
      </c>
      <c r="H19" s="70" t="n">
        <f aca="false">$D19</f>
        <v>9.8</v>
      </c>
      <c r="I19" s="70" t="n">
        <f aca="false">$D19</f>
        <v>9.8</v>
      </c>
      <c r="J19" s="70" t="n">
        <f aca="false">$D19</f>
        <v>9.8</v>
      </c>
      <c r="K19" s="70" t="n">
        <f aca="false">$D19</f>
        <v>9.8</v>
      </c>
      <c r="L19" s="70" t="n">
        <f aca="false">$D19</f>
        <v>9.8</v>
      </c>
      <c r="M19" s="70" t="n">
        <f aca="false">$D19</f>
        <v>9.8</v>
      </c>
      <c r="N19" s="70" t="n">
        <f aca="false">$D19</f>
        <v>9.8</v>
      </c>
      <c r="O19" s="70" t="n">
        <f aca="false">$D19</f>
        <v>9.8</v>
      </c>
      <c r="P19" s="70" t="n">
        <f aca="false">$D19</f>
        <v>9.8</v>
      </c>
      <c r="Q19" s="70" t="n">
        <f aca="false">$D19</f>
        <v>9.8</v>
      </c>
      <c r="R19" s="70" t="n">
        <f aca="false">$D19</f>
        <v>9.8</v>
      </c>
      <c r="S19" s="70" t="n">
        <f aca="false">$D19</f>
        <v>9.8</v>
      </c>
      <c r="T19" s="70" t="n">
        <f aca="false">$D19</f>
        <v>9.8</v>
      </c>
      <c r="U19" s="70" t="n">
        <f aca="false">$D19</f>
        <v>9.8</v>
      </c>
      <c r="V19" s="70" t="n">
        <f aca="false">$D19</f>
        <v>9.8</v>
      </c>
      <c r="W19" s="70" t="n">
        <f aca="false">$D19</f>
        <v>9.8</v>
      </c>
      <c r="X19" s="70" t="n">
        <f aca="false">$D19</f>
        <v>9.8</v>
      </c>
      <c r="Y19" s="70" t="n">
        <f aca="false">$D19</f>
        <v>9.8</v>
      </c>
      <c r="Z19" s="70" t="n">
        <f aca="false">$D19</f>
        <v>9.8</v>
      </c>
      <c r="AA19" s="70" t="n">
        <f aca="false">$D19</f>
        <v>9.8</v>
      </c>
      <c r="AB19" s="70" t="n">
        <f aca="false">$D19</f>
        <v>9.8</v>
      </c>
    </row>
    <row r="20" customFormat="false" ht="15" hidden="false" customHeight="false" outlineLevel="0" collapsed="false">
      <c r="A20" s="19" t="s">
        <v>657</v>
      </c>
      <c r="B20" s="5" t="s">
        <v>658</v>
      </c>
      <c r="C20" s="19" t="s">
        <v>96</v>
      </c>
      <c r="D20" s="58" t="n">
        <f aca="false">Hypothèses!$C$21</f>
        <v>0</v>
      </c>
      <c r="E20" s="59" t="n">
        <f aca="false">$D20</f>
        <v>0</v>
      </c>
      <c r="F20" s="59" t="n">
        <f aca="false">$D20</f>
        <v>0</v>
      </c>
      <c r="G20" s="59" t="n">
        <f aca="false">$D20</f>
        <v>0</v>
      </c>
      <c r="H20" s="59" t="n">
        <f aca="false">$D20</f>
        <v>0</v>
      </c>
      <c r="I20" s="59" t="n">
        <f aca="false">$D20</f>
        <v>0</v>
      </c>
      <c r="J20" s="59" t="n">
        <f aca="false">$D20</f>
        <v>0</v>
      </c>
      <c r="K20" s="59" t="n">
        <f aca="false">$D20</f>
        <v>0</v>
      </c>
      <c r="L20" s="59" t="n">
        <f aca="false">$D20</f>
        <v>0</v>
      </c>
      <c r="M20" s="59" t="n">
        <f aca="false">$D20</f>
        <v>0</v>
      </c>
      <c r="N20" s="59" t="n">
        <f aca="false">$D20</f>
        <v>0</v>
      </c>
      <c r="O20" s="59" t="n">
        <f aca="false">$D20</f>
        <v>0</v>
      </c>
      <c r="P20" s="59" t="n">
        <f aca="false">$D20</f>
        <v>0</v>
      </c>
      <c r="Q20" s="59" t="n">
        <f aca="false">$D20</f>
        <v>0</v>
      </c>
      <c r="R20" s="59" t="n">
        <f aca="false">$D20</f>
        <v>0</v>
      </c>
      <c r="S20" s="59" t="n">
        <f aca="false">$D20</f>
        <v>0</v>
      </c>
      <c r="T20" s="59" t="n">
        <f aca="false">$D20</f>
        <v>0</v>
      </c>
      <c r="U20" s="59" t="n">
        <f aca="false">$D20</f>
        <v>0</v>
      </c>
      <c r="V20" s="59" t="n">
        <f aca="false">$D20</f>
        <v>0</v>
      </c>
      <c r="W20" s="59" t="n">
        <f aca="false">$D20</f>
        <v>0</v>
      </c>
      <c r="X20" s="59" t="n">
        <f aca="false">$D20</f>
        <v>0</v>
      </c>
      <c r="Y20" s="59" t="n">
        <f aca="false">$D20</f>
        <v>0</v>
      </c>
      <c r="Z20" s="59" t="n">
        <f aca="false">$D20</f>
        <v>0</v>
      </c>
      <c r="AA20" s="59" t="n">
        <f aca="false">$D20</f>
        <v>0</v>
      </c>
      <c r="AB20" s="59" t="n">
        <f aca="false">$D20</f>
        <v>0</v>
      </c>
    </row>
    <row r="21" customFormat="false" ht="15" hidden="false" customHeight="false" outlineLevel="0" collapsed="false">
      <c r="A21" s="19" t="s">
        <v>660</v>
      </c>
      <c r="B21" s="5" t="s">
        <v>661</v>
      </c>
      <c r="C21" s="19" t="s">
        <v>69</v>
      </c>
      <c r="D21" s="47" t="n">
        <f aca="false">Hypothèses!$C$22</f>
        <v>0</v>
      </c>
      <c r="E21" s="51" t="n">
        <f aca="false">$D21</f>
        <v>0</v>
      </c>
      <c r="F21" s="51" t="n">
        <f aca="false">$D21</f>
        <v>0</v>
      </c>
      <c r="G21" s="51" t="n">
        <f aca="false">$D21</f>
        <v>0</v>
      </c>
      <c r="H21" s="51" t="n">
        <f aca="false">$D21</f>
        <v>0</v>
      </c>
      <c r="I21" s="51" t="n">
        <f aca="false">$D21</f>
        <v>0</v>
      </c>
      <c r="J21" s="51" t="n">
        <f aca="false">$D21</f>
        <v>0</v>
      </c>
      <c r="K21" s="51" t="n">
        <f aca="false">$D21</f>
        <v>0</v>
      </c>
      <c r="L21" s="51" t="n">
        <f aca="false">$D21</f>
        <v>0</v>
      </c>
      <c r="M21" s="51" t="n">
        <f aca="false">$D21</f>
        <v>0</v>
      </c>
      <c r="N21" s="51" t="n">
        <f aca="false">$D21</f>
        <v>0</v>
      </c>
      <c r="O21" s="51" t="n">
        <f aca="false">$D21</f>
        <v>0</v>
      </c>
      <c r="P21" s="51" t="n">
        <f aca="false">$D21</f>
        <v>0</v>
      </c>
      <c r="Q21" s="51" t="n">
        <f aca="false">$D21</f>
        <v>0</v>
      </c>
      <c r="R21" s="51" t="n">
        <f aca="false">$D21</f>
        <v>0</v>
      </c>
      <c r="S21" s="51" t="n">
        <f aca="false">$D21</f>
        <v>0</v>
      </c>
      <c r="T21" s="51" t="n">
        <f aca="false">$D21</f>
        <v>0</v>
      </c>
      <c r="U21" s="51" t="n">
        <f aca="false">$D21</f>
        <v>0</v>
      </c>
      <c r="V21" s="51" t="n">
        <f aca="false">$D21</f>
        <v>0</v>
      </c>
      <c r="W21" s="51" t="n">
        <f aca="false">$D21</f>
        <v>0</v>
      </c>
      <c r="X21" s="51" t="n">
        <f aca="false">$D21</f>
        <v>0</v>
      </c>
      <c r="Y21" s="51" t="n">
        <f aca="false">$D21</f>
        <v>0</v>
      </c>
      <c r="Z21" s="51" t="n">
        <f aca="false">$D21</f>
        <v>0</v>
      </c>
      <c r="AA21" s="51" t="n">
        <f aca="false">$D21</f>
        <v>0</v>
      </c>
      <c r="AB21" s="51" t="n">
        <f aca="false">$D21</f>
        <v>0</v>
      </c>
    </row>
    <row r="22" customFormat="false" ht="15" hidden="false" customHeight="false" outlineLevel="0" collapsed="false">
      <c r="A22" s="19" t="s">
        <v>663</v>
      </c>
      <c r="B22" s="5" t="s">
        <v>664</v>
      </c>
      <c r="C22" s="19" t="s">
        <v>665</v>
      </c>
      <c r="D22" s="77" t="n">
        <f aca="false">Hypothèses!$C$23</f>
        <v>7</v>
      </c>
      <c r="E22" s="78" t="n">
        <f aca="false">$D22</f>
        <v>7</v>
      </c>
      <c r="F22" s="78" t="n">
        <f aca="false">$D22</f>
        <v>7</v>
      </c>
      <c r="G22" s="78" t="n">
        <f aca="false">$D22</f>
        <v>7</v>
      </c>
      <c r="H22" s="78" t="n">
        <f aca="false">$D22</f>
        <v>7</v>
      </c>
      <c r="I22" s="78" t="n">
        <f aca="false">$D22</f>
        <v>7</v>
      </c>
      <c r="J22" s="78" t="n">
        <f aca="false">$D22</f>
        <v>7</v>
      </c>
      <c r="K22" s="78" t="n">
        <f aca="false">$D22</f>
        <v>7</v>
      </c>
      <c r="L22" s="78" t="n">
        <f aca="false">$D22</f>
        <v>7</v>
      </c>
      <c r="M22" s="78" t="n">
        <f aca="false">$D22</f>
        <v>7</v>
      </c>
      <c r="N22" s="78" t="n">
        <f aca="false">$D22</f>
        <v>7</v>
      </c>
      <c r="O22" s="78" t="n">
        <f aca="false">$D22</f>
        <v>7</v>
      </c>
      <c r="P22" s="78" t="n">
        <f aca="false">$D22</f>
        <v>7</v>
      </c>
      <c r="Q22" s="78" t="n">
        <f aca="false">$D22</f>
        <v>7</v>
      </c>
      <c r="R22" s="78" t="n">
        <f aca="false">$D22</f>
        <v>7</v>
      </c>
      <c r="S22" s="78" t="n">
        <f aca="false">$D22</f>
        <v>7</v>
      </c>
      <c r="T22" s="78" t="n">
        <f aca="false">$D22</f>
        <v>7</v>
      </c>
      <c r="U22" s="78" t="n">
        <f aca="false">$D22</f>
        <v>7</v>
      </c>
      <c r="V22" s="78" t="n">
        <f aca="false">$D22</f>
        <v>7</v>
      </c>
      <c r="W22" s="78" t="n">
        <f aca="false">$D22</f>
        <v>7</v>
      </c>
      <c r="X22" s="78" t="n">
        <f aca="false">$D22</f>
        <v>7</v>
      </c>
      <c r="Y22" s="78" t="n">
        <f aca="false">$D22</f>
        <v>7</v>
      </c>
      <c r="Z22" s="78" t="n">
        <f aca="false">$D22</f>
        <v>7</v>
      </c>
      <c r="AA22" s="78" t="n">
        <f aca="false">$D22</f>
        <v>7</v>
      </c>
      <c r="AB22" s="78" t="n">
        <f aca="false">$D22</f>
        <v>7</v>
      </c>
    </row>
    <row r="23" customFormat="false" ht="15" hidden="false" customHeight="false" outlineLevel="0" collapsed="false">
      <c r="A23" s="19" t="s">
        <v>667</v>
      </c>
      <c r="B23" s="5" t="s">
        <v>668</v>
      </c>
      <c r="C23" s="19" t="s">
        <v>215</v>
      </c>
      <c r="D23" s="79" t="n">
        <f aca="false">Hypothèses!$C$24</f>
        <v>22.5</v>
      </c>
      <c r="E23" s="80" t="n">
        <f aca="false">$D23</f>
        <v>22.5</v>
      </c>
      <c r="F23" s="80" t="n">
        <f aca="false">$D23</f>
        <v>22.5</v>
      </c>
      <c r="G23" s="80" t="n">
        <f aca="false">$D23</f>
        <v>22.5</v>
      </c>
      <c r="H23" s="80" t="n">
        <f aca="false">$D23</f>
        <v>22.5</v>
      </c>
      <c r="I23" s="80" t="n">
        <f aca="false">$D23</f>
        <v>22.5</v>
      </c>
      <c r="J23" s="80" t="n">
        <f aca="false">$D23</f>
        <v>22.5</v>
      </c>
      <c r="K23" s="80" t="n">
        <f aca="false">$D23</f>
        <v>22.5</v>
      </c>
      <c r="L23" s="80" t="n">
        <f aca="false">$D23</f>
        <v>22.5</v>
      </c>
      <c r="M23" s="80" t="n">
        <f aca="false">$D23</f>
        <v>22.5</v>
      </c>
      <c r="N23" s="80" t="n">
        <f aca="false">$D23</f>
        <v>22.5</v>
      </c>
      <c r="O23" s="80" t="n">
        <f aca="false">$D23</f>
        <v>22.5</v>
      </c>
      <c r="P23" s="80" t="n">
        <f aca="false">$D23</f>
        <v>22.5</v>
      </c>
      <c r="Q23" s="80" t="n">
        <f aca="false">$D23</f>
        <v>22.5</v>
      </c>
      <c r="R23" s="80" t="n">
        <f aca="false">$D23</f>
        <v>22.5</v>
      </c>
      <c r="S23" s="80" t="n">
        <f aca="false">$D23</f>
        <v>22.5</v>
      </c>
      <c r="T23" s="80" t="n">
        <f aca="false">$D23</f>
        <v>22.5</v>
      </c>
      <c r="U23" s="80" t="n">
        <f aca="false">$D23</f>
        <v>22.5</v>
      </c>
      <c r="V23" s="80" t="n">
        <f aca="false">$D23</f>
        <v>22.5</v>
      </c>
      <c r="W23" s="80" t="n">
        <f aca="false">$D23</f>
        <v>22.5</v>
      </c>
      <c r="X23" s="80" t="n">
        <f aca="false">$D23</f>
        <v>22.5</v>
      </c>
      <c r="Y23" s="80" t="n">
        <f aca="false">$D23</f>
        <v>22.5</v>
      </c>
      <c r="Z23" s="80" t="n">
        <f aca="false">$D23</f>
        <v>22.5</v>
      </c>
      <c r="AA23" s="80" t="n">
        <f aca="false">$D23</f>
        <v>22.5</v>
      </c>
      <c r="AB23" s="80" t="n">
        <f aca="false">$D23</f>
        <v>22.5</v>
      </c>
    </row>
    <row r="24" customFormat="false" ht="15" hidden="false" customHeight="false" outlineLevel="0" collapsed="false">
      <c r="A24" s="19" t="s">
        <v>670</v>
      </c>
      <c r="B24" s="5" t="s">
        <v>671</v>
      </c>
      <c r="C24" s="19" t="s">
        <v>99</v>
      </c>
      <c r="D24" s="69" t="n">
        <f aca="false">Hypothèses!$C$25</f>
        <v>3</v>
      </c>
      <c r="E24" s="70" t="n">
        <f aca="false">$D24</f>
        <v>3</v>
      </c>
      <c r="F24" s="70" t="n">
        <f aca="false">$D24</f>
        <v>3</v>
      </c>
      <c r="G24" s="70" t="n">
        <f aca="false">$D24</f>
        <v>3</v>
      </c>
      <c r="H24" s="70" t="n">
        <f aca="false">$D24</f>
        <v>3</v>
      </c>
      <c r="I24" s="70" t="n">
        <f aca="false">$D24</f>
        <v>3</v>
      </c>
      <c r="J24" s="70" t="n">
        <f aca="false">$D24</f>
        <v>3</v>
      </c>
      <c r="K24" s="70" t="n">
        <f aca="false">$D24</f>
        <v>3</v>
      </c>
      <c r="L24" s="70" t="n">
        <f aca="false">$D24</f>
        <v>3</v>
      </c>
      <c r="M24" s="70" t="n">
        <f aca="false">$D24</f>
        <v>3</v>
      </c>
      <c r="N24" s="70" t="n">
        <f aca="false">$D24</f>
        <v>3</v>
      </c>
      <c r="O24" s="70" t="n">
        <f aca="false">$D24</f>
        <v>3</v>
      </c>
      <c r="P24" s="70" t="n">
        <f aca="false">$D24</f>
        <v>3</v>
      </c>
      <c r="Q24" s="70" t="n">
        <f aca="false">$D24</f>
        <v>3</v>
      </c>
      <c r="R24" s="70" t="n">
        <f aca="false">$D24</f>
        <v>3</v>
      </c>
      <c r="S24" s="70" t="n">
        <f aca="false">$D24</f>
        <v>3</v>
      </c>
      <c r="T24" s="70" t="n">
        <f aca="false">$D24</f>
        <v>3</v>
      </c>
      <c r="U24" s="70" t="n">
        <f aca="false">$D24</f>
        <v>3</v>
      </c>
      <c r="V24" s="70" t="n">
        <f aca="false">$D24</f>
        <v>3</v>
      </c>
      <c r="W24" s="70" t="n">
        <f aca="false">$D24</f>
        <v>3</v>
      </c>
      <c r="X24" s="70" t="n">
        <f aca="false">$D24</f>
        <v>3</v>
      </c>
      <c r="Y24" s="70" t="n">
        <f aca="false">$D24</f>
        <v>3</v>
      </c>
      <c r="Z24" s="70" t="n">
        <f aca="false">$D24</f>
        <v>3</v>
      </c>
      <c r="AA24" s="70" t="n">
        <f aca="false">$D24</f>
        <v>3</v>
      </c>
      <c r="AB24" s="70" t="n">
        <f aca="false">$D24</f>
        <v>3</v>
      </c>
    </row>
    <row r="25" customFormat="false" ht="15" hidden="false" customHeight="false" outlineLevel="0" collapsed="false">
      <c r="A25" s="2"/>
      <c r="B25" s="17" t="s">
        <v>885</v>
      </c>
      <c r="C25" s="2"/>
      <c r="D25" s="2"/>
      <c r="E25" s="2"/>
      <c r="F25" s="2"/>
      <c r="G25" s="2"/>
      <c r="H25" s="2"/>
      <c r="I25" s="2"/>
      <c r="J25" s="2"/>
      <c r="K25" s="2"/>
      <c r="L25" s="2"/>
      <c r="M25" s="2"/>
      <c r="N25" s="2"/>
      <c r="O25" s="2"/>
      <c r="P25" s="2"/>
      <c r="Q25" s="2"/>
      <c r="R25" s="2"/>
      <c r="S25" s="2"/>
      <c r="T25" s="2"/>
      <c r="U25" s="2"/>
      <c r="V25" s="2"/>
      <c r="W25" s="2"/>
      <c r="X25" s="2"/>
      <c r="Y25" s="2"/>
      <c r="Z25" s="2"/>
      <c r="AA25" s="2"/>
      <c r="AB25" s="2"/>
    </row>
    <row r="26" customFormat="false" ht="15" hidden="false" customHeight="false" outlineLevel="0" collapsed="false">
      <c r="A26" s="19" t="s">
        <v>886</v>
      </c>
      <c r="B26" s="5" t="s">
        <v>887</v>
      </c>
      <c r="C26" s="19" t="s">
        <v>69</v>
      </c>
      <c r="D26" s="51" t="n">
        <f aca="false">Entrées!$C$8*(1+D6)</f>
        <v>7437.75</v>
      </c>
      <c r="E26" s="51" t="n">
        <f aca="false">Entrées!$C$8*(1+E6)</f>
        <v>7402.5</v>
      </c>
      <c r="F26" s="51" t="n">
        <f aca="false">Entrées!$C$8*(1+F6)</f>
        <v>7473</v>
      </c>
      <c r="G26" s="51" t="n">
        <f aca="false">Entrées!$C$8*(1+G6)</f>
        <v>7437.75</v>
      </c>
      <c r="H26" s="51" t="n">
        <f aca="false">Entrées!$C$8*(1+H6)</f>
        <v>7437.75</v>
      </c>
      <c r="I26" s="51" t="n">
        <f aca="false">Entrées!$C$8*(1+I6)</f>
        <v>7437.75</v>
      </c>
      <c r="J26" s="51" t="n">
        <f aca="false">Entrées!$C$8*(1+J6)</f>
        <v>7437.75</v>
      </c>
      <c r="K26" s="51" t="n">
        <f aca="false">Entrées!$C$8*(1+K6)</f>
        <v>7437.75</v>
      </c>
      <c r="L26" s="51" t="n">
        <f aca="false">Entrées!$C$8*(1+L6)</f>
        <v>7437.75</v>
      </c>
      <c r="M26" s="51" t="n">
        <f aca="false">Entrées!$C$8*(1+M6)</f>
        <v>7437.75</v>
      </c>
      <c r="N26" s="51" t="n">
        <f aca="false">Entrées!$C$8*(1+N6)</f>
        <v>7437.75</v>
      </c>
      <c r="O26" s="51" t="n">
        <f aca="false">Entrées!$C$8*(1+O6)</f>
        <v>7437.75</v>
      </c>
      <c r="P26" s="51" t="n">
        <f aca="false">Entrées!$C$8*(1+P6)</f>
        <v>7437.75</v>
      </c>
      <c r="Q26" s="51" t="n">
        <f aca="false">Entrées!$C$8*(1+Q6)</f>
        <v>7437.75</v>
      </c>
      <c r="R26" s="51" t="n">
        <f aca="false">Entrées!$C$8*(1+R6)</f>
        <v>7437.75</v>
      </c>
      <c r="S26" s="51" t="n">
        <f aca="false">Entrées!$C$8*(1+S6)</f>
        <v>7437.75</v>
      </c>
      <c r="T26" s="51" t="n">
        <f aca="false">Entrées!$C$8*(1+T6)</f>
        <v>7437.75</v>
      </c>
      <c r="U26" s="51" t="n">
        <f aca="false">Entrées!$C$8*(1+U6)</f>
        <v>7437.75</v>
      </c>
      <c r="V26" s="51" t="n">
        <f aca="false">Entrées!$C$8*(1+V6)</f>
        <v>7437.75</v>
      </c>
      <c r="W26" s="51" t="n">
        <f aca="false">Entrées!$C$8*(1+W6)</f>
        <v>7437.75</v>
      </c>
      <c r="X26" s="51" t="n">
        <f aca="false">Entrées!$C$8*(1+X6)</f>
        <v>7437.75</v>
      </c>
      <c r="Y26" s="51" t="n">
        <f aca="false">Entrées!$C$8*(1+Y6)</f>
        <v>7437.75</v>
      </c>
      <c r="Z26" s="51" t="n">
        <f aca="false">Entrées!$C$8*(1+Z6)</f>
        <v>7437.75</v>
      </c>
      <c r="AA26" s="51" t="n">
        <f aca="false">Entrées!$C$8*(1+AA6)</f>
        <v>7402.5</v>
      </c>
      <c r="AB26" s="51" t="n">
        <f aca="false">Entrées!$C$8*(1+AB6)</f>
        <v>7473</v>
      </c>
    </row>
    <row r="27" customFormat="false" ht="15" hidden="false" customHeight="false" outlineLevel="0" collapsed="false">
      <c r="A27" s="19" t="s">
        <v>888</v>
      </c>
      <c r="B27" s="5" t="s">
        <v>889</v>
      </c>
      <c r="C27" s="19" t="s">
        <v>69</v>
      </c>
      <c r="D27" s="51" t="n">
        <f aca="false">D8*D22/12/D17</f>
        <v>99.2193598750976</v>
      </c>
      <c r="E27" s="51" t="n">
        <f aca="false">E8*E22/12/E17</f>
        <v>99.2193598750976</v>
      </c>
      <c r="F27" s="51" t="n">
        <f aca="false">F8*F22/12/F17</f>
        <v>99.2193598750976</v>
      </c>
      <c r="G27" s="51" t="n">
        <f aca="false">G8*G22/12/G17</f>
        <v>99.2193598750976</v>
      </c>
      <c r="H27" s="51" t="n">
        <f aca="false">H8*H22/12/H17</f>
        <v>99.2193598750976</v>
      </c>
      <c r="I27" s="51" t="n">
        <f aca="false">I8*I22/12/I17</f>
        <v>89.2974238875878</v>
      </c>
      <c r="J27" s="51" t="n">
        <f aca="false">J8*J22/12/J17</f>
        <v>109.141295862607</v>
      </c>
      <c r="K27" s="51" t="n">
        <f aca="false">K8*K22/12/K17</f>
        <v>99.2193598750976</v>
      </c>
      <c r="L27" s="51" t="n">
        <f aca="false">L8*L22/12/L17</f>
        <v>99.2193598750976</v>
      </c>
      <c r="M27" s="51" t="n">
        <f aca="false">M8*M22/12/M17</f>
        <v>99.2193598750976</v>
      </c>
      <c r="N27" s="51" t="n">
        <f aca="false">N8*N22/12/N17</f>
        <v>99.2193598750976</v>
      </c>
      <c r="O27" s="51" t="n">
        <f aca="false">O8*O22/12/O17</f>
        <v>99.2193598750976</v>
      </c>
      <c r="P27" s="51" t="n">
        <f aca="false">P8*P22/12/P17</f>
        <v>99.2193598750976</v>
      </c>
      <c r="Q27" s="51" t="n">
        <f aca="false">Q8*Q22/12/Q17</f>
        <v>99.2193598750976</v>
      </c>
      <c r="R27" s="51" t="n">
        <f aca="false">R8*R22/12/R17</f>
        <v>99.2193598750976</v>
      </c>
      <c r="S27" s="51" t="n">
        <f aca="false">S8*S22/12/S17</f>
        <v>99.2193598750976</v>
      </c>
      <c r="T27" s="51" t="n">
        <f aca="false">T8*T22/12/T17</f>
        <v>99.2193598750976</v>
      </c>
      <c r="U27" s="51" t="n">
        <f aca="false">U8*U22/12/U17</f>
        <v>99.2193598750976</v>
      </c>
      <c r="V27" s="51" t="n">
        <f aca="false">V8*V22/12/V17</f>
        <v>99.2193598750976</v>
      </c>
      <c r="W27" s="51" t="n">
        <f aca="false">W8*W22/12/W17</f>
        <v>99.2193598750976</v>
      </c>
      <c r="X27" s="51" t="n">
        <f aca="false">X8*X22/12/X17</f>
        <v>99.2193598750976</v>
      </c>
      <c r="Y27" s="51" t="n">
        <f aca="false">Y8*Y22/12/Y17</f>
        <v>99.2193598750976</v>
      </c>
      <c r="Z27" s="51" t="n">
        <f aca="false">Z8*Z22/12/Z17</f>
        <v>99.2193598750976</v>
      </c>
      <c r="AA27" s="51" t="n">
        <f aca="false">AA8*AA22/12/AA17</f>
        <v>89.2974238875878</v>
      </c>
      <c r="AB27" s="51" t="n">
        <f aca="false">AB8*AB22/12/AB17</f>
        <v>109.141295862607</v>
      </c>
    </row>
    <row r="28" customFormat="false" ht="15" hidden="false" customHeight="false" outlineLevel="0" collapsed="false">
      <c r="A28" s="19" t="s">
        <v>890</v>
      </c>
      <c r="B28" s="5" t="s">
        <v>891</v>
      </c>
      <c r="C28" s="19" t="s">
        <v>69</v>
      </c>
      <c r="D28" s="51" t="n">
        <f aca="false">Entrées!$C$36*D13*1000</f>
        <v>250</v>
      </c>
      <c r="E28" s="51" t="n">
        <f aca="false">Entrées!$C$36*E13*1000</f>
        <v>250</v>
      </c>
      <c r="F28" s="51" t="n">
        <f aca="false">Entrées!$C$36*F13*1000</f>
        <v>250</v>
      </c>
      <c r="G28" s="51" t="n">
        <f aca="false">Entrées!$C$36*G13*1000</f>
        <v>250</v>
      </c>
      <c r="H28" s="51" t="n">
        <f aca="false">Entrées!$C$36*H13*1000</f>
        <v>250</v>
      </c>
      <c r="I28" s="51" t="n">
        <f aca="false">Entrées!$C$36*I13*1000</f>
        <v>250</v>
      </c>
      <c r="J28" s="51" t="n">
        <f aca="false">Entrées!$C$36*J13*1000</f>
        <v>250</v>
      </c>
      <c r="K28" s="51" t="n">
        <f aca="false">Entrées!$C$36*K13*1000</f>
        <v>250</v>
      </c>
      <c r="L28" s="51" t="n">
        <f aca="false">Entrées!$C$36*L13*1000</f>
        <v>250</v>
      </c>
      <c r="M28" s="51" t="n">
        <f aca="false">Entrées!$C$36*M13*1000</f>
        <v>250</v>
      </c>
      <c r="N28" s="51" t="n">
        <f aca="false">Entrées!$C$36*N13*1000</f>
        <v>250</v>
      </c>
      <c r="O28" s="51" t="n">
        <f aca="false">Entrées!$C$36*O13*1000</f>
        <v>250</v>
      </c>
      <c r="P28" s="51" t="n">
        <f aca="false">Entrées!$C$36*P13*1000</f>
        <v>250</v>
      </c>
      <c r="Q28" s="51" t="n">
        <f aca="false">Entrées!$C$36*Q13*1000</f>
        <v>250</v>
      </c>
      <c r="R28" s="51" t="n">
        <f aca="false">Entrées!$C$36*R13*1000</f>
        <v>250</v>
      </c>
      <c r="S28" s="51" t="n">
        <f aca="false">Entrées!$C$36*S13*1000</f>
        <v>0</v>
      </c>
      <c r="T28" s="51" t="n">
        <f aca="false">Entrées!$C$36*T13*1000</f>
        <v>500</v>
      </c>
      <c r="U28" s="51" t="n">
        <f aca="false">Entrées!$C$36*U13*1000</f>
        <v>250</v>
      </c>
      <c r="V28" s="51" t="n">
        <f aca="false">Entrées!$C$36*V13*1000</f>
        <v>250</v>
      </c>
      <c r="W28" s="51" t="n">
        <f aca="false">Entrées!$C$36*W13*1000</f>
        <v>250</v>
      </c>
      <c r="X28" s="51" t="n">
        <f aca="false">Entrées!$C$36*X13*1000</f>
        <v>250</v>
      </c>
      <c r="Y28" s="51" t="n">
        <f aca="false">Entrées!$C$36*Y13*1000</f>
        <v>250</v>
      </c>
      <c r="Z28" s="51" t="n">
        <f aca="false">Entrées!$C$36*Z13*1000</f>
        <v>250</v>
      </c>
      <c r="AA28" s="51" t="n">
        <f aca="false">Entrées!$C$36*AA13*1000</f>
        <v>500</v>
      </c>
      <c r="AB28" s="51" t="n">
        <f aca="false">Entrées!$C$36*AB13*1000</f>
        <v>0</v>
      </c>
    </row>
    <row r="29" customFormat="false" ht="15" hidden="false" customHeight="false" outlineLevel="0" collapsed="false">
      <c r="A29" s="19" t="s">
        <v>892</v>
      </c>
      <c r="B29" s="5" t="s">
        <v>893</v>
      </c>
      <c r="C29" s="19" t="s">
        <v>69</v>
      </c>
      <c r="D29" s="51" t="n">
        <f aca="false">-D28/D15</f>
        <v>-25</v>
      </c>
      <c r="E29" s="51" t="n">
        <f aca="false">-E28/E15</f>
        <v>-25</v>
      </c>
      <c r="F29" s="51" t="n">
        <f aca="false">-F28/F15</f>
        <v>-25</v>
      </c>
      <c r="G29" s="51" t="n">
        <f aca="false">-G28/G15</f>
        <v>-25</v>
      </c>
      <c r="H29" s="51" t="n">
        <f aca="false">-H28/H15</f>
        <v>-25</v>
      </c>
      <c r="I29" s="51" t="n">
        <f aca="false">-I28/I15</f>
        <v>-25</v>
      </c>
      <c r="J29" s="51" t="n">
        <f aca="false">-J28/J15</f>
        <v>-25</v>
      </c>
      <c r="K29" s="51" t="n">
        <f aca="false">-K28/K15</f>
        <v>-25</v>
      </c>
      <c r="L29" s="51" t="n">
        <f aca="false">-L28/L15</f>
        <v>-25</v>
      </c>
      <c r="M29" s="51" t="n">
        <f aca="false">-M28/M15</f>
        <v>-25</v>
      </c>
      <c r="N29" s="51" t="n">
        <f aca="false">-N28/N15</f>
        <v>-25</v>
      </c>
      <c r="O29" s="51" t="n">
        <f aca="false">-O28/O15</f>
        <v>-25</v>
      </c>
      <c r="P29" s="51" t="n">
        <f aca="false">-P28/P15</f>
        <v>-25</v>
      </c>
      <c r="Q29" s="51" t="n">
        <f aca="false">-Q28/Q15</f>
        <v>-25</v>
      </c>
      <c r="R29" s="51" t="n">
        <f aca="false">-R28/R15</f>
        <v>-25</v>
      </c>
      <c r="S29" s="51" t="n">
        <f aca="false">-S28/S15</f>
        <v>-0</v>
      </c>
      <c r="T29" s="51" t="n">
        <f aca="false">-T28/T15</f>
        <v>-50</v>
      </c>
      <c r="U29" s="51" t="n">
        <f aca="false">-U28/U15</f>
        <v>-25</v>
      </c>
      <c r="V29" s="51" t="n">
        <f aca="false">-V28/V15</f>
        <v>-25</v>
      </c>
      <c r="W29" s="51" t="n">
        <f aca="false">-W28/W15</f>
        <v>-31.25</v>
      </c>
      <c r="X29" s="51" t="n">
        <f aca="false">-X28/X15</f>
        <v>-20.8333333333333</v>
      </c>
      <c r="Y29" s="51" t="n">
        <f aca="false">-Y28/Y15</f>
        <v>-25</v>
      </c>
      <c r="Z29" s="51" t="n">
        <f aca="false">-Z28/Z15</f>
        <v>-25</v>
      </c>
      <c r="AA29" s="51" t="n">
        <f aca="false">-AA28/AA15</f>
        <v>-62.5</v>
      </c>
      <c r="AB29" s="51" t="n">
        <f aca="false">-AB28/AB15</f>
        <v>-0</v>
      </c>
    </row>
    <row r="30" customFormat="false" ht="15" hidden="false" customHeight="false" outlineLevel="0" collapsed="false">
      <c r="A30" s="19" t="s">
        <v>894</v>
      </c>
      <c r="B30" s="17" t="s">
        <v>895</v>
      </c>
      <c r="C30" s="19" t="s">
        <v>69</v>
      </c>
      <c r="D30" s="81" t="n">
        <f aca="false">D26+D27+D29</f>
        <v>7511.9693598751</v>
      </c>
      <c r="E30" s="81" t="n">
        <f aca="false">E26+E27+E29</f>
        <v>7476.7193598751</v>
      </c>
      <c r="F30" s="81" t="n">
        <f aca="false">F26+F27+F29</f>
        <v>7547.2193598751</v>
      </c>
      <c r="G30" s="81" t="n">
        <f aca="false">G26+G27+G29</f>
        <v>7511.9693598751</v>
      </c>
      <c r="H30" s="81" t="n">
        <f aca="false">H26+H27+H29</f>
        <v>7511.9693598751</v>
      </c>
      <c r="I30" s="81" t="n">
        <f aca="false">I26+I27+I29</f>
        <v>7502.04742388759</v>
      </c>
      <c r="J30" s="81" t="n">
        <f aca="false">J26+J27+J29</f>
        <v>7521.89129586261</v>
      </c>
      <c r="K30" s="81" t="n">
        <f aca="false">K26+K27+K29</f>
        <v>7511.9693598751</v>
      </c>
      <c r="L30" s="81" t="n">
        <f aca="false">L26+L27+L29</f>
        <v>7511.9693598751</v>
      </c>
      <c r="M30" s="81" t="n">
        <f aca="false">M26+M27+M29</f>
        <v>7511.9693598751</v>
      </c>
      <c r="N30" s="81" t="n">
        <f aca="false">N26+N27+N29</f>
        <v>7511.9693598751</v>
      </c>
      <c r="O30" s="81" t="n">
        <f aca="false">O26+O27+O29</f>
        <v>7511.9693598751</v>
      </c>
      <c r="P30" s="81" t="n">
        <f aca="false">P26+P27+P29</f>
        <v>7511.9693598751</v>
      </c>
      <c r="Q30" s="81" t="n">
        <f aca="false">Q26+Q27+Q29</f>
        <v>7511.9693598751</v>
      </c>
      <c r="R30" s="81" t="n">
        <f aca="false">R26+R27+R29</f>
        <v>7511.9693598751</v>
      </c>
      <c r="S30" s="81" t="n">
        <f aca="false">S26+S27+S29</f>
        <v>7536.9693598751</v>
      </c>
      <c r="T30" s="81" t="n">
        <f aca="false">T26+T27+T29</f>
        <v>7486.9693598751</v>
      </c>
      <c r="U30" s="81" t="n">
        <f aca="false">U26+U27+U29</f>
        <v>7511.9693598751</v>
      </c>
      <c r="V30" s="81" t="n">
        <f aca="false">V26+V27+V29</f>
        <v>7511.9693598751</v>
      </c>
      <c r="W30" s="81" t="n">
        <f aca="false">W26+W27+W29</f>
        <v>7505.7193598751</v>
      </c>
      <c r="X30" s="81" t="n">
        <f aca="false">X26+X27+X29</f>
        <v>7516.13602654176</v>
      </c>
      <c r="Y30" s="81" t="n">
        <f aca="false">Y26+Y27+Y29</f>
        <v>7511.9693598751</v>
      </c>
      <c r="Z30" s="81" t="n">
        <f aca="false">Z26+Z27+Z29</f>
        <v>7511.9693598751</v>
      </c>
      <c r="AA30" s="81" t="n">
        <f aca="false">AA26+AA27+AA29</f>
        <v>7429.29742388759</v>
      </c>
      <c r="AB30" s="81" t="n">
        <f aca="false">AB26+AB27+AB29</f>
        <v>7582.14129586261</v>
      </c>
    </row>
    <row r="31" customFormat="false" ht="15" hidden="false" customHeight="false" outlineLevel="0" collapsed="false">
      <c r="A31" s="19" t="s">
        <v>896</v>
      </c>
      <c r="B31" s="17" t="s">
        <v>897</v>
      </c>
      <c r="C31" s="19" t="s">
        <v>69</v>
      </c>
      <c r="D31" s="82" t="n">
        <f aca="false">Entrées!$C$16-D10+D20*1000-D28+D21</f>
        <v>22669</v>
      </c>
      <c r="E31" s="82" t="n">
        <f aca="false">Entrées!$C$16-E10+E20*1000-E28+E21</f>
        <v>22669</v>
      </c>
      <c r="F31" s="82" t="n">
        <f aca="false">Entrées!$C$16-F10+F20*1000-F28+F21</f>
        <v>22669</v>
      </c>
      <c r="G31" s="82" t="n">
        <f aca="false">Entrées!$C$16-G10+G20*1000-G28+G21</f>
        <v>22669</v>
      </c>
      <c r="H31" s="82" t="n">
        <f aca="false">Entrées!$C$16-H10+H20*1000-H28+H21</f>
        <v>22669</v>
      </c>
      <c r="I31" s="82" t="n">
        <f aca="false">Entrées!$C$16-I10+I20*1000-I28+I21</f>
        <v>22669</v>
      </c>
      <c r="J31" s="82" t="n">
        <f aca="false">Entrées!$C$16-J10+J20*1000-J28+J21</f>
        <v>22669</v>
      </c>
      <c r="K31" s="82" t="n">
        <f aca="false">Entrées!$C$16-K10+K20*1000-K28+K21</f>
        <v>22669</v>
      </c>
      <c r="L31" s="82" t="n">
        <f aca="false">Entrées!$C$16-L10+L20*1000-L28+L21</f>
        <v>22669</v>
      </c>
      <c r="M31" s="82" t="n">
        <f aca="false">Entrées!$C$16-M10+M20*1000-M28+M21</f>
        <v>22994.8</v>
      </c>
      <c r="N31" s="82" t="n">
        <f aca="false">Entrées!$C$16-N10+N20*1000-N28+N21</f>
        <v>22506.1</v>
      </c>
      <c r="O31" s="82" t="n">
        <f aca="false">Entrées!$C$16-O10+O20*1000-O28+O21</f>
        <v>22669</v>
      </c>
      <c r="P31" s="82" t="n">
        <f aca="false">Entrées!$C$16-P10+P20*1000-P28+P21</f>
        <v>22669</v>
      </c>
      <c r="Q31" s="82" t="n">
        <f aca="false">Entrées!$C$16-Q10+Q20*1000-Q28+Q21</f>
        <v>22669</v>
      </c>
      <c r="R31" s="82" t="n">
        <f aca="false">Entrées!$C$16-R10+R20*1000-R28+R21</f>
        <v>22669</v>
      </c>
      <c r="S31" s="82" t="n">
        <f aca="false">Entrées!$C$16-S10+S20*1000-S28+S21</f>
        <v>22919</v>
      </c>
      <c r="T31" s="82" t="n">
        <f aca="false">Entrées!$C$16-T10+T20*1000-T28+T21</f>
        <v>22419</v>
      </c>
      <c r="U31" s="82" t="n">
        <f aca="false">Entrées!$C$16-U10+U20*1000-U28+U21</f>
        <v>22669</v>
      </c>
      <c r="V31" s="82" t="n">
        <f aca="false">Entrées!$C$16-V10+V20*1000-V28+V21</f>
        <v>22669</v>
      </c>
      <c r="W31" s="82" t="n">
        <f aca="false">Entrées!$C$16-W10+W20*1000-W28+W21</f>
        <v>22669</v>
      </c>
      <c r="X31" s="82" t="n">
        <f aca="false">Entrées!$C$16-X10+X20*1000-X28+X21</f>
        <v>22669</v>
      </c>
      <c r="Y31" s="82" t="n">
        <f aca="false">Entrées!$C$16-Y10+Y20*1000-Y28+Y21</f>
        <v>22669</v>
      </c>
      <c r="Z31" s="82" t="n">
        <f aca="false">Entrées!$C$16-Z10+Z20*1000-Z28+Z21</f>
        <v>22669</v>
      </c>
      <c r="AA31" s="82" t="n">
        <f aca="false">Entrées!$C$16-AA10+AA20*1000-AA28+AA21</f>
        <v>22744.8</v>
      </c>
      <c r="AB31" s="82" t="n">
        <f aca="false">Entrées!$C$16-AB10+AB20*1000-AB28+AB21</f>
        <v>22756.1</v>
      </c>
    </row>
    <row r="32" customFormat="false" ht="15" hidden="false" customHeight="false" outlineLevel="0" collapsed="false">
      <c r="A32" s="19" t="s">
        <v>898</v>
      </c>
      <c r="B32" s="17" t="s">
        <v>899</v>
      </c>
      <c r="C32" s="19" t="s">
        <v>99</v>
      </c>
      <c r="D32" s="83" t="n">
        <f aca="false">D31/D30</f>
        <v>3.01771731406222</v>
      </c>
      <c r="E32" s="83" t="n">
        <f aca="false">E31/E30</f>
        <v>3.03194474860946</v>
      </c>
      <c r="F32" s="83" t="n">
        <f aca="false">F31/F30</f>
        <v>3.00362278066543</v>
      </c>
      <c r="G32" s="83" t="n">
        <f aca="false">G31/G30</f>
        <v>3.01771731406222</v>
      </c>
      <c r="H32" s="83" t="n">
        <f aca="false">H31/H30</f>
        <v>3.01771731406222</v>
      </c>
      <c r="I32" s="83" t="n">
        <f aca="false">I31/I30</f>
        <v>3.02170843759514</v>
      </c>
      <c r="J32" s="83" t="n">
        <f aca="false">J31/J30</f>
        <v>3.01373671970891</v>
      </c>
      <c r="K32" s="83" t="n">
        <f aca="false">K31/K30</f>
        <v>3.01771731406222</v>
      </c>
      <c r="L32" s="83" t="n">
        <f aca="false">L31/L30</f>
        <v>3.01771731406222</v>
      </c>
      <c r="M32" s="83" t="n">
        <f aca="false">M31/M30</f>
        <v>3.06108809799277</v>
      </c>
      <c r="N32" s="83" t="n">
        <f aca="false">N31/N30</f>
        <v>2.99603192209695</v>
      </c>
      <c r="O32" s="83" t="n">
        <f aca="false">O31/O30</f>
        <v>3.01771731406222</v>
      </c>
      <c r="P32" s="83" t="n">
        <f aca="false">P31/P30</f>
        <v>3.01771731406222</v>
      </c>
      <c r="Q32" s="83" t="n">
        <f aca="false">Q31/Q30</f>
        <v>3.01771731406222</v>
      </c>
      <c r="R32" s="83" t="n">
        <f aca="false">R31/R30</f>
        <v>3.01771731406222</v>
      </c>
      <c r="S32" s="83" t="n">
        <f aca="false">S31/S30</f>
        <v>3.04087742773838</v>
      </c>
      <c r="T32" s="83" t="n">
        <f aca="false">T31/T30</f>
        <v>2.99440253090257</v>
      </c>
      <c r="U32" s="83" t="n">
        <f aca="false">U31/U30</f>
        <v>3.01771731406222</v>
      </c>
      <c r="V32" s="83" t="n">
        <f aca="false">V31/V30</f>
        <v>3.01771731406222</v>
      </c>
      <c r="W32" s="83" t="n">
        <f aca="false">W31/W30</f>
        <v>3.02023016223954</v>
      </c>
      <c r="X32" s="83" t="n">
        <f aca="false">X31/X30</f>
        <v>3.01604440366019</v>
      </c>
      <c r="Y32" s="83" t="n">
        <f aca="false">Y31/Y30</f>
        <v>3.01771731406222</v>
      </c>
      <c r="Z32" s="83" t="n">
        <f aca="false">Z31/Z30</f>
        <v>3.01771731406222</v>
      </c>
      <c r="AA32" s="83" t="n">
        <f aca="false">AA31/AA30</f>
        <v>3.06150079910223</v>
      </c>
      <c r="AB32" s="83" t="n">
        <f aca="false">AB31/AB30</f>
        <v>3.00127617147117</v>
      </c>
    </row>
    <row r="33" customFormat="false" ht="15" hidden="false" customHeight="false" outlineLevel="0" collapsed="false">
      <c r="A33" s="19" t="s">
        <v>900</v>
      </c>
      <c r="B33" s="5" t="s">
        <v>901</v>
      </c>
      <c r="C33" s="19" t="s">
        <v>99</v>
      </c>
      <c r="D33" s="57" t="n">
        <f aca="false">D31/(D30+D8*(12-D22)/12/D17)</f>
        <v>2.98951303335295</v>
      </c>
      <c r="E33" s="57" t="n">
        <f aca="false">E31/(E30+E8*(12-E22)/12/E17)</f>
        <v>3.00347514971078</v>
      </c>
      <c r="F33" s="57" t="n">
        <f aca="false">F31/(F30+F8*(12-F22)/12/F17)</f>
        <v>2.97568012643743</v>
      </c>
      <c r="G33" s="57" t="n">
        <f aca="false">G31/(G30+G8*(12-G22)/12/G17)</f>
        <v>2.98951303335295</v>
      </c>
      <c r="H33" s="57" t="n">
        <f aca="false">H31/(H30+H8*(12-H22)/12/H17)</f>
        <v>2.98951303335295</v>
      </c>
      <c r="I33" s="57" t="n">
        <f aca="false">I31/(I30+I8*(12-I22)/12/I17)</f>
        <v>2.99623387131481</v>
      </c>
      <c r="J33" s="57" t="n">
        <f aca="false">J31/(J30+J8*(12-J22)/12/J17)</f>
        <v>2.98282227887038</v>
      </c>
      <c r="K33" s="57" t="n">
        <f aca="false">K31/(K30+K8*(12-K22)/12/K17)</f>
        <v>2.98951303335295</v>
      </c>
      <c r="L33" s="57" t="n">
        <f aca="false">L31/(L30+L8*(12-L22)/12/L17)</f>
        <v>2.98951303335295</v>
      </c>
      <c r="M33" s="57" t="n">
        <f aca="false">M31/(M30+M8*(12-M22)/12/M17)</f>
        <v>3.03247846395273</v>
      </c>
      <c r="N33" s="57" t="n">
        <f aca="false">N31/(N30+N8*(12-N22)/12/N17)</f>
        <v>2.96803031805306</v>
      </c>
      <c r="O33" s="57" t="n">
        <f aca="false">O31/(O30+O8*(12-O22)/12/O17)</f>
        <v>2.98951303335295</v>
      </c>
      <c r="P33" s="57" t="n">
        <f aca="false">P31/(P30+P8*(12-P22)/12/P17)</f>
        <v>2.98951303335295</v>
      </c>
      <c r="Q33" s="57" t="n">
        <f aca="false">Q31/(Q30+Q8*(12-Q22)/12/Q17)</f>
        <v>2.98951303335295</v>
      </c>
      <c r="R33" s="57" t="n">
        <f aca="false">R31/(R30+R8*(12-R22)/12/R17)</f>
        <v>2.98951303335295</v>
      </c>
      <c r="S33" s="57" t="n">
        <f aca="false">S31/(S30+S8*(12-S22)/12/S17)</f>
        <v>3.01255008020672</v>
      </c>
      <c r="T33" s="57" t="n">
        <f aca="false">T31/(T30+T8*(12-T22)/12/T17)</f>
        <v>2.96632358154059</v>
      </c>
      <c r="U33" s="57" t="n">
        <f aca="false">U31/(U30+U8*(12-U22)/12/U17)</f>
        <v>2.98951303335295</v>
      </c>
      <c r="V33" s="57" t="n">
        <f aca="false">V31/(V30+V8*(12-V22)/12/V17)</f>
        <v>2.98951303335295</v>
      </c>
      <c r="W33" s="57" t="n">
        <f aca="false">W31/(W30+W8*(12-W22)/12/W17)</f>
        <v>2.99197911052509</v>
      </c>
      <c r="X33" s="57" t="n">
        <f aca="false">X31/(X30+X8*(12-X22)/12/X17)</f>
        <v>2.9878712391238</v>
      </c>
      <c r="Y33" s="57" t="n">
        <f aca="false">Y31/(Y30+Y8*(12-Y22)/12/Y17)</f>
        <v>2.98951303335295</v>
      </c>
      <c r="Z33" s="57" t="n">
        <f aca="false">Z31/(Z30+Z8*(12-Z22)/12/Z17)</f>
        <v>2.98951303335295</v>
      </c>
      <c r="AA33" s="57" t="n">
        <f aca="false">AA31/(AA30+AA8*(12-AA22)/12/AA17)</f>
        <v>3.03544017409614</v>
      </c>
      <c r="AB33" s="57" t="n">
        <f aca="false">AB31/(AB30+AB8*(12-AB22)/12/AB17)</f>
        <v>2.97073169911457</v>
      </c>
    </row>
    <row r="34" customFormat="false" ht="15" hidden="false" customHeight="fals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row>
    <row r="35" customFormat="false" ht="15" hidden="false" customHeight="false" outlineLevel="0" collapsed="false">
      <c r="A35" s="19" t="s">
        <v>902</v>
      </c>
      <c r="B35" s="5" t="s">
        <v>903</v>
      </c>
      <c r="C35" s="19" t="s">
        <v>69</v>
      </c>
      <c r="D35" s="51" t="n">
        <f aca="false">(D26+D29+D8/D17)*(1+D7)</f>
        <v>7999.89654943125</v>
      </c>
      <c r="E35" s="51" t="n">
        <f aca="false">(E26+E29+E8/E17)*(1+E7)</f>
        <v>7962.70779943125</v>
      </c>
      <c r="F35" s="51" t="n">
        <f aca="false">(F26+F29+F8/F17)*(1+F7)</f>
        <v>8037.08529943125</v>
      </c>
      <c r="G35" s="51" t="n">
        <f aca="false">(G26+G29+G8/G17)*(1+G7)</f>
        <v>7886.15394446303</v>
      </c>
      <c r="H35" s="51" t="n">
        <f aca="false">(H26+H29+H8/H17)*(1+H7)</f>
        <v>8113.63915439947</v>
      </c>
      <c r="I35" s="51" t="n">
        <f aca="false">(I26+I29+I8/I17)*(1+I7)</f>
        <v>7981.95201948812</v>
      </c>
      <c r="J35" s="51" t="n">
        <f aca="false">(J26+J29+J8/J17)*(1+J7)</f>
        <v>8017.84107937437</v>
      </c>
      <c r="K35" s="51" t="n">
        <f aca="false">(K26+K29+K8/K17)*(1+K7)</f>
        <v>7999.89654943125</v>
      </c>
      <c r="L35" s="51" t="n">
        <f aca="false">(L26+L29+L8/L17)*(1+L7)</f>
        <v>7999.89654943125</v>
      </c>
      <c r="M35" s="51" t="n">
        <f aca="false">(M26+M29+M8/M17)*(1+M7)</f>
        <v>7999.89654943125</v>
      </c>
      <c r="N35" s="51" t="n">
        <f aca="false">(N26+N29+N8/N17)*(1+N7)</f>
        <v>7999.89654943125</v>
      </c>
      <c r="O35" s="51" t="n">
        <f aca="false">(O26+O29+O8/O17)*(1+O7)</f>
        <v>7999.89654943125</v>
      </c>
      <c r="P35" s="51" t="n">
        <f aca="false">(P26+P29+P8/P17)*(1+P7)</f>
        <v>7999.89654943125</v>
      </c>
      <c r="Q35" s="51" t="n">
        <f aca="false">(Q26+Q29+Q8/Q17)*(1+Q7)</f>
        <v>7999.89654943125</v>
      </c>
      <c r="R35" s="51" t="n">
        <f aca="false">(R26+R29+R8/R17)*(1+R7)</f>
        <v>7999.89654943125</v>
      </c>
      <c r="S35" s="51" t="n">
        <f aca="false">(S26+S29+S8/S17)*(1+S7)</f>
        <v>8026.27154943125</v>
      </c>
      <c r="T35" s="51" t="n">
        <f aca="false">(T26+T29+T8/T17)*(1+T7)</f>
        <v>7973.52154943125</v>
      </c>
      <c r="U35" s="51" t="n">
        <f aca="false">(U26+U29+U8/U17)*(1+U7)</f>
        <v>7999.89654943125</v>
      </c>
      <c r="V35" s="51" t="n">
        <f aca="false">(V26+V29+V8/V17)*(1+V7)</f>
        <v>7999.89654943125</v>
      </c>
      <c r="W35" s="51" t="n">
        <f aca="false">(W26+W29+W8/W17)*(1+W7)</f>
        <v>7993.30279943125</v>
      </c>
      <c r="X35" s="51" t="n">
        <f aca="false">(X26+X29+X8/X17)*(1+X7)</f>
        <v>8004.29238276458</v>
      </c>
      <c r="Y35" s="51" t="n">
        <f aca="false">(Y26+Y29+Y8/Y17)*(1+Y7)</f>
        <v>7999.89654943125</v>
      </c>
      <c r="Z35" s="51" t="n">
        <f aca="false">(Z26+Z29+Z8/Z17)*(1+Z7)</f>
        <v>7999.89654943125</v>
      </c>
      <c r="AA35" s="51" t="n">
        <f aca="false">(AA26+AA29+AA8/AA17)*(1+AA7)</f>
        <v>7792.80455001673</v>
      </c>
      <c r="AB35" s="51" t="n">
        <f aca="false">(AB26+AB29+AB8/AB17)*(1+AB7)</f>
        <v>8196.30631983941</v>
      </c>
    </row>
    <row r="36" customFormat="false" ht="15" hidden="false" customHeight="false" outlineLevel="0" collapsed="false">
      <c r="A36" s="19" t="s">
        <v>904</v>
      </c>
      <c r="B36" s="5" t="s">
        <v>905</v>
      </c>
      <c r="C36" s="19" t="s">
        <v>69</v>
      </c>
      <c r="D36" s="51" t="n">
        <f aca="false">Entrées!$C$54*D9/D17</f>
        <v>25.513549682168</v>
      </c>
      <c r="E36" s="51" t="n">
        <f aca="false">Entrées!$C$54*E9/E17</f>
        <v>25.513549682168</v>
      </c>
      <c r="F36" s="51" t="n">
        <f aca="false">Entrées!$C$54*F9/F17</f>
        <v>25.513549682168</v>
      </c>
      <c r="G36" s="51" t="n">
        <f aca="false">Entrées!$C$54*G9/G17</f>
        <v>25.513549682168</v>
      </c>
      <c r="H36" s="51" t="n">
        <f aca="false">Entrées!$C$54*H9/H17</f>
        <v>25.513549682168</v>
      </c>
      <c r="I36" s="51" t="n">
        <f aca="false">Entrées!$C$54*I9/I17</f>
        <v>25.513549682168</v>
      </c>
      <c r="J36" s="51" t="n">
        <f aca="false">Entrées!$C$54*J9/J17</f>
        <v>25.513549682168</v>
      </c>
      <c r="K36" s="51" t="n">
        <f aca="false">Entrées!$C$54*K9/K17</f>
        <v>0</v>
      </c>
      <c r="L36" s="51" t="n">
        <f aca="false">Entrées!$C$54*L9/L17</f>
        <v>51.0270993643359</v>
      </c>
      <c r="M36" s="51" t="n">
        <f aca="false">Entrées!$C$54*M9/M17</f>
        <v>25.513549682168</v>
      </c>
      <c r="N36" s="51" t="n">
        <f aca="false">Entrées!$C$54*N9/N17</f>
        <v>25.513549682168</v>
      </c>
      <c r="O36" s="51" t="n">
        <f aca="false">Entrées!$C$54*O9/O17</f>
        <v>25.513549682168</v>
      </c>
      <c r="P36" s="51" t="n">
        <f aca="false">Entrées!$C$54*P9/P17</f>
        <v>25.513549682168</v>
      </c>
      <c r="Q36" s="51" t="n">
        <f aca="false">Entrées!$C$54*Q9/Q17</f>
        <v>25.513549682168</v>
      </c>
      <c r="R36" s="51" t="n">
        <f aca="false">Entrées!$C$54*R9/R17</f>
        <v>25.513549682168</v>
      </c>
      <c r="S36" s="51" t="n">
        <f aca="false">Entrées!$C$54*S9/S17</f>
        <v>25.513549682168</v>
      </c>
      <c r="T36" s="51" t="n">
        <f aca="false">Entrées!$C$54*T9/T17</f>
        <v>25.513549682168</v>
      </c>
      <c r="U36" s="51" t="n">
        <f aca="false">Entrées!$C$54*U9/U17</f>
        <v>25.513549682168</v>
      </c>
      <c r="V36" s="51" t="n">
        <f aca="false">Entrées!$C$54*V9/V17</f>
        <v>25.513549682168</v>
      </c>
      <c r="W36" s="51" t="n">
        <f aca="false">Entrées!$C$54*W9/W17</f>
        <v>25.513549682168</v>
      </c>
      <c r="X36" s="51" t="n">
        <f aca="false">Entrées!$C$54*X9/X17</f>
        <v>25.513549682168</v>
      </c>
      <c r="Y36" s="51" t="n">
        <f aca="false">Entrées!$C$54*Y9/Y17</f>
        <v>25.513549682168</v>
      </c>
      <c r="Z36" s="51" t="n">
        <f aca="false">Entrées!$C$54*Z9/Z17</f>
        <v>25.513549682168</v>
      </c>
      <c r="AA36" s="51" t="n">
        <f aca="false">Entrées!$C$54*AA9/AA17</f>
        <v>0</v>
      </c>
      <c r="AB36" s="51" t="n">
        <f aca="false">Entrées!$C$54*AB9/AB17</f>
        <v>51.0270993643359</v>
      </c>
    </row>
    <row r="37" customFormat="false" ht="15" hidden="false" customHeight="false" outlineLevel="0" collapsed="false">
      <c r="A37" s="19" t="s">
        <v>906</v>
      </c>
      <c r="B37" s="5" t="s">
        <v>907</v>
      </c>
      <c r="C37" s="19" t="s">
        <v>69</v>
      </c>
      <c r="D37" s="51" t="n">
        <f aca="false">D16*1000/D19</f>
        <v>51.0204081632653</v>
      </c>
      <c r="E37" s="51" t="n">
        <f aca="false">E16*1000/E19</f>
        <v>51.0204081632653</v>
      </c>
      <c r="F37" s="51" t="n">
        <f aca="false">F16*1000/F19</f>
        <v>51.0204081632653</v>
      </c>
      <c r="G37" s="51" t="n">
        <f aca="false">G16*1000/G19</f>
        <v>51.0204081632653</v>
      </c>
      <c r="H37" s="51" t="n">
        <f aca="false">H16*1000/H19</f>
        <v>51.0204081632653</v>
      </c>
      <c r="I37" s="51" t="n">
        <f aca="false">I16*1000/I19</f>
        <v>51.0204081632653</v>
      </c>
      <c r="J37" s="51" t="n">
        <f aca="false">J16*1000/J19</f>
        <v>51.0204081632653</v>
      </c>
      <c r="K37" s="51" t="n">
        <f aca="false">K16*1000/K19</f>
        <v>51.0204081632653</v>
      </c>
      <c r="L37" s="51" t="n">
        <f aca="false">L16*1000/L19</f>
        <v>51.0204081632653</v>
      </c>
      <c r="M37" s="51" t="n">
        <f aca="false">M16*1000/M19</f>
        <v>51.0204081632653</v>
      </c>
      <c r="N37" s="51" t="n">
        <f aca="false">N16*1000/N19</f>
        <v>51.0204081632653</v>
      </c>
      <c r="O37" s="51" t="n">
        <f aca="false">O16*1000/O19</f>
        <v>51.0204081632653</v>
      </c>
      <c r="P37" s="51" t="n">
        <f aca="false">P16*1000/P19</f>
        <v>51.0204081632653</v>
      </c>
      <c r="Q37" s="51" t="n">
        <f aca="false">Q16*1000/Q19</f>
        <v>51.0204081632653</v>
      </c>
      <c r="R37" s="51" t="n">
        <f aca="false">R16*1000/R19</f>
        <v>51.0204081632653</v>
      </c>
      <c r="S37" s="51" t="n">
        <f aca="false">S16*1000/S19</f>
        <v>51.0204081632653</v>
      </c>
      <c r="T37" s="51" t="n">
        <f aca="false">T16*1000/T19</f>
        <v>51.0204081632653</v>
      </c>
      <c r="U37" s="51" t="n">
        <f aca="false">U16*1000/U19</f>
        <v>51.0204081632653</v>
      </c>
      <c r="V37" s="51" t="n">
        <f aca="false">V16*1000/V19</f>
        <v>51.0204081632653</v>
      </c>
      <c r="W37" s="51" t="n">
        <f aca="false">W16*1000/W19</f>
        <v>51.0204081632653</v>
      </c>
      <c r="X37" s="51" t="n">
        <f aca="false">X16*1000/X19</f>
        <v>51.0204081632653</v>
      </c>
      <c r="Y37" s="51" t="n">
        <f aca="false">Y16*1000/Y19</f>
        <v>0</v>
      </c>
      <c r="Z37" s="51" t="n">
        <f aca="false">Z16*1000/Z19</f>
        <v>102.040816326531</v>
      </c>
      <c r="AA37" s="51" t="n">
        <f aca="false">AA16*1000/AA19</f>
        <v>102.040816326531</v>
      </c>
      <c r="AB37" s="51" t="n">
        <f aca="false">AB16*1000/AB19</f>
        <v>0</v>
      </c>
    </row>
    <row r="38" customFormat="false" ht="15" hidden="false" customHeight="false" outlineLevel="0" collapsed="false">
      <c r="A38" s="19" t="s">
        <v>908</v>
      </c>
      <c r="B38" s="5" t="s">
        <v>909</v>
      </c>
      <c r="C38" s="19" t="s">
        <v>69</v>
      </c>
      <c r="D38" s="51" t="n">
        <f aca="false">(Entrées!$C$36*(1-D13)+MAX(0,Entrées!$C$30-Entrées!$C$35-Entrées!$C$36)*D14)*1000</f>
        <v>950</v>
      </c>
      <c r="E38" s="51" t="n">
        <f aca="false">(Entrées!$C$36*(1-E13)+MAX(0,Entrées!$C$30-Entrées!$C$35-Entrées!$C$36)*E14)*1000</f>
        <v>950</v>
      </c>
      <c r="F38" s="51" t="n">
        <f aca="false">(Entrées!$C$36*(1-F13)+MAX(0,Entrées!$C$30-Entrées!$C$35-Entrées!$C$36)*F14)*1000</f>
        <v>950</v>
      </c>
      <c r="G38" s="51" t="n">
        <f aca="false">(Entrées!$C$36*(1-G13)+MAX(0,Entrées!$C$30-Entrées!$C$35-Entrées!$C$36)*G14)*1000</f>
        <v>950</v>
      </c>
      <c r="H38" s="51" t="n">
        <f aca="false">(Entrées!$C$36*(1-H13)+MAX(0,Entrées!$C$30-Entrées!$C$35-Entrées!$C$36)*H14)*1000</f>
        <v>950</v>
      </c>
      <c r="I38" s="51" t="n">
        <f aca="false">(Entrées!$C$36*(1-I13)+MAX(0,Entrées!$C$30-Entrées!$C$35-Entrées!$C$36)*I14)*1000</f>
        <v>950</v>
      </c>
      <c r="J38" s="51" t="n">
        <f aca="false">(Entrées!$C$36*(1-J13)+MAX(0,Entrées!$C$30-Entrées!$C$35-Entrées!$C$36)*J14)*1000</f>
        <v>950</v>
      </c>
      <c r="K38" s="51" t="n">
        <f aca="false">(Entrées!$C$36*(1-K13)+MAX(0,Entrées!$C$30-Entrées!$C$35-Entrées!$C$36)*K14)*1000</f>
        <v>950</v>
      </c>
      <c r="L38" s="51" t="n">
        <f aca="false">(Entrées!$C$36*(1-L13)+MAX(0,Entrées!$C$30-Entrées!$C$35-Entrées!$C$36)*L14)*1000</f>
        <v>950</v>
      </c>
      <c r="M38" s="51" t="n">
        <f aca="false">(Entrées!$C$36*(1-M13)+MAX(0,Entrées!$C$30-Entrées!$C$35-Entrées!$C$36)*M14)*1000</f>
        <v>950</v>
      </c>
      <c r="N38" s="51" t="n">
        <f aca="false">(Entrées!$C$36*(1-N13)+MAX(0,Entrées!$C$30-Entrées!$C$35-Entrées!$C$36)*N14)*1000</f>
        <v>950</v>
      </c>
      <c r="O38" s="51" t="n">
        <f aca="false">(Entrées!$C$36*(1-O13)+MAX(0,Entrées!$C$30-Entrées!$C$35-Entrées!$C$36)*O14)*1000</f>
        <v>950</v>
      </c>
      <c r="P38" s="51" t="n">
        <f aca="false">(Entrées!$C$36*(1-P13)+MAX(0,Entrées!$C$30-Entrées!$C$35-Entrées!$C$36)*P14)*1000</f>
        <v>950</v>
      </c>
      <c r="Q38" s="51" t="n">
        <f aca="false">(Entrées!$C$36*(1-Q13)+MAX(0,Entrées!$C$30-Entrées!$C$35-Entrées!$C$36)*Q14)*1000</f>
        <v>950</v>
      </c>
      <c r="R38" s="51" t="n">
        <f aca="false">(Entrées!$C$36*(1-R13)+MAX(0,Entrées!$C$30-Entrées!$C$35-Entrées!$C$36)*R14)*1000</f>
        <v>950</v>
      </c>
      <c r="S38" s="51" t="n">
        <f aca="false">(Entrées!$C$36*(1-S13)+MAX(0,Entrées!$C$30-Entrées!$C$35-Entrées!$C$36)*S14)*1000</f>
        <v>1200</v>
      </c>
      <c r="T38" s="51" t="n">
        <f aca="false">(Entrées!$C$36*(1-T13)+MAX(0,Entrées!$C$30-Entrées!$C$35-Entrées!$C$36)*T14)*1000</f>
        <v>700</v>
      </c>
      <c r="U38" s="51" t="n">
        <f aca="false">(Entrées!$C$36*(1-U13)+MAX(0,Entrées!$C$30-Entrées!$C$35-Entrées!$C$36)*U14)*1000</f>
        <v>250</v>
      </c>
      <c r="V38" s="51" t="n">
        <f aca="false">(Entrées!$C$36*(1-V13)+MAX(0,Entrées!$C$30-Entrées!$C$35-Entrées!$C$36)*V14)*1000</f>
        <v>1650</v>
      </c>
      <c r="W38" s="51" t="n">
        <f aca="false">(Entrées!$C$36*(1-W13)+MAX(0,Entrées!$C$30-Entrées!$C$35-Entrées!$C$36)*W14)*1000</f>
        <v>950</v>
      </c>
      <c r="X38" s="51" t="n">
        <f aca="false">(Entrées!$C$36*(1-X13)+MAX(0,Entrées!$C$30-Entrées!$C$35-Entrées!$C$36)*X14)*1000</f>
        <v>950</v>
      </c>
      <c r="Y38" s="51" t="n">
        <f aca="false">(Entrées!$C$36*(1-Y13)+MAX(0,Entrées!$C$30-Entrées!$C$35-Entrées!$C$36)*Y14)*1000</f>
        <v>950</v>
      </c>
      <c r="Z38" s="51" t="n">
        <f aca="false">(Entrées!$C$36*(1-Z13)+MAX(0,Entrées!$C$30-Entrées!$C$35-Entrées!$C$36)*Z14)*1000</f>
        <v>950</v>
      </c>
      <c r="AA38" s="51" t="n">
        <f aca="false">(Entrées!$C$36*(1-AA13)+MAX(0,Entrées!$C$30-Entrées!$C$35-Entrées!$C$36)*AA14)*1000</f>
        <v>0</v>
      </c>
      <c r="AB38" s="51" t="n">
        <f aca="false">(Entrées!$C$36*(1-AB13)+MAX(0,Entrées!$C$30-Entrées!$C$35-Entrées!$C$36)*AB14)*1000</f>
        <v>1900</v>
      </c>
    </row>
    <row r="39" customFormat="false" ht="15" hidden="false" customHeight="false" outlineLevel="0" collapsed="false">
      <c r="A39" s="19" t="s">
        <v>910</v>
      </c>
      <c r="B39" s="5" t="s">
        <v>911</v>
      </c>
      <c r="C39" s="19" t="s">
        <v>69</v>
      </c>
      <c r="D39" s="51" t="n">
        <f aca="false">-D38/D15</f>
        <v>-95</v>
      </c>
      <c r="E39" s="51" t="n">
        <f aca="false">-E38/E15</f>
        <v>-95</v>
      </c>
      <c r="F39" s="51" t="n">
        <f aca="false">-F38/F15</f>
        <v>-95</v>
      </c>
      <c r="G39" s="51" t="n">
        <f aca="false">-G38/G15</f>
        <v>-95</v>
      </c>
      <c r="H39" s="51" t="n">
        <f aca="false">-H38/H15</f>
        <v>-95</v>
      </c>
      <c r="I39" s="51" t="n">
        <f aca="false">-I38/I15</f>
        <v>-95</v>
      </c>
      <c r="J39" s="51" t="n">
        <f aca="false">-J38/J15</f>
        <v>-95</v>
      </c>
      <c r="K39" s="51" t="n">
        <f aca="false">-K38/K15</f>
        <v>-95</v>
      </c>
      <c r="L39" s="51" t="n">
        <f aca="false">-L38/L15</f>
        <v>-95</v>
      </c>
      <c r="M39" s="51" t="n">
        <f aca="false">-M38/M15</f>
        <v>-95</v>
      </c>
      <c r="N39" s="51" t="n">
        <f aca="false">-N38/N15</f>
        <v>-95</v>
      </c>
      <c r="O39" s="51" t="n">
        <f aca="false">-O38/O15</f>
        <v>-95</v>
      </c>
      <c r="P39" s="51" t="n">
        <f aca="false">-P38/P15</f>
        <v>-95</v>
      </c>
      <c r="Q39" s="51" t="n">
        <f aca="false">-Q38/Q15</f>
        <v>-95</v>
      </c>
      <c r="R39" s="51" t="n">
        <f aca="false">-R38/R15</f>
        <v>-95</v>
      </c>
      <c r="S39" s="51" t="n">
        <f aca="false">-S38/S15</f>
        <v>-120</v>
      </c>
      <c r="T39" s="51" t="n">
        <f aca="false">-T38/T15</f>
        <v>-70</v>
      </c>
      <c r="U39" s="51" t="n">
        <f aca="false">-U38/U15</f>
        <v>-25</v>
      </c>
      <c r="V39" s="51" t="n">
        <f aca="false">-V38/V15</f>
        <v>-165</v>
      </c>
      <c r="W39" s="51" t="n">
        <f aca="false">-W38/W15</f>
        <v>-118.75</v>
      </c>
      <c r="X39" s="51" t="n">
        <f aca="false">-X38/X15</f>
        <v>-79.1666666666667</v>
      </c>
      <c r="Y39" s="51" t="n">
        <f aca="false">-Y38/Y15</f>
        <v>-95</v>
      </c>
      <c r="Z39" s="51" t="n">
        <f aca="false">-Z38/Z15</f>
        <v>-95</v>
      </c>
      <c r="AA39" s="51" t="n">
        <f aca="false">-AA38/AA15</f>
        <v>-0</v>
      </c>
      <c r="AB39" s="51" t="n">
        <f aca="false">-AB38/AB15</f>
        <v>-158.333333333333</v>
      </c>
    </row>
    <row r="40" customFormat="false" ht="15" hidden="false" customHeight="false" outlineLevel="0" collapsed="false">
      <c r="A40" s="19" t="s">
        <v>912</v>
      </c>
      <c r="B40" s="17" t="s">
        <v>913</v>
      </c>
      <c r="C40" s="19" t="s">
        <v>69</v>
      </c>
      <c r="D40" s="81" t="n">
        <f aca="false">D35+D36+D37+D39</f>
        <v>7981.43050727668</v>
      </c>
      <c r="E40" s="81" t="n">
        <f aca="false">E35+E36+E37+E39</f>
        <v>7944.24175727668</v>
      </c>
      <c r="F40" s="81" t="n">
        <f aca="false">F35+F36+F37+F39</f>
        <v>8018.61925727668</v>
      </c>
      <c r="G40" s="81" t="n">
        <f aca="false">G35+G36+G37+G39</f>
        <v>7867.68790230847</v>
      </c>
      <c r="H40" s="81" t="n">
        <f aca="false">H35+H36+H37+H39</f>
        <v>8095.1731122449</v>
      </c>
      <c r="I40" s="81" t="n">
        <f aca="false">I35+I36+I37+I39</f>
        <v>7963.48597733356</v>
      </c>
      <c r="J40" s="81" t="n">
        <f aca="false">J35+J36+J37+J39</f>
        <v>7999.37503721981</v>
      </c>
      <c r="K40" s="81" t="n">
        <f aca="false">K35+K36+K37+K39</f>
        <v>7955.91695759451</v>
      </c>
      <c r="L40" s="81" t="n">
        <f aca="false">L35+L36+L37+L39</f>
        <v>8006.94405695885</v>
      </c>
      <c r="M40" s="81" t="n">
        <f aca="false">M35+M36+M37+M39</f>
        <v>7981.43050727668</v>
      </c>
      <c r="N40" s="81" t="n">
        <f aca="false">N35+N36+N37+N39</f>
        <v>7981.43050727668</v>
      </c>
      <c r="O40" s="81" t="n">
        <f aca="false">O35+O36+O37+O39</f>
        <v>7981.43050727668</v>
      </c>
      <c r="P40" s="81" t="n">
        <f aca="false">P35+P36+P37+P39</f>
        <v>7981.43050727668</v>
      </c>
      <c r="Q40" s="81" t="n">
        <f aca="false">Q35+Q36+Q37+Q39</f>
        <v>7981.43050727668</v>
      </c>
      <c r="R40" s="81" t="n">
        <f aca="false">R35+R36+R37+R39</f>
        <v>7981.43050727668</v>
      </c>
      <c r="S40" s="81" t="n">
        <f aca="false">S35+S36+S37+S39</f>
        <v>7982.80550727668</v>
      </c>
      <c r="T40" s="81" t="n">
        <f aca="false">T35+T36+T37+T39</f>
        <v>7980.05550727668</v>
      </c>
      <c r="U40" s="81" t="n">
        <f aca="false">U35+U36+U37+U39</f>
        <v>8051.43050727668</v>
      </c>
      <c r="V40" s="81" t="n">
        <f aca="false">V35+V36+V37+V39</f>
        <v>7911.43050727668</v>
      </c>
      <c r="W40" s="81" t="n">
        <f aca="false">W35+W36+W37+W39</f>
        <v>7951.08675727668</v>
      </c>
      <c r="X40" s="81" t="n">
        <f aca="false">X35+X36+X37+X39</f>
        <v>8001.65967394335</v>
      </c>
      <c r="Y40" s="81" t="n">
        <f aca="false">Y35+Y36+Y37+Y39</f>
        <v>7930.41009911342</v>
      </c>
      <c r="Z40" s="81" t="n">
        <f aca="false">Z35+Z36+Z37+Z39</f>
        <v>8032.45091543995</v>
      </c>
      <c r="AA40" s="81" t="n">
        <f aca="false">AA35+AA36+AA37+AA39</f>
        <v>7894.84536634326</v>
      </c>
      <c r="AB40" s="81" t="n">
        <f aca="false">AB35+AB36+AB37+AB39</f>
        <v>8089.00008587041</v>
      </c>
    </row>
    <row r="41" customFormat="false" ht="15" hidden="false" customHeight="false" outlineLevel="0" collapsed="false">
      <c r="A41" s="19" t="s">
        <v>914</v>
      </c>
      <c r="B41" s="5" t="s">
        <v>915</v>
      </c>
      <c r="C41" s="19" t="s">
        <v>69</v>
      </c>
      <c r="D41" s="51" t="n">
        <f aca="false">D11*D40-D23/D17</f>
        <v>1327.30314754293</v>
      </c>
      <c r="E41" s="51" t="n">
        <f aca="false">E11*E40-E23/E17</f>
        <v>1321.02954061895</v>
      </c>
      <c r="F41" s="51" t="n">
        <f aca="false">F11*F40-F23/F17</f>
        <v>1333.57675446691</v>
      </c>
      <c r="G41" s="51" t="n">
        <f aca="false">G11*G40-G23/G17</f>
        <v>1308.11518360006</v>
      </c>
      <c r="H41" s="51" t="n">
        <f aca="false">H11*H40-H23/H17</f>
        <v>1346.4911114858</v>
      </c>
      <c r="I41" s="51" t="n">
        <f aca="false">I11*I40-I23/I17</f>
        <v>1324.2759705795</v>
      </c>
      <c r="J41" s="51" t="n">
        <f aca="false">J11*J40-J23/J17</f>
        <v>1330.33032450636</v>
      </c>
      <c r="K41" s="51" t="n">
        <f aca="false">K11*K40-K23/K17</f>
        <v>1322.99910446696</v>
      </c>
      <c r="L41" s="51" t="n">
        <f aca="false">L11*L40-L23/L17</f>
        <v>1331.6071906189</v>
      </c>
      <c r="M41" s="51" t="n">
        <f aca="false">M11*M40-M23/M17</f>
        <v>1327.30314754293</v>
      </c>
      <c r="N41" s="51" t="n">
        <f aca="false">N11*N40-N23/N17</f>
        <v>1327.30314754293</v>
      </c>
      <c r="O41" s="51" t="n">
        <f aca="false">O11*O40-O23/O17</f>
        <v>1098.26510875711</v>
      </c>
      <c r="P41" s="51" t="n">
        <f aca="false">P11*P40-P23/P17</f>
        <v>1497.33663412094</v>
      </c>
      <c r="Q41" s="51" t="n">
        <f aca="false">Q11*Q40-Q23/Q17</f>
        <v>1327.30314754293</v>
      </c>
      <c r="R41" s="51" t="n">
        <f aca="false">R11*R40-R23/R17</f>
        <v>1327.30314754293</v>
      </c>
      <c r="S41" s="51" t="n">
        <f aca="false">S11*S40-S23/S17</f>
        <v>1327.53510504407</v>
      </c>
      <c r="T41" s="51" t="n">
        <f aca="false">T11*T40-T23/T17</f>
        <v>1327.07119004179</v>
      </c>
      <c r="U41" s="51" t="n">
        <f aca="false">U11*U40-U23/U17</f>
        <v>1339.11189305545</v>
      </c>
      <c r="V41" s="51" t="n">
        <f aca="false">V11*V40-V23/V17</f>
        <v>1315.49440203041</v>
      </c>
      <c r="W41" s="51" t="n">
        <f aca="false">W11*W40-W23/W17</f>
        <v>1322.18426723371</v>
      </c>
      <c r="X41" s="51" t="n">
        <f aca="false">X11*X40-X23/X17</f>
        <v>1330.71573441574</v>
      </c>
      <c r="Y41" s="51" t="n">
        <f aca="false">Y11*Y40-Y23/Y17</f>
        <v>1318.69619017228</v>
      </c>
      <c r="Z41" s="51" t="n">
        <f aca="false">Z11*Z40-Z23/Z17</f>
        <v>1335.91010491357</v>
      </c>
      <c r="AA41" s="51" t="n">
        <f aca="false">AA11*AA40-AA23/AA17</f>
        <v>1086.14318902643</v>
      </c>
      <c r="AB41" s="51" t="n">
        <f aca="false">AB11*AB40-AB23/AB17</f>
        <v>1517.77485405375</v>
      </c>
    </row>
    <row r="42" customFormat="false" ht="15" hidden="false" customHeight="false" outlineLevel="0" collapsed="false">
      <c r="A42" s="19" t="s">
        <v>916</v>
      </c>
      <c r="B42" s="5" t="s">
        <v>917</v>
      </c>
      <c r="C42" s="19" t="s">
        <v>69</v>
      </c>
      <c r="D42" s="51" t="n">
        <f aca="false">Entrées!$C$79*(1+D12)+D18</f>
        <v>1481.92</v>
      </c>
      <c r="E42" s="51" t="n">
        <f aca="false">Entrées!$C$79*(1+E12)+E18</f>
        <v>1481.92</v>
      </c>
      <c r="F42" s="51" t="n">
        <f aca="false">Entrées!$C$79*(1+F12)+F18</f>
        <v>1481.92</v>
      </c>
      <c r="G42" s="51" t="n">
        <f aca="false">Entrées!$C$79*(1+G12)+G18</f>
        <v>1481.92</v>
      </c>
      <c r="H42" s="51" t="n">
        <f aca="false">Entrées!$C$79*(1+H12)+H18</f>
        <v>1481.92</v>
      </c>
      <c r="I42" s="51" t="n">
        <f aca="false">Entrées!$C$79*(1+I12)+I18</f>
        <v>1481.92</v>
      </c>
      <c r="J42" s="51" t="n">
        <f aca="false">Entrées!$C$79*(1+J12)+J18</f>
        <v>1481.92</v>
      </c>
      <c r="K42" s="51" t="n">
        <f aca="false">Entrées!$C$79*(1+K12)+K18</f>
        <v>1481.92</v>
      </c>
      <c r="L42" s="51" t="n">
        <f aca="false">Entrées!$C$79*(1+L12)+L18</f>
        <v>1481.92</v>
      </c>
      <c r="M42" s="51" t="n">
        <f aca="false">Entrées!$C$79*(1+M12)+M18</f>
        <v>1481.92</v>
      </c>
      <c r="N42" s="51" t="n">
        <f aca="false">Entrées!$C$79*(1+N12)+N18</f>
        <v>1481.92</v>
      </c>
      <c r="O42" s="51" t="n">
        <f aca="false">Entrées!$C$79*(1+O12)+O18</f>
        <v>1481.92</v>
      </c>
      <c r="P42" s="51" t="n">
        <f aca="false">Entrées!$C$79*(1+P12)+P18</f>
        <v>1481.92</v>
      </c>
      <c r="Q42" s="51" t="n">
        <f aca="false">Entrées!$C$79*(1+Q12)+Q18</f>
        <v>1437.96</v>
      </c>
      <c r="R42" s="51" t="n">
        <f aca="false">Entrées!$C$79*(1+R12)+R18</f>
        <v>1525.88</v>
      </c>
      <c r="S42" s="51" t="n">
        <f aca="false">Entrées!$C$79*(1+S12)+S18</f>
        <v>1481.92</v>
      </c>
      <c r="T42" s="51" t="n">
        <f aca="false">Entrées!$C$79*(1+T12)+T18</f>
        <v>1481.92</v>
      </c>
      <c r="U42" s="51" t="n">
        <f aca="false">Entrées!$C$79*(1+U12)+U18</f>
        <v>1481.92</v>
      </c>
      <c r="V42" s="51" t="n">
        <f aca="false">Entrées!$C$79*(1+V12)+V18</f>
        <v>1481.92</v>
      </c>
      <c r="W42" s="51" t="n">
        <f aca="false">Entrées!$C$79*(1+W12)+W18</f>
        <v>1481.92</v>
      </c>
      <c r="X42" s="51" t="n">
        <f aca="false">Entrées!$C$79*(1+X12)+X18</f>
        <v>1481.92</v>
      </c>
      <c r="Y42" s="51" t="n">
        <f aca="false">Entrées!$C$79*(1+Y12)+Y18</f>
        <v>1481.92</v>
      </c>
      <c r="Z42" s="51" t="n">
        <f aca="false">Entrées!$C$79*(1+Z12)+Z18</f>
        <v>1481.92</v>
      </c>
      <c r="AA42" s="51" t="n">
        <f aca="false">Entrées!$C$79*(1+AA12)+AA18</f>
        <v>1525.88</v>
      </c>
      <c r="AB42" s="51" t="n">
        <f aca="false">Entrées!$C$79*(1+AB12)+AB18</f>
        <v>1437.96</v>
      </c>
    </row>
    <row r="43" customFormat="false" ht="15" hidden="false" customHeight="false" outlineLevel="0" collapsed="false">
      <c r="A43" s="19" t="s">
        <v>918</v>
      </c>
      <c r="B43" s="17" t="s">
        <v>919</v>
      </c>
      <c r="C43" s="19" t="s">
        <v>69</v>
      </c>
      <c r="D43" s="81" t="n">
        <f aca="false">D31-D41+D42+D16*1000-D38+D21</f>
        <v>22373.6168524571</v>
      </c>
      <c r="E43" s="81" t="n">
        <f aca="false">E31-E41+E42+E16*1000-E38+E21</f>
        <v>22379.8904593811</v>
      </c>
      <c r="F43" s="81" t="n">
        <f aca="false">F31-F41+F42+F16*1000-F38+F21</f>
        <v>22367.3432455331</v>
      </c>
      <c r="G43" s="81" t="n">
        <f aca="false">G31-G41+G42+G16*1000-G38+G21</f>
        <v>22392.8048163999</v>
      </c>
      <c r="H43" s="81" t="n">
        <f aca="false">H31-H41+H42+H16*1000-H38+H21</f>
        <v>22354.4288885142</v>
      </c>
      <c r="I43" s="81" t="n">
        <f aca="false">I31-I41+I42+I16*1000-I38+I21</f>
        <v>22376.6440294205</v>
      </c>
      <c r="J43" s="81" t="n">
        <f aca="false">J31-J41+J42+J16*1000-J38+J21</f>
        <v>22370.5896754936</v>
      </c>
      <c r="K43" s="81" t="n">
        <f aca="false">K31-K41+K42+K16*1000-K38+K21</f>
        <v>22377.920895533</v>
      </c>
      <c r="L43" s="81" t="n">
        <f aca="false">L31-L41+L42+L16*1000-L38+L21</f>
        <v>22369.3128093811</v>
      </c>
      <c r="M43" s="81" t="n">
        <f aca="false">M31-M41+M42+M16*1000-M38+M21</f>
        <v>22699.4168524571</v>
      </c>
      <c r="N43" s="81" t="n">
        <f aca="false">N31-N41+N42+N16*1000-N38+N21</f>
        <v>22210.7168524571</v>
      </c>
      <c r="O43" s="81" t="n">
        <f aca="false">O31-O41+O42+O16*1000-O38+O21</f>
        <v>22602.6548912429</v>
      </c>
      <c r="P43" s="81" t="n">
        <f aca="false">P31-P41+P42+P16*1000-P38+P21</f>
        <v>22203.5833658791</v>
      </c>
      <c r="Q43" s="81" t="n">
        <f aca="false">Q31-Q41+Q42+Q16*1000-Q38+Q21</f>
        <v>22329.6568524571</v>
      </c>
      <c r="R43" s="81" t="n">
        <f aca="false">R31-R41+R42+R16*1000-R38+R21</f>
        <v>22417.5768524571</v>
      </c>
      <c r="S43" s="81" t="n">
        <f aca="false">S31-S41+S42+S16*1000-S38+S21</f>
        <v>22373.3848949559</v>
      </c>
      <c r="T43" s="81" t="n">
        <f aca="false">T31-T41+T42+T16*1000-T38+T21</f>
        <v>22373.8488099582</v>
      </c>
      <c r="U43" s="81" t="n">
        <f aca="false">U31-U41+U42+U16*1000-U38+U21</f>
        <v>23061.8081069445</v>
      </c>
      <c r="V43" s="81" t="n">
        <f aca="false">V31-V41+V42+V16*1000-V38+V21</f>
        <v>21685.4255979696</v>
      </c>
      <c r="W43" s="81" t="n">
        <f aca="false">W31-W41+W42+W16*1000-W38+W21</f>
        <v>22378.7357327663</v>
      </c>
      <c r="X43" s="81" t="n">
        <f aca="false">X31-X41+X42+X16*1000-X38+X21</f>
        <v>22370.2042655843</v>
      </c>
      <c r="Y43" s="81" t="n">
        <f aca="false">Y31-Y41+Y42+Y16*1000-Y38+Y21</f>
        <v>21882.2238098277</v>
      </c>
      <c r="Z43" s="81" t="n">
        <f aca="false">Z31-Z41+Z42+Z16*1000-Z38+Z21</f>
        <v>22865.0098950864</v>
      </c>
      <c r="AA43" s="81" t="n">
        <f aca="false">AA31-AA41+AA42+AA16*1000-AA38+AA21</f>
        <v>24184.5368109736</v>
      </c>
      <c r="AB43" s="81" t="n">
        <f aca="false">AB31-AB41+AB42+AB16*1000-AB38+AB21</f>
        <v>20776.2851459462</v>
      </c>
    </row>
    <row r="44" customFormat="false" ht="15" hidden="false" customHeight="false" outlineLevel="0" collapsed="false">
      <c r="A44" s="19" t="s">
        <v>920</v>
      </c>
      <c r="B44" s="17" t="s">
        <v>921</v>
      </c>
      <c r="C44" s="19" t="s">
        <v>99</v>
      </c>
      <c r="D44" s="83" t="n">
        <f aca="false">D43/D40</f>
        <v>2.80320887741352</v>
      </c>
      <c r="E44" s="83" t="n">
        <f aca="false">E43/E40</f>
        <v>2.81712102213931</v>
      </c>
      <c r="F44" s="83" t="n">
        <f aca="false">F43/F40</f>
        <v>2.78942577616905</v>
      </c>
      <c r="G44" s="83" t="n">
        <f aca="false">G43/G40</f>
        <v>2.8461735003278</v>
      </c>
      <c r="H44" s="83" t="n">
        <f aca="false">H43/H40</f>
        <v>2.76145161796485</v>
      </c>
      <c r="I44" s="83" t="n">
        <f aca="false">I43/I40</f>
        <v>2.8099056233804</v>
      </c>
      <c r="J44" s="83" t="n">
        <f aca="false">J43/J40</f>
        <v>2.79654217628338</v>
      </c>
      <c r="K44" s="83" t="n">
        <f aca="false">K43/K40</f>
        <v>2.81273937558783</v>
      </c>
      <c r="L44" s="83" t="n">
        <f aca="false">L43/L40</f>
        <v>2.79373911572916</v>
      </c>
      <c r="M44" s="83" t="n">
        <f aca="false">M43/M40</f>
        <v>2.84402862767044</v>
      </c>
      <c r="N44" s="83" t="n">
        <f aca="false">N43/N40</f>
        <v>2.78279900228506</v>
      </c>
      <c r="O44" s="83" t="n">
        <f aca="false">O43/O40</f>
        <v>2.83190524187813</v>
      </c>
      <c r="P44" s="83" t="n">
        <f aca="false">P43/P40</f>
        <v>2.78190524187814</v>
      </c>
      <c r="Q44" s="83" t="n">
        <f aca="false">Q43/Q40</f>
        <v>2.79770109281777</v>
      </c>
      <c r="R44" s="83" t="n">
        <f aca="false">R43/R40</f>
        <v>2.80871666200927</v>
      </c>
      <c r="S44" s="83" t="n">
        <f aca="false">S43/S40</f>
        <v>2.80269698097512</v>
      </c>
      <c r="T44" s="83" t="n">
        <f aca="false">T43/T40</f>
        <v>2.8037209502561</v>
      </c>
      <c r="U44" s="83" t="n">
        <f aca="false">U43/U40</f>
        <v>2.86431188670161</v>
      </c>
      <c r="V44" s="83" t="n">
        <f aca="false">V43/V40</f>
        <v>2.74102459448061</v>
      </c>
      <c r="W44" s="83" t="n">
        <f aca="false">W43/W40</f>
        <v>2.81455056596958</v>
      </c>
      <c r="X44" s="83" t="n">
        <f aca="false">X43/X40</f>
        <v>2.79569554031781</v>
      </c>
      <c r="Y44" s="83" t="n">
        <f aca="false">Y43/Y40</f>
        <v>2.75928023095225</v>
      </c>
      <c r="Z44" s="83" t="n">
        <f aca="false">Z43/Z40</f>
        <v>2.84657947316371</v>
      </c>
      <c r="AA44" s="83" t="n">
        <f aca="false">AA43/AA40</f>
        <v>3.06333255291805</v>
      </c>
      <c r="AB44" s="83" t="n">
        <f aca="false">AB43/AB40</f>
        <v>2.56846148169012</v>
      </c>
    </row>
    <row r="45" customFormat="false" ht="15" hidden="false" customHeight="false" outlineLevel="0" collapsed="false">
      <c r="A45" s="19" t="s">
        <v>922</v>
      </c>
      <c r="B45" s="17" t="s">
        <v>923</v>
      </c>
      <c r="C45" s="19" t="s">
        <v>69</v>
      </c>
      <c r="D45" s="82" t="n">
        <f aca="false">D24*D40-D43</f>
        <v>1570.67466937297</v>
      </c>
      <c r="E45" s="82" t="n">
        <f aca="false">E24*E40-E43</f>
        <v>1452.83481244899</v>
      </c>
      <c r="F45" s="82" t="n">
        <f aca="false">F24*F40-F43</f>
        <v>1688.51452629695</v>
      </c>
      <c r="G45" s="82" t="n">
        <f aca="false">G24*G40-G43</f>
        <v>1210.25889052545</v>
      </c>
      <c r="H45" s="82" t="n">
        <f aca="false">H24*H40-H43</f>
        <v>1931.09044822049</v>
      </c>
      <c r="I45" s="82" t="n">
        <f aca="false">I24*I40-I43</f>
        <v>1513.81390258016</v>
      </c>
      <c r="J45" s="82" t="n">
        <f aca="false">J24*J40-J43</f>
        <v>1627.53543616577</v>
      </c>
      <c r="K45" s="82" t="n">
        <f aca="false">K24*K40-K43</f>
        <v>1489.8299772505</v>
      </c>
      <c r="L45" s="82" t="n">
        <f aca="false">L24*L40-L43</f>
        <v>1651.51936149544</v>
      </c>
      <c r="M45" s="82" t="n">
        <f aca="false">M24*M40-M43</f>
        <v>1244.87466937297</v>
      </c>
      <c r="N45" s="82" t="n">
        <f aca="false">N24*N40-N43</f>
        <v>1733.57466937297</v>
      </c>
      <c r="O45" s="82" t="n">
        <f aca="false">O24*O40-O43</f>
        <v>1341.63663058715</v>
      </c>
      <c r="P45" s="82" t="n">
        <f aca="false">P24*P40-P43</f>
        <v>1740.70815595098</v>
      </c>
      <c r="Q45" s="82" t="n">
        <f aca="false">Q24*Q40-Q43</f>
        <v>1614.63466937297</v>
      </c>
      <c r="R45" s="82" t="n">
        <f aca="false">R24*R40-R43</f>
        <v>1526.71466937297</v>
      </c>
      <c r="S45" s="82" t="n">
        <f aca="false">S24*S40-S43</f>
        <v>1575.03162687411</v>
      </c>
      <c r="T45" s="82" t="n">
        <f aca="false">T24*T40-T43</f>
        <v>1566.31771187183</v>
      </c>
      <c r="U45" s="82" t="n">
        <f aca="false">U24*U40-U43</f>
        <v>1092.48341488549</v>
      </c>
      <c r="V45" s="82" t="n">
        <f aca="false">V24*V40-V43</f>
        <v>2048.86592386045</v>
      </c>
      <c r="W45" s="82" t="n">
        <f aca="false">W24*W40-W43</f>
        <v>1474.52453906374</v>
      </c>
      <c r="X45" s="82" t="n">
        <f aca="false">X24*X40-X43</f>
        <v>1634.77475624579</v>
      </c>
      <c r="Y45" s="82" t="n">
        <f aca="false">Y24*Y40-Y43</f>
        <v>1909.00648751253</v>
      </c>
      <c r="Z45" s="82" t="n">
        <f aca="false">Z24*Z40-Z43</f>
        <v>1232.34285123341</v>
      </c>
      <c r="AA45" s="82" t="n">
        <f aca="false">AA24*AA40-AA43</f>
        <v>-500.000711943791</v>
      </c>
      <c r="AB45" s="82" t="n">
        <f aca="false">AB24*AB40-AB43</f>
        <v>3490.715111665</v>
      </c>
    </row>
    <row r="46" customFormat="false" ht="15" hidden="false" customHeight="false" outlineLevel="0" collapsed="false">
      <c r="A46" s="19" t="s">
        <v>924</v>
      </c>
      <c r="B46" s="17" t="s">
        <v>925</v>
      </c>
      <c r="C46" s="19" t="s">
        <v>69</v>
      </c>
      <c r="D46" s="82" t="n">
        <f aca="false">IF(D19&gt;D24,MAX(0,D45)/(1-D24/D19),0)</f>
        <v>2263.61937644927</v>
      </c>
      <c r="E46" s="82" t="n">
        <f aca="false">IF(E19&gt;E24,MAX(0,E45)/(1-E24/E19),0)</f>
        <v>2093.79134735295</v>
      </c>
      <c r="F46" s="82" t="n">
        <f aca="false">IF(F19&gt;F24,MAX(0,F45)/(1-F24/F19),0)</f>
        <v>2433.4474055456</v>
      </c>
      <c r="G46" s="82" t="n">
        <f aca="false">IF(G19&gt;G24,MAX(0,G45)/(1-G24/G19),0)</f>
        <v>1744.1966363455</v>
      </c>
      <c r="H46" s="82" t="n">
        <f aca="false">IF(H19&gt;H24,MAX(0,H45)/(1-H24/H19),0)</f>
        <v>2783.04211655306</v>
      </c>
      <c r="I46" s="82" t="n">
        <f aca="false">IF(I19&gt;I24,MAX(0,I45)/(1-I24/I19),0)</f>
        <v>2181.67297724788</v>
      </c>
      <c r="J46" s="82" t="n">
        <f aca="false">IF(J19&gt;J24,MAX(0,J45)/(1-J24/J19),0)</f>
        <v>2345.56577565067</v>
      </c>
      <c r="K46" s="82" t="n">
        <f aca="false">IF(K19&gt;K24,MAX(0,K45)/(1-K24/K19),0)</f>
        <v>2147.10790839042</v>
      </c>
      <c r="L46" s="82" t="n">
        <f aca="false">IF(L19&gt;L24,MAX(0,L45)/(1-L24/L19),0)</f>
        <v>2380.13084450814</v>
      </c>
      <c r="M46" s="82" t="n">
        <f aca="false">IF(M19&gt;M24,MAX(0,M45)/(1-M24/M19),0)</f>
        <v>1794.08408233163</v>
      </c>
      <c r="N46" s="82" t="n">
        <f aca="false">IF(N19&gt;N24,MAX(0,N45)/(1-N24/N19),0)</f>
        <v>2498.3870235081</v>
      </c>
      <c r="O46" s="82" t="n">
        <f aca="false">IF(O19&gt;O24,MAX(0,O45)/(1-O24/O19),0)</f>
        <v>1933.53514408148</v>
      </c>
      <c r="P46" s="82" t="n">
        <f aca="false">IF(P19&gt;P24,MAX(0,P45)/(1-P24/P19),0)</f>
        <v>2508.66763651759</v>
      </c>
      <c r="Q46" s="82" t="n">
        <f aca="false">IF(Q19&gt;Q24,MAX(0,Q45)/(1-Q24/Q19),0)</f>
        <v>2326.97349409634</v>
      </c>
      <c r="R46" s="82" t="n">
        <f aca="false">IF(R19&gt;R24,MAX(0,R45)/(1-R24/R19),0)</f>
        <v>2200.26525880222</v>
      </c>
      <c r="S46" s="82" t="n">
        <f aca="false">IF(S19&gt;S24,MAX(0,S45)/(1-S24/S19),0)</f>
        <v>2269.89852108327</v>
      </c>
      <c r="T46" s="82" t="n">
        <f aca="false">IF(T19&gt;T24,MAX(0,T45)/(1-T24/T19),0)</f>
        <v>2257.34023181529</v>
      </c>
      <c r="U46" s="82" t="n">
        <f aca="false">IF(U19&gt;U24,MAX(0,U45)/(1-U24/U19),0)</f>
        <v>1574.46139204086</v>
      </c>
      <c r="V46" s="82" t="n">
        <f aca="false">IF(V19&gt;V24,MAX(0,V45)/(1-V24/V19),0)</f>
        <v>2952.7773608577</v>
      </c>
      <c r="W46" s="82" t="n">
        <f aca="false">IF(W19&gt;W24,MAX(0,W45)/(1-W24/W19),0)</f>
        <v>2125.05007100363</v>
      </c>
      <c r="X46" s="82" t="n">
        <f aca="false">IF(X19&gt;X24,MAX(0,X45)/(1-X24/X19),0)</f>
        <v>2355.99891341305</v>
      </c>
      <c r="Y46" s="82" t="n">
        <f aca="false">IF(Y19&gt;Y24,MAX(0,Y45)/(1-Y24/Y19),0)</f>
        <v>2751.21523200335</v>
      </c>
      <c r="Z46" s="82" t="n">
        <f aca="false">IF(Z19&gt;Z24,MAX(0,Z45)/(1-Z24/Z19),0)</f>
        <v>1776.02352089521</v>
      </c>
      <c r="AA46" s="82" t="n">
        <f aca="false">IF(AA19&gt;AA24,MAX(0,AA45)/(1-AA24/AA19),0)</f>
        <v>0</v>
      </c>
      <c r="AB46" s="82" t="n">
        <f aca="false">IF(AB19&gt;AB24,MAX(0,AB45)/(1-AB24/AB19),0)</f>
        <v>5030.73648445838</v>
      </c>
    </row>
    <row r="47" customFormat="false" ht="15" hidden="false" customHeight="false" outlineLevel="0" collapsed="false">
      <c r="A47" s="19" t="s">
        <v>926</v>
      </c>
      <c r="B47" s="5" t="s">
        <v>927</v>
      </c>
      <c r="C47" s="19" t="s">
        <v>69</v>
      </c>
      <c r="D47" s="51" t="n">
        <f aca="false">D40-Entrées!$C$17*1000</f>
        <v>-18.5694927233199</v>
      </c>
      <c r="E47" s="51" t="n">
        <f aca="false">E40-Entrées!$C$17*1000</f>
        <v>-55.7582427233192</v>
      </c>
      <c r="F47" s="51" t="n">
        <f aca="false">F40-Entrées!$C$17*1000</f>
        <v>18.6192572766804</v>
      </c>
      <c r="G47" s="51" t="n">
        <f aca="false">G40-Entrées!$C$17*1000</f>
        <v>-132.312097691535</v>
      </c>
      <c r="H47" s="51" t="n">
        <f aca="false">H40-Entrées!$C$17*1000</f>
        <v>95.1731122448982</v>
      </c>
      <c r="I47" s="51" t="n">
        <f aca="false">I40-Entrées!$C$17*1000</f>
        <v>-36.5140226664444</v>
      </c>
      <c r="J47" s="51" t="n">
        <f aca="false">J40-Entrées!$C$17*1000</f>
        <v>-0.624962780195347</v>
      </c>
      <c r="K47" s="51" t="n">
        <f aca="false">K40-Entrées!$C$17*1000</f>
        <v>-44.0830424054875</v>
      </c>
      <c r="L47" s="51" t="n">
        <f aca="false">L40-Entrées!$C$17*1000</f>
        <v>6.94405695884871</v>
      </c>
      <c r="M47" s="51" t="n">
        <f aca="false">M40-Entrées!$C$17*1000</f>
        <v>-18.5694927233199</v>
      </c>
      <c r="N47" s="51" t="n">
        <f aca="false">N40-Entrées!$C$17*1000</f>
        <v>-18.5694927233199</v>
      </c>
      <c r="O47" s="51" t="n">
        <f aca="false">O40-Entrées!$C$17*1000</f>
        <v>-18.5694927233199</v>
      </c>
      <c r="P47" s="51" t="n">
        <f aca="false">P40-Entrées!$C$17*1000</f>
        <v>-18.5694927233199</v>
      </c>
      <c r="Q47" s="51" t="n">
        <f aca="false">Q40-Entrées!$C$17*1000</f>
        <v>-18.5694927233199</v>
      </c>
      <c r="R47" s="51" t="n">
        <f aca="false">R40-Entrées!$C$17*1000</f>
        <v>-18.5694927233199</v>
      </c>
      <c r="S47" s="51" t="n">
        <f aca="false">S40-Entrées!$C$17*1000</f>
        <v>-17.1944927233199</v>
      </c>
      <c r="T47" s="51" t="n">
        <f aca="false">T40-Entrées!$C$17*1000</f>
        <v>-19.9444927233199</v>
      </c>
      <c r="U47" s="51" t="n">
        <f aca="false">U40-Entrées!$C$17*1000</f>
        <v>51.4305072766801</v>
      </c>
      <c r="V47" s="51" t="n">
        <f aca="false">V40-Entrées!$C$17*1000</f>
        <v>-88.5694927233199</v>
      </c>
      <c r="W47" s="51" t="n">
        <f aca="false">W40-Entrées!$C$17*1000</f>
        <v>-48.9132427233199</v>
      </c>
      <c r="X47" s="51" t="n">
        <f aca="false">X40-Entrées!$C$17*1000</f>
        <v>1.65967394334712</v>
      </c>
      <c r="Y47" s="51" t="n">
        <f aca="false">Y40-Entrées!$C$17*1000</f>
        <v>-69.5899008865854</v>
      </c>
      <c r="Z47" s="51" t="n">
        <f aca="false">Z40-Entrées!$C$17*1000</f>
        <v>32.4509154399457</v>
      </c>
      <c r="AA47" s="51" t="n">
        <f aca="false">AA40-Entrées!$C$17*1000</f>
        <v>-105.154633656741</v>
      </c>
      <c r="AB47" s="51" t="n">
        <f aca="false">AB40-Entrées!$C$17*1000</f>
        <v>89.0000858704143</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s>
  <sheetData>
    <row r="1" customFormat="false" ht="17.35" hidden="false" customHeight="false" outlineLevel="0" collapsed="false">
      <c r="A1" s="1" t="s">
        <v>928</v>
      </c>
      <c r="B1" s="2"/>
      <c r="C1" s="2"/>
      <c r="D1" s="2"/>
      <c r="E1" s="2"/>
      <c r="F1" s="2"/>
      <c r="G1" s="2"/>
      <c r="H1" s="2"/>
      <c r="I1" s="2"/>
      <c r="J1" s="2"/>
      <c r="K1" s="2"/>
      <c r="L1" s="2"/>
    </row>
    <row r="2" customFormat="false" ht="15" hidden="false" customHeight="false" outlineLevel="0" collapsed="false">
      <c r="A2" s="3" t="s">
        <v>929</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23.85" hidden="false" customHeight="false" outlineLevel="0" collapsed="false">
      <c r="A4" s="16" t="s">
        <v>599</v>
      </c>
      <c r="B4" s="16" t="s">
        <v>600</v>
      </c>
      <c r="C4" s="16" t="s">
        <v>930</v>
      </c>
      <c r="D4" s="16" t="s">
        <v>931</v>
      </c>
      <c r="E4" s="16" t="s">
        <v>932</v>
      </c>
      <c r="F4" s="16" t="s">
        <v>933</v>
      </c>
      <c r="G4" s="16" t="s">
        <v>934</v>
      </c>
      <c r="H4" s="16" t="s">
        <v>935</v>
      </c>
      <c r="I4" s="16" t="s">
        <v>936</v>
      </c>
      <c r="J4" s="16" t="s">
        <v>937</v>
      </c>
      <c r="K4" s="16" t="s">
        <v>938</v>
      </c>
      <c r="L4" s="16" t="s">
        <v>939</v>
      </c>
    </row>
    <row r="5" customFormat="false" ht="15" hidden="false" customHeight="false" outlineLevel="0" collapsed="false">
      <c r="A5" s="19" t="s">
        <v>606</v>
      </c>
      <c r="B5" s="84" t="str">
        <f aca="false">Hypothèses!$B$5</f>
        <v>Croissance organique de l'EBITDA en 2026</v>
      </c>
      <c r="C5" s="64" t="n">
        <f aca="false">Hypothèses!$D$5</f>
        <v>0.05</v>
      </c>
      <c r="D5" s="64" t="n">
        <f aca="false">Hypothèses!$E$5</f>
        <v>0.06</v>
      </c>
      <c r="E5" s="47" t="n">
        <f aca="false">Trajectoire!$E$45</f>
        <v>1452.83481244899</v>
      </c>
      <c r="F5" s="47" t="n">
        <f aca="false">Trajectoire!$F$45</f>
        <v>1688.51452629695</v>
      </c>
      <c r="G5" s="51" t="n">
        <f aca="false">E5-Trajectoire!$D$45</f>
        <v>-117.83985692398</v>
      </c>
      <c r="H5" s="51" t="n">
        <f aca="false">F5-Trajectoire!$D$45</f>
        <v>117.839856923983</v>
      </c>
      <c r="I5" s="50" t="n">
        <f aca="false">ABS(F5-E5)</f>
        <v>235.679713847963</v>
      </c>
      <c r="J5" s="49" t="n">
        <f aca="false">Trajectoire!$E$32</f>
        <v>3.03194474860946</v>
      </c>
      <c r="K5" s="49" t="n">
        <f aca="false">Trajectoire!$F$32</f>
        <v>3.00362278066543</v>
      </c>
      <c r="L5" s="85" t="n">
        <f aca="false">I5+ROW()/1000000</f>
        <v>235.679718847963</v>
      </c>
    </row>
    <row r="6" customFormat="false" ht="15" hidden="false" customHeight="false" outlineLevel="0" collapsed="false">
      <c r="A6" s="19" t="s">
        <v>610</v>
      </c>
      <c r="B6" s="84" t="str">
        <f aca="false">Hypothèses!$B$6</f>
        <v>Croissance organique de l'EBITDA en 2027</v>
      </c>
      <c r="C6" s="64" t="n">
        <f aca="false">Hypothèses!$D$6</f>
        <v>0.04</v>
      </c>
      <c r="D6" s="64" t="n">
        <f aca="false">Hypothèses!$E$6</f>
        <v>0.07</v>
      </c>
      <c r="E6" s="47" t="n">
        <f aca="false">Trajectoire!$G$45</f>
        <v>1210.25889052545</v>
      </c>
      <c r="F6" s="47" t="n">
        <f aca="false">Trajectoire!$H$45</f>
        <v>1931.09044822049</v>
      </c>
      <c r="G6" s="51" t="n">
        <f aca="false">E6-Trajectoire!$D$45</f>
        <v>-360.415778847513</v>
      </c>
      <c r="H6" s="51" t="n">
        <f aca="false">F6-Trajectoire!$D$45</f>
        <v>360.415778847528</v>
      </c>
      <c r="I6" s="50" t="n">
        <f aca="false">ABS(F6-E6)</f>
        <v>720.831557695041</v>
      </c>
      <c r="J6" s="49" t="n">
        <f aca="false">Trajectoire!$G$32</f>
        <v>3.01771731406222</v>
      </c>
      <c r="K6" s="49" t="n">
        <f aca="false">Trajectoire!$H$32</f>
        <v>3.01771731406222</v>
      </c>
      <c r="L6" s="85" t="n">
        <f aca="false">I6+ROW()/1000000</f>
        <v>720.831563695041</v>
      </c>
    </row>
    <row r="7" customFormat="false" ht="15" hidden="false" customHeight="false" outlineLevel="0" collapsed="false">
      <c r="A7" s="19" t="s">
        <v>614</v>
      </c>
      <c r="B7" s="84" t="str">
        <f aca="false">Hypothèses!$B$7</f>
        <v>EBITDA de Clean Earth en année pleine</v>
      </c>
      <c r="C7" s="47" t="n">
        <f aca="false">Hypothèses!$D$7</f>
        <v>180</v>
      </c>
      <c r="D7" s="47" t="n">
        <f aca="false">Hypothèses!$E$7</f>
        <v>220</v>
      </c>
      <c r="E7" s="47" t="n">
        <f aca="false">Trajectoire!$I$45</f>
        <v>1513.81390258016</v>
      </c>
      <c r="F7" s="47" t="n">
        <f aca="false">Trajectoire!$J$45</f>
        <v>1627.53543616577</v>
      </c>
      <c r="G7" s="51" t="n">
        <f aca="false">E7-Trajectoire!$D$45</f>
        <v>-56.8607667928009</v>
      </c>
      <c r="H7" s="51" t="n">
        <f aca="false">F7-Trajectoire!$D$45</f>
        <v>56.8607667928081</v>
      </c>
      <c r="I7" s="50" t="n">
        <f aca="false">ABS(F7-E7)</f>
        <v>113.721533585609</v>
      </c>
      <c r="J7" s="49" t="n">
        <f aca="false">Trajectoire!$I$32</f>
        <v>3.02170843759514</v>
      </c>
      <c r="K7" s="49" t="n">
        <f aca="false">Trajectoire!$J$32</f>
        <v>3.01373671970891</v>
      </c>
      <c r="L7" s="85" t="n">
        <f aca="false">I7+ROW()/1000000</f>
        <v>113.721540585609</v>
      </c>
    </row>
    <row r="8" customFormat="false" ht="15" hidden="false" customHeight="false" outlineLevel="0" collapsed="false">
      <c r="A8" s="19" t="s">
        <v>617</v>
      </c>
      <c r="B8" s="84" t="str">
        <f aca="false">Hypothèses!$B$8</f>
        <v>Part des synergies réalisée en 2027</v>
      </c>
      <c r="C8" s="64" t="n">
        <f aca="false">Hypothèses!$D$8</f>
        <v>0</v>
      </c>
      <c r="D8" s="64" t="n">
        <f aca="false">Hypothèses!$E$8</f>
        <v>0.5</v>
      </c>
      <c r="E8" s="47" t="n">
        <f aca="false">Trajectoire!$K$45</f>
        <v>1489.8299772505</v>
      </c>
      <c r="F8" s="47" t="n">
        <f aca="false">Trajectoire!$L$45</f>
        <v>1651.51936149544</v>
      </c>
      <c r="G8" s="51" t="n">
        <f aca="false">E8-Trajectoire!$D$45</f>
        <v>-80.8446921224677</v>
      </c>
      <c r="H8" s="51" t="n">
        <f aca="false">F8-Trajectoire!$D$45</f>
        <v>80.8446921224786</v>
      </c>
      <c r="I8" s="50" t="n">
        <f aca="false">ABS(F8-E8)</f>
        <v>161.689384244946</v>
      </c>
      <c r="J8" s="49" t="n">
        <f aca="false">Trajectoire!$K$32</f>
        <v>3.01771731406222</v>
      </c>
      <c r="K8" s="49" t="n">
        <f aca="false">Trajectoire!$L$32</f>
        <v>3.01771731406222</v>
      </c>
      <c r="L8" s="85" t="n">
        <f aca="false">I8+ROW()/1000000</f>
        <v>161.689392244946</v>
      </c>
    </row>
    <row r="9" customFormat="false" ht="15" hidden="false" customHeight="false" outlineLevel="0" collapsed="false">
      <c r="A9" s="19" t="s">
        <v>620</v>
      </c>
      <c r="B9" s="84" t="str">
        <f aca="false">Hypothèses!$B$9</f>
        <v>Cash-flow libre net du S2 2026</v>
      </c>
      <c r="C9" s="47" t="n">
        <f aca="false">Hypothèses!$D$9</f>
        <v>1303.2</v>
      </c>
      <c r="D9" s="47" t="n">
        <f aca="false">Hypothèses!$E$9</f>
        <v>1791.9</v>
      </c>
      <c r="E9" s="47" t="n">
        <f aca="false">Trajectoire!$M$45</f>
        <v>1244.87466937297</v>
      </c>
      <c r="F9" s="47" t="n">
        <f aca="false">Trajectoire!$N$45</f>
        <v>1733.57466937297</v>
      </c>
      <c r="G9" s="51" t="n">
        <f aca="false">E9-Trajectoire!$D$45</f>
        <v>-325.799999999996</v>
      </c>
      <c r="H9" s="51" t="n">
        <f aca="false">F9-Trajectoire!$D$45</f>
        <v>162.900000000001</v>
      </c>
      <c r="I9" s="50" t="n">
        <f aca="false">ABS(F9-E9)</f>
        <v>488.699999999997</v>
      </c>
      <c r="J9" s="49" t="n">
        <f aca="false">Trajectoire!$M$32</f>
        <v>3.06108809799277</v>
      </c>
      <c r="K9" s="49" t="n">
        <f aca="false">Trajectoire!$N$32</f>
        <v>2.99603192209695</v>
      </c>
      <c r="L9" s="85" t="n">
        <f aca="false">I9+ROW()/1000000</f>
        <v>488.700008999997</v>
      </c>
    </row>
    <row r="10" customFormat="false" ht="15" hidden="false" customHeight="false" outlineLevel="0" collapsed="false">
      <c r="A10" s="19" t="s">
        <v>624</v>
      </c>
      <c r="B10" s="84" t="str">
        <f aca="false">Hypothèses!$B$10</f>
        <v>Conversion cash-flow libre net / EBITDA en 2027</v>
      </c>
      <c r="C10" s="64" t="n">
        <f aca="false">Hypothèses!$D$10</f>
        <v>0.14</v>
      </c>
      <c r="D10" s="64" t="n">
        <f aca="false">Hypothèses!$E$10</f>
        <v>0.19</v>
      </c>
      <c r="E10" s="47" t="n">
        <f aca="false">Trajectoire!$O$45</f>
        <v>1341.63663058715</v>
      </c>
      <c r="F10" s="47" t="n">
        <f aca="false">Trajectoire!$P$45</f>
        <v>1740.70815595098</v>
      </c>
      <c r="G10" s="51" t="n">
        <f aca="false">E10-Trajectoire!$D$45</f>
        <v>-229.038038785817</v>
      </c>
      <c r="H10" s="51" t="n">
        <f aca="false">F10-Trajectoire!$D$45</f>
        <v>170.033486578017</v>
      </c>
      <c r="I10" s="50" t="n">
        <f aca="false">ABS(F10-E10)</f>
        <v>399.071525363834</v>
      </c>
      <c r="J10" s="49" t="n">
        <f aca="false">Trajectoire!$O$32</f>
        <v>3.01771731406222</v>
      </c>
      <c r="K10" s="49" t="n">
        <f aca="false">Trajectoire!$P$32</f>
        <v>3.01771731406222</v>
      </c>
      <c r="L10" s="85" t="n">
        <f aca="false">I10+ROW()/1000000</f>
        <v>399.071535363834</v>
      </c>
    </row>
    <row r="11" customFormat="false" ht="15" hidden="false" customHeight="false" outlineLevel="0" collapsed="false">
      <c r="A11" s="19" t="s">
        <v>628</v>
      </c>
      <c r="B11" s="84" t="str">
        <f aca="false">Hypothèses!$B$11</f>
        <v>Croissance du dividende versé en 2027</v>
      </c>
      <c r="C11" s="64" t="n">
        <f aca="false">Hypothèses!$D$11</f>
        <v>0.04</v>
      </c>
      <c r="D11" s="64" t="n">
        <f aca="false">Hypothèses!$E$11</f>
        <v>0.12</v>
      </c>
      <c r="E11" s="47" t="n">
        <f aca="false">Trajectoire!$Q$45</f>
        <v>1614.63466937297</v>
      </c>
      <c r="F11" s="47" t="n">
        <f aca="false">Trajectoire!$R$45</f>
        <v>1526.71466937297</v>
      </c>
      <c r="G11" s="51" t="n">
        <f aca="false">E11-Trajectoire!$D$45</f>
        <v>43.9600000000028</v>
      </c>
      <c r="H11" s="51" t="n">
        <f aca="false">F11-Trajectoire!$D$45</f>
        <v>-43.9599999999991</v>
      </c>
      <c r="I11" s="50" t="n">
        <f aca="false">ABS(F11-E11)</f>
        <v>87.9200000000019</v>
      </c>
      <c r="J11" s="49" t="n">
        <f aca="false">Trajectoire!$Q$32</f>
        <v>3.01771731406222</v>
      </c>
      <c r="K11" s="49" t="n">
        <f aca="false">Trajectoire!$R$32</f>
        <v>3.01771731406222</v>
      </c>
      <c r="L11" s="85" t="n">
        <f aca="false">I11+ROW()/1000000</f>
        <v>87.9200110000019</v>
      </c>
    </row>
    <row r="12" customFormat="false" ht="15" hidden="false" customHeight="false" outlineLevel="0" collapsed="false">
      <c r="A12" s="19" t="s">
        <v>631</v>
      </c>
      <c r="B12" s="84" t="str">
        <f aca="false">Hypothèses!$B$12</f>
        <v>Part des signatures 2026 encaissée avant le 31/12/2026</v>
      </c>
      <c r="C12" s="64" t="n">
        <f aca="false">Hypothèses!$D$12</f>
        <v>0</v>
      </c>
      <c r="D12" s="64" t="n">
        <f aca="false">Hypothèses!$E$12</f>
        <v>1</v>
      </c>
      <c r="E12" s="47" t="n">
        <f aca="false">Trajectoire!$S$45</f>
        <v>1575.03162687411</v>
      </c>
      <c r="F12" s="47" t="n">
        <f aca="false">Trajectoire!$T$45</f>
        <v>1566.31771187183</v>
      </c>
      <c r="G12" s="51" t="n">
        <f aca="false">E12-Trajectoire!$D$45</f>
        <v>4.35695750114246</v>
      </c>
      <c r="H12" s="51" t="n">
        <f aca="false">F12-Trajectoire!$D$45</f>
        <v>-4.35695750113518</v>
      </c>
      <c r="I12" s="50" t="n">
        <f aca="false">ABS(F12-E12)</f>
        <v>8.71391500227765</v>
      </c>
      <c r="J12" s="49" t="n">
        <f aca="false">Trajectoire!$S$32</f>
        <v>3.04087742773838</v>
      </c>
      <c r="K12" s="49" t="n">
        <f aca="false">Trajectoire!$T$32</f>
        <v>2.99440253090257</v>
      </c>
      <c r="L12" s="85" t="n">
        <f aca="false">I12+ROW()/1000000</f>
        <v>8.71392700227765</v>
      </c>
    </row>
    <row r="13" customFormat="false" ht="15" hidden="false" customHeight="false" outlineLevel="0" collapsed="false">
      <c r="A13" s="19" t="s">
        <v>634</v>
      </c>
      <c r="B13" s="84" t="str">
        <f aca="false">Hypothèses!$B$13</f>
        <v>Part du reste du programme encaissée en 2027</v>
      </c>
      <c r="C13" s="64" t="n">
        <f aca="false">Hypothèses!$D$13</f>
        <v>0</v>
      </c>
      <c r="D13" s="64" t="n">
        <f aca="false">Hypothèses!$E$13</f>
        <v>1</v>
      </c>
      <c r="E13" s="47" t="n">
        <f aca="false">Trajectoire!$U$45</f>
        <v>1092.48341488549</v>
      </c>
      <c r="F13" s="47" t="n">
        <f aca="false">Trajectoire!$V$45</f>
        <v>2048.86592386045</v>
      </c>
      <c r="G13" s="51" t="n">
        <f aca="false">E13-Trajectoire!$D$45</f>
        <v>-478.191254487472</v>
      </c>
      <c r="H13" s="51" t="n">
        <f aca="false">F13-Trajectoire!$D$45</f>
        <v>478.191254487479</v>
      </c>
      <c r="I13" s="50" t="n">
        <f aca="false">ABS(F13-E13)</f>
        <v>956.382508974952</v>
      </c>
      <c r="J13" s="49" t="n">
        <f aca="false">Trajectoire!$U$32</f>
        <v>3.01771731406222</v>
      </c>
      <c r="K13" s="49" t="n">
        <f aca="false">Trajectoire!$V$32</f>
        <v>3.01771731406222</v>
      </c>
      <c r="L13" s="85" t="n">
        <f aca="false">I13+ROW()/1000000</f>
        <v>956.382521974952</v>
      </c>
    </row>
    <row r="14" customFormat="false" ht="15" hidden="false" customHeight="false" outlineLevel="0" collapsed="false">
      <c r="A14" s="19" t="s">
        <v>637</v>
      </c>
      <c r="B14" s="84" t="str">
        <f aca="false">Hypothèses!$B$14</f>
        <v>Multiple VE / EBITDA des actifs cédés</v>
      </c>
      <c r="C14" s="69" t="n">
        <f aca="false">Hypothèses!$D$14</f>
        <v>8</v>
      </c>
      <c r="D14" s="69" t="n">
        <f aca="false">Hypothèses!$E$14</f>
        <v>12</v>
      </c>
      <c r="E14" s="47" t="n">
        <f aca="false">Trajectoire!$W$45</f>
        <v>1474.52453906374</v>
      </c>
      <c r="F14" s="47" t="n">
        <f aca="false">Trajectoire!$X$45</f>
        <v>1634.77475624579</v>
      </c>
      <c r="G14" s="51" t="n">
        <f aca="false">E14-Trajectoire!$D$45</f>
        <v>-96.1501303092227</v>
      </c>
      <c r="H14" s="51" t="n">
        <f aca="false">F14-Trajectoire!$D$45</f>
        <v>64.1000868728224</v>
      </c>
      <c r="I14" s="50" t="n">
        <f aca="false">ABS(F14-E14)</f>
        <v>160.250217182045</v>
      </c>
      <c r="J14" s="49" t="n">
        <f aca="false">Trajectoire!$W$32</f>
        <v>3.02023016223954</v>
      </c>
      <c r="K14" s="49" t="n">
        <f aca="false">Trajectoire!$X$32</f>
        <v>3.01604440366019</v>
      </c>
      <c r="L14" s="85" t="n">
        <f aca="false">I14+ROW()/1000000</f>
        <v>160.250231182045</v>
      </c>
    </row>
    <row r="15" customFormat="false" ht="15" hidden="false" customHeight="false" outlineLevel="0" collapsed="false">
      <c r="A15" s="19" t="s">
        <v>640</v>
      </c>
      <c r="B15" s="84" t="str">
        <f aca="false">Hypothèses!$B$15</f>
        <v>Tuck-ins payés en 2027</v>
      </c>
      <c r="C15" s="58" t="n">
        <f aca="false">Hypothèses!$D$15</f>
        <v>0</v>
      </c>
      <c r="D15" s="58" t="n">
        <f aca="false">Hypothèses!$E$15</f>
        <v>1</v>
      </c>
      <c r="E15" s="47" t="n">
        <f aca="false">Trajectoire!$Y$45</f>
        <v>1909.00648751253</v>
      </c>
      <c r="F15" s="47" t="n">
        <f aca="false">Trajectoire!$Z$45</f>
        <v>1232.34285123341</v>
      </c>
      <c r="G15" s="51" t="n">
        <f aca="false">E15-Trajectoire!$D$45</f>
        <v>338.331818139563</v>
      </c>
      <c r="H15" s="51" t="n">
        <f aca="false">F15-Trajectoire!$D$45</f>
        <v>-338.331818139555</v>
      </c>
      <c r="I15" s="50" t="n">
        <f aca="false">ABS(F15-E15)</f>
        <v>676.663636279118</v>
      </c>
      <c r="J15" s="49" t="n">
        <f aca="false">Trajectoire!$Y$32</f>
        <v>3.01771731406222</v>
      </c>
      <c r="K15" s="49" t="n">
        <f aca="false">Trajectoire!$Z$32</f>
        <v>3.01771731406222</v>
      </c>
      <c r="L15" s="85" t="n">
        <f aca="false">I15+ROW()/1000000</f>
        <v>676.663651279118</v>
      </c>
    </row>
    <row r="16" customFormat="false" ht="15" hidden="false" customHeight="false" outlineLevel="0" collapsed="false">
      <c r="A16" s="2"/>
      <c r="B16" s="2"/>
      <c r="C16" s="2"/>
      <c r="D16" s="2"/>
      <c r="E16" s="2"/>
      <c r="F16" s="2"/>
      <c r="G16" s="2"/>
      <c r="H16" s="2"/>
      <c r="I16" s="2"/>
      <c r="J16" s="2"/>
      <c r="K16" s="2"/>
      <c r="L16" s="2"/>
    </row>
    <row r="17" customFormat="false" ht="15" hidden="false" customHeight="false" outlineLevel="0" collapsed="false">
      <c r="A17" s="2"/>
      <c r="B17" s="17" t="s">
        <v>940</v>
      </c>
      <c r="C17" s="2"/>
      <c r="D17" s="2"/>
      <c r="E17" s="86" t="n">
        <f aca="false">Trajectoire!$D$45</f>
        <v>1570.67466937297</v>
      </c>
      <c r="F17" s="2"/>
      <c r="G17" s="2"/>
      <c r="H17" s="2"/>
      <c r="I17" s="2"/>
      <c r="J17" s="2"/>
      <c r="K17" s="2"/>
      <c r="L17" s="2"/>
    </row>
    <row r="18" customFormat="false" ht="15" hidden="false" customHeight="false" outlineLevel="0" collapsed="false">
      <c r="A18" s="2"/>
      <c r="B18" s="2"/>
      <c r="C18" s="2"/>
      <c r="D18" s="2"/>
      <c r="E18" s="2"/>
      <c r="F18" s="2"/>
      <c r="G18" s="2"/>
      <c r="H18" s="2"/>
      <c r="I18" s="2"/>
      <c r="J18" s="2"/>
      <c r="K18" s="2"/>
      <c r="L18" s="2"/>
    </row>
    <row r="19" customFormat="false" ht="15" hidden="false" customHeight="false" outlineLevel="0" collapsed="false">
      <c r="A19" s="17" t="s">
        <v>941</v>
      </c>
      <c r="B19" s="2"/>
      <c r="C19" s="2"/>
      <c r="D19" s="2"/>
      <c r="E19" s="2"/>
      <c r="F19" s="2"/>
      <c r="G19" s="2"/>
      <c r="H19" s="2"/>
      <c r="I19" s="2"/>
      <c r="J19" s="2"/>
      <c r="K19" s="2"/>
      <c r="L19" s="2"/>
    </row>
    <row r="20" customFormat="false" ht="15" hidden="false" customHeight="false" outlineLevel="0" collapsed="false">
      <c r="A20" s="16" t="s">
        <v>942</v>
      </c>
      <c r="B20" s="16" t="s">
        <v>600</v>
      </c>
      <c r="C20" s="16" t="s">
        <v>934</v>
      </c>
      <c r="D20" s="16" t="s">
        <v>935</v>
      </c>
      <c r="E20" s="16" t="s">
        <v>936</v>
      </c>
      <c r="F20" s="2"/>
      <c r="G20" s="2"/>
      <c r="H20" s="2"/>
      <c r="I20" s="2"/>
      <c r="J20" s="2"/>
      <c r="K20" s="2"/>
      <c r="L20" s="2"/>
    </row>
    <row r="21" customFormat="false" ht="15" hidden="false" customHeight="false" outlineLevel="0" collapsed="false">
      <c r="A21" s="20" t="n">
        <v>1</v>
      </c>
      <c r="B21" s="5" t="str">
        <f aca="false">INDEX($B$5:$B$15,MATCH(LARGE($L$5:$L$15,A21),$L$5:$L$15,0))</f>
        <v>Part du reste du programme encaissée en 2027</v>
      </c>
      <c r="C21" s="51" t="n">
        <f aca="false">INDEX($G$5:$G$15,MATCH(LARGE($L$5:$L$15,A21),$L$5:$L$15,0))</f>
        <v>-478.191254487472</v>
      </c>
      <c r="D21" s="51" t="n">
        <f aca="false">INDEX($H$5:$H$15,MATCH(LARGE($L$5:$L$15,A21),$L$5:$L$15,0))</f>
        <v>478.191254487479</v>
      </c>
      <c r="E21" s="50" t="n">
        <f aca="false">INDEX($I$5:$I$15,MATCH(LARGE($L$5:$L$15,A21),$L$5:$L$15,0))</f>
        <v>956.382508974952</v>
      </c>
      <c r="F21" s="2"/>
      <c r="G21" s="2"/>
      <c r="H21" s="2"/>
      <c r="I21" s="2"/>
      <c r="J21" s="2"/>
      <c r="K21" s="2"/>
      <c r="L21" s="2"/>
    </row>
    <row r="22" customFormat="false" ht="15" hidden="false" customHeight="false" outlineLevel="0" collapsed="false">
      <c r="A22" s="20" t="n">
        <v>2</v>
      </c>
      <c r="B22" s="5" t="str">
        <f aca="false">INDEX($B$5:$B$15,MATCH(LARGE($L$5:$L$15,A22),$L$5:$L$15,0))</f>
        <v>Croissance organique de l'EBITDA en 2027</v>
      </c>
      <c r="C22" s="51" t="n">
        <f aca="false">INDEX($G$5:$G$15,MATCH(LARGE($L$5:$L$15,A22),$L$5:$L$15,0))</f>
        <v>-360.415778847513</v>
      </c>
      <c r="D22" s="51" t="n">
        <f aca="false">INDEX($H$5:$H$15,MATCH(LARGE($L$5:$L$15,A22),$L$5:$L$15,0))</f>
        <v>360.415778847528</v>
      </c>
      <c r="E22" s="50" t="n">
        <f aca="false">INDEX($I$5:$I$15,MATCH(LARGE($L$5:$L$15,A22),$L$5:$L$15,0))</f>
        <v>720.831557695041</v>
      </c>
      <c r="F22" s="2"/>
      <c r="G22" s="2"/>
      <c r="H22" s="2"/>
      <c r="I22" s="2"/>
      <c r="J22" s="2"/>
      <c r="K22" s="2"/>
      <c r="L22" s="2"/>
    </row>
    <row r="23" customFormat="false" ht="15" hidden="false" customHeight="false" outlineLevel="0" collapsed="false">
      <c r="A23" s="20" t="n">
        <v>3</v>
      </c>
      <c r="B23" s="5" t="str">
        <f aca="false">INDEX($B$5:$B$15,MATCH(LARGE($L$5:$L$15,A23),$L$5:$L$15,0))</f>
        <v>Tuck-ins payés en 2027</v>
      </c>
      <c r="C23" s="51" t="n">
        <f aca="false">INDEX($G$5:$G$15,MATCH(LARGE($L$5:$L$15,A23),$L$5:$L$15,0))</f>
        <v>338.331818139563</v>
      </c>
      <c r="D23" s="51" t="n">
        <f aca="false">INDEX($H$5:$H$15,MATCH(LARGE($L$5:$L$15,A23),$L$5:$L$15,0))</f>
        <v>-338.331818139555</v>
      </c>
      <c r="E23" s="50" t="n">
        <f aca="false">INDEX($I$5:$I$15,MATCH(LARGE($L$5:$L$15,A23),$L$5:$L$15,0))</f>
        <v>676.663636279118</v>
      </c>
      <c r="F23" s="2"/>
      <c r="G23" s="2"/>
      <c r="H23" s="2"/>
      <c r="I23" s="2"/>
      <c r="J23" s="2"/>
      <c r="K23" s="2"/>
      <c r="L23" s="2"/>
    </row>
    <row r="24" customFormat="false" ht="15" hidden="false" customHeight="false" outlineLevel="0" collapsed="false">
      <c r="A24" s="20" t="n">
        <v>4</v>
      </c>
      <c r="B24" s="5" t="str">
        <f aca="false">INDEX($B$5:$B$15,MATCH(LARGE($L$5:$L$15,A24),$L$5:$L$15,0))</f>
        <v>Cash-flow libre net du S2 2026</v>
      </c>
      <c r="C24" s="51" t="n">
        <f aca="false">INDEX($G$5:$G$15,MATCH(LARGE($L$5:$L$15,A24),$L$5:$L$15,0))</f>
        <v>-325.799999999996</v>
      </c>
      <c r="D24" s="51" t="n">
        <f aca="false">INDEX($H$5:$H$15,MATCH(LARGE($L$5:$L$15,A24),$L$5:$L$15,0))</f>
        <v>162.900000000001</v>
      </c>
      <c r="E24" s="50" t="n">
        <f aca="false">INDEX($I$5:$I$15,MATCH(LARGE($L$5:$L$15,A24),$L$5:$L$15,0))</f>
        <v>488.699999999997</v>
      </c>
      <c r="F24" s="2"/>
      <c r="G24" s="2"/>
      <c r="H24" s="2"/>
      <c r="I24" s="2"/>
      <c r="J24" s="2"/>
      <c r="K24" s="2"/>
      <c r="L24" s="2"/>
    </row>
    <row r="25" customFormat="false" ht="15" hidden="false" customHeight="false" outlineLevel="0" collapsed="false">
      <c r="A25" s="20" t="n">
        <v>5</v>
      </c>
      <c r="B25" s="5" t="str">
        <f aca="false">INDEX($B$5:$B$15,MATCH(LARGE($L$5:$L$15,A25),$L$5:$L$15,0))</f>
        <v>Conversion cash-flow libre net / EBITDA en 2027</v>
      </c>
      <c r="C25" s="51" t="n">
        <f aca="false">INDEX($G$5:$G$15,MATCH(LARGE($L$5:$L$15,A25),$L$5:$L$15,0))</f>
        <v>-229.038038785817</v>
      </c>
      <c r="D25" s="51" t="n">
        <f aca="false">INDEX($H$5:$H$15,MATCH(LARGE($L$5:$L$15,A25),$L$5:$L$15,0))</f>
        <v>170.033486578017</v>
      </c>
      <c r="E25" s="50" t="n">
        <f aca="false">INDEX($I$5:$I$15,MATCH(LARGE($L$5:$L$15,A25),$L$5:$L$15,0))</f>
        <v>399.071525363834</v>
      </c>
      <c r="F25" s="2"/>
      <c r="G25" s="2"/>
      <c r="H25" s="2"/>
      <c r="I25" s="2"/>
      <c r="J25" s="2"/>
      <c r="K25" s="2"/>
      <c r="L25" s="2"/>
    </row>
    <row r="26" customFormat="false" ht="15" hidden="false" customHeight="false" outlineLevel="0" collapsed="false">
      <c r="A26" s="20" t="n">
        <v>6</v>
      </c>
      <c r="B26" s="5" t="str">
        <f aca="false">INDEX($B$5:$B$15,MATCH(LARGE($L$5:$L$15,A26),$L$5:$L$15,0))</f>
        <v>Croissance organique de l'EBITDA en 2026</v>
      </c>
      <c r="C26" s="51" t="n">
        <f aca="false">INDEX($G$5:$G$15,MATCH(LARGE($L$5:$L$15,A26),$L$5:$L$15,0))</f>
        <v>-117.83985692398</v>
      </c>
      <c r="D26" s="51" t="n">
        <f aca="false">INDEX($H$5:$H$15,MATCH(LARGE($L$5:$L$15,A26),$L$5:$L$15,0))</f>
        <v>117.839856923983</v>
      </c>
      <c r="E26" s="50" t="n">
        <f aca="false">INDEX($I$5:$I$15,MATCH(LARGE($L$5:$L$15,A26),$L$5:$L$15,0))</f>
        <v>235.679713847963</v>
      </c>
      <c r="F26" s="2"/>
      <c r="G26" s="2"/>
      <c r="H26" s="2"/>
      <c r="I26" s="2"/>
      <c r="J26" s="2"/>
      <c r="K26" s="2"/>
      <c r="L26" s="2"/>
    </row>
    <row r="27" customFormat="false" ht="15" hidden="false" customHeight="false" outlineLevel="0" collapsed="false">
      <c r="A27" s="20" t="n">
        <v>7</v>
      </c>
      <c r="B27" s="5" t="str">
        <f aca="false">INDEX($B$5:$B$15,MATCH(LARGE($L$5:$L$15,A27),$L$5:$L$15,0))</f>
        <v>Part des synergies réalisée en 2027</v>
      </c>
      <c r="C27" s="51" t="n">
        <f aca="false">INDEX($G$5:$G$15,MATCH(LARGE($L$5:$L$15,A27),$L$5:$L$15,0))</f>
        <v>-80.8446921224677</v>
      </c>
      <c r="D27" s="51" t="n">
        <f aca="false">INDEX($H$5:$H$15,MATCH(LARGE($L$5:$L$15,A27),$L$5:$L$15,0))</f>
        <v>80.8446921224786</v>
      </c>
      <c r="E27" s="50" t="n">
        <f aca="false">INDEX($I$5:$I$15,MATCH(LARGE($L$5:$L$15,A27),$L$5:$L$15,0))</f>
        <v>161.689384244946</v>
      </c>
      <c r="F27" s="2"/>
      <c r="G27" s="2"/>
      <c r="H27" s="2"/>
      <c r="I27" s="2"/>
      <c r="J27" s="2"/>
      <c r="K27" s="2"/>
      <c r="L27" s="2"/>
    </row>
    <row r="28" customFormat="false" ht="15" hidden="false" customHeight="false" outlineLevel="0" collapsed="false">
      <c r="A28" s="20" t="n">
        <v>8</v>
      </c>
      <c r="B28" s="5" t="str">
        <f aca="false">INDEX($B$5:$B$15,MATCH(LARGE($L$5:$L$15,A28),$L$5:$L$15,0))</f>
        <v>Multiple VE / EBITDA des actifs cédés</v>
      </c>
      <c r="C28" s="51" t="n">
        <f aca="false">INDEX($G$5:$G$15,MATCH(LARGE($L$5:$L$15,A28),$L$5:$L$15,0))</f>
        <v>-96.1501303092227</v>
      </c>
      <c r="D28" s="51" t="n">
        <f aca="false">INDEX($H$5:$H$15,MATCH(LARGE($L$5:$L$15,A28),$L$5:$L$15,0))</f>
        <v>64.1000868728224</v>
      </c>
      <c r="E28" s="50" t="n">
        <f aca="false">INDEX($I$5:$I$15,MATCH(LARGE($L$5:$L$15,A28),$L$5:$L$15,0))</f>
        <v>160.250217182045</v>
      </c>
      <c r="F28" s="2"/>
      <c r="G28" s="2"/>
      <c r="H28" s="2"/>
      <c r="I28" s="2"/>
      <c r="J28" s="2"/>
      <c r="K28" s="2"/>
      <c r="L28" s="2"/>
    </row>
    <row r="29" customFormat="false" ht="15" hidden="false" customHeight="false" outlineLevel="0" collapsed="false">
      <c r="A29" s="20" t="n">
        <v>9</v>
      </c>
      <c r="B29" s="5" t="str">
        <f aca="false">INDEX($B$5:$B$15,MATCH(LARGE($L$5:$L$15,A29),$L$5:$L$15,0))</f>
        <v>EBITDA de Clean Earth en année pleine</v>
      </c>
      <c r="C29" s="51" t="n">
        <f aca="false">INDEX($G$5:$G$15,MATCH(LARGE($L$5:$L$15,A29),$L$5:$L$15,0))</f>
        <v>-56.8607667928009</v>
      </c>
      <c r="D29" s="51" t="n">
        <f aca="false">INDEX($H$5:$H$15,MATCH(LARGE($L$5:$L$15,A29),$L$5:$L$15,0))</f>
        <v>56.8607667928081</v>
      </c>
      <c r="E29" s="50" t="n">
        <f aca="false">INDEX($I$5:$I$15,MATCH(LARGE($L$5:$L$15,A29),$L$5:$L$15,0))</f>
        <v>113.721533585609</v>
      </c>
      <c r="F29" s="2"/>
      <c r="G29" s="2"/>
      <c r="H29" s="2"/>
      <c r="I29" s="2"/>
      <c r="J29" s="2"/>
      <c r="K29" s="2"/>
      <c r="L29" s="2"/>
    </row>
    <row r="30" customFormat="false" ht="15" hidden="false" customHeight="false" outlineLevel="0" collapsed="false">
      <c r="A30" s="20" t="n">
        <v>10</v>
      </c>
      <c r="B30" s="5" t="str">
        <f aca="false">INDEX($B$5:$B$15,MATCH(LARGE($L$5:$L$15,A30),$L$5:$L$15,0))</f>
        <v>Croissance du dividende versé en 2027</v>
      </c>
      <c r="C30" s="51" t="n">
        <f aca="false">INDEX($G$5:$G$15,MATCH(LARGE($L$5:$L$15,A30),$L$5:$L$15,0))</f>
        <v>43.9600000000028</v>
      </c>
      <c r="D30" s="51" t="n">
        <f aca="false">INDEX($H$5:$H$15,MATCH(LARGE($L$5:$L$15,A30),$L$5:$L$15,0))</f>
        <v>-43.9599999999991</v>
      </c>
      <c r="E30" s="50" t="n">
        <f aca="false">INDEX($I$5:$I$15,MATCH(LARGE($L$5:$L$15,A30),$L$5:$L$15,0))</f>
        <v>87.9200000000019</v>
      </c>
      <c r="F30" s="2"/>
      <c r="G30" s="2"/>
      <c r="H30" s="2"/>
      <c r="I30" s="2"/>
      <c r="J30" s="2"/>
      <c r="K30" s="2"/>
      <c r="L30" s="2"/>
    </row>
    <row r="31" customFormat="false" ht="15" hidden="false" customHeight="false" outlineLevel="0" collapsed="false">
      <c r="A31" s="20" t="n">
        <v>11</v>
      </c>
      <c r="B31" s="5" t="str">
        <f aca="false">INDEX($B$5:$B$15,MATCH(LARGE($L$5:$L$15,A31),$L$5:$L$15,0))</f>
        <v>Part des signatures 2026 encaissée avant le 31/12/2026</v>
      </c>
      <c r="C31" s="51" t="n">
        <f aca="false">INDEX($G$5:$G$15,MATCH(LARGE($L$5:$L$15,A31),$L$5:$L$15,0))</f>
        <v>4.35695750114246</v>
      </c>
      <c r="D31" s="51" t="n">
        <f aca="false">INDEX($H$5:$H$15,MATCH(LARGE($L$5:$L$15,A31),$L$5:$L$15,0))</f>
        <v>-4.35695750113518</v>
      </c>
      <c r="E31" s="50" t="n">
        <f aca="false">INDEX($I$5:$I$15,MATCH(LARGE($L$5:$L$15,A31),$L$5:$L$15,0))</f>
        <v>8.71391500227765</v>
      </c>
      <c r="F31" s="2"/>
      <c r="G31" s="2"/>
      <c r="H31" s="2"/>
      <c r="I31" s="2"/>
      <c r="J31" s="2"/>
      <c r="K31" s="2"/>
      <c r="L31" s="2"/>
    </row>
    <row r="32" customFormat="false" ht="15" hidden="false" customHeight="false" outlineLevel="0" collapsed="false">
      <c r="A32" s="2"/>
      <c r="B32" s="2"/>
      <c r="C32" s="2"/>
      <c r="D32" s="2"/>
      <c r="E32" s="2"/>
      <c r="F32" s="2"/>
      <c r="G32" s="2"/>
      <c r="H32" s="2"/>
      <c r="I32" s="2"/>
      <c r="J32" s="2"/>
      <c r="K32" s="2"/>
      <c r="L32" s="2"/>
    </row>
    <row r="33" customFormat="false" ht="15" hidden="false" customHeight="false" outlineLevel="0" collapsed="false">
      <c r="A33" s="17" t="s">
        <v>943</v>
      </c>
      <c r="B33" s="2"/>
      <c r="C33" s="2"/>
      <c r="D33" s="2"/>
      <c r="E33" s="2"/>
      <c r="F33" s="2"/>
      <c r="G33" s="2"/>
      <c r="H33" s="2"/>
      <c r="I33" s="2"/>
      <c r="J33" s="2"/>
      <c r="K33" s="2"/>
      <c r="L33" s="2"/>
    </row>
    <row r="34" customFormat="false" ht="15" hidden="false" customHeight="false" outlineLevel="0" collapsed="false">
      <c r="A34" s="16"/>
      <c r="B34" s="16" t="s">
        <v>944</v>
      </c>
      <c r="C34" s="16" t="s">
        <v>945</v>
      </c>
      <c r="D34" s="16"/>
      <c r="E34" s="16" t="s">
        <v>946</v>
      </c>
      <c r="F34" s="2"/>
      <c r="G34" s="2"/>
      <c r="H34" s="2"/>
      <c r="I34" s="2"/>
      <c r="J34" s="2"/>
      <c r="K34" s="2"/>
      <c r="L34" s="2"/>
    </row>
    <row r="35" customFormat="false" ht="15" hidden="false" customHeight="false" outlineLevel="0" collapsed="false">
      <c r="A35" s="2"/>
      <c r="B35" s="5" t="s">
        <v>913</v>
      </c>
      <c r="C35" s="51" t="n">
        <f aca="false">100*(Hypothèses!$C$25+Hypothèses!$C$10)</f>
        <v>316.869636446462</v>
      </c>
      <c r="D35" s="2"/>
      <c r="E35" s="19" t="s">
        <v>947</v>
      </c>
      <c r="F35" s="2"/>
      <c r="G35" s="2"/>
      <c r="H35" s="2"/>
      <c r="I35" s="2"/>
      <c r="J35" s="2"/>
      <c r="K35" s="2"/>
      <c r="L35" s="2"/>
    </row>
    <row r="36" customFormat="false" ht="15" hidden="false" customHeight="false" outlineLevel="0" collapsed="false">
      <c r="A36" s="2"/>
      <c r="B36" s="5" t="s">
        <v>948</v>
      </c>
      <c r="C36" s="51" t="n">
        <f aca="false">100</f>
        <v>100</v>
      </c>
      <c r="D36" s="2"/>
      <c r="E36" s="19" t="s">
        <v>949</v>
      </c>
      <c r="F36" s="2"/>
      <c r="G36" s="2"/>
      <c r="H36" s="2"/>
      <c r="I36" s="2"/>
      <c r="J36" s="2"/>
      <c r="K36" s="2"/>
      <c r="L36" s="2"/>
    </row>
    <row r="37" customFormat="false" ht="15" hidden="false" customHeight="false" outlineLevel="0" collapsed="false">
      <c r="A37" s="2"/>
      <c r="B37" s="5" t="s">
        <v>950</v>
      </c>
      <c r="C37" s="51" t="n">
        <f aca="false">100*(1-Hypothèses!$C$25/Hypothèses!$C$14)</f>
        <v>70</v>
      </c>
      <c r="D37" s="2"/>
      <c r="E37" s="19" t="s">
        <v>951</v>
      </c>
      <c r="F37" s="2"/>
      <c r="G37" s="2"/>
      <c r="H37" s="2"/>
      <c r="I37" s="2"/>
      <c r="J37" s="2"/>
      <c r="K37" s="2"/>
      <c r="L37" s="2"/>
    </row>
    <row r="38" customFormat="false" ht="15" hidden="false" customHeight="false" outlineLevel="0" collapsed="false">
      <c r="A38" s="2"/>
      <c r="B38" s="5" t="s">
        <v>952</v>
      </c>
      <c r="C38" s="51" t="n">
        <f aca="false">-100*(1-Hypothèses!$C$25/Hypothèses!$C$20)</f>
        <v>-69.3877551020408</v>
      </c>
      <c r="D38" s="2"/>
      <c r="E38" s="19" t="s">
        <v>953</v>
      </c>
      <c r="F38" s="2"/>
      <c r="G38" s="2"/>
      <c r="H38" s="2"/>
      <c r="I38" s="2"/>
      <c r="J38" s="2"/>
      <c r="K38" s="2"/>
      <c r="L38" s="2"/>
    </row>
    <row r="39" customFormat="false" ht="15" hidden="false" customHeight="false" outlineLevel="0" collapsed="false">
      <c r="A39" s="2"/>
      <c r="B39" s="5" t="s">
        <v>954</v>
      </c>
      <c r="C39" s="51" t="n">
        <f aca="false">-100</f>
        <v>-100</v>
      </c>
      <c r="D39" s="2"/>
      <c r="E39" s="19" t="s">
        <v>949</v>
      </c>
      <c r="F39" s="2"/>
      <c r="G39" s="2"/>
      <c r="H39" s="2"/>
      <c r="I39" s="2"/>
      <c r="J39" s="2"/>
      <c r="K39" s="2"/>
      <c r="L39" s="2"/>
    </row>
    <row r="40" customFormat="false" ht="15" hidden="false" customHeight="false" outlineLevel="0" collapsed="false">
      <c r="A40" s="2"/>
      <c r="B40" s="5" t="s">
        <v>955</v>
      </c>
      <c r="C40" s="51" t="n">
        <f aca="false">-100</f>
        <v>-100</v>
      </c>
      <c r="D40" s="2"/>
      <c r="E40" s="19" t="s">
        <v>956</v>
      </c>
      <c r="F40" s="2"/>
      <c r="G40" s="2"/>
      <c r="H40" s="2"/>
      <c r="I40" s="2"/>
      <c r="J40" s="2"/>
      <c r="K40" s="2"/>
      <c r="L40"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957</v>
      </c>
      <c r="B1" s="2"/>
      <c r="C1" s="2"/>
      <c r="D1" s="2"/>
      <c r="E1" s="2"/>
      <c r="F1" s="2"/>
      <c r="G1" s="2"/>
      <c r="H1" s="2"/>
      <c r="I1" s="2"/>
      <c r="J1" s="2"/>
      <c r="K1" s="2"/>
    </row>
    <row r="2" customFormat="false" ht="15" hidden="false" customHeight="false" outlineLevel="0" collapsed="false">
      <c r="A2" s="3" t="s">
        <v>958</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17" t="s">
        <v>681</v>
      </c>
      <c r="B4" s="17" t="s">
        <v>959</v>
      </c>
      <c r="C4" s="2"/>
      <c r="D4" s="2"/>
      <c r="E4" s="2"/>
      <c r="F4" s="2"/>
      <c r="G4" s="2"/>
      <c r="H4" s="2"/>
      <c r="I4" s="2"/>
      <c r="J4" s="2"/>
      <c r="K4" s="2"/>
    </row>
    <row r="5" customFormat="false" ht="15" hidden="false" customHeight="false" outlineLevel="0" collapsed="false">
      <c r="A5" s="2"/>
      <c r="B5" s="5" t="s">
        <v>960</v>
      </c>
      <c r="C5" s="47" t="n">
        <f aca="false">Entrées!$C$38</f>
        <v>9196</v>
      </c>
      <c r="D5" s="19" t="s">
        <v>190</v>
      </c>
      <c r="E5" s="19" t="s">
        <v>188</v>
      </c>
      <c r="F5" s="2"/>
      <c r="G5" s="2"/>
      <c r="H5" s="2"/>
      <c r="I5" s="2"/>
      <c r="J5" s="2"/>
      <c r="K5" s="2"/>
    </row>
    <row r="6" customFormat="false" ht="15" hidden="false" customHeight="false" outlineLevel="0" collapsed="false">
      <c r="A6" s="2"/>
      <c r="B6" s="5" t="s">
        <v>961</v>
      </c>
      <c r="C6" s="47" t="n">
        <f aca="false">Entrées!$C$39</f>
        <v>9181</v>
      </c>
      <c r="D6" s="19" t="s">
        <v>190</v>
      </c>
      <c r="E6" s="19" t="s">
        <v>194</v>
      </c>
      <c r="F6" s="2"/>
      <c r="G6" s="2"/>
      <c r="H6" s="2"/>
      <c r="I6" s="2"/>
      <c r="J6" s="2"/>
      <c r="K6" s="2"/>
    </row>
    <row r="7" customFormat="false" ht="15" hidden="false" customHeight="false" outlineLevel="0" collapsed="false">
      <c r="A7" s="2"/>
      <c r="B7" s="5" t="s">
        <v>962</v>
      </c>
      <c r="C7" s="53" t="n">
        <f aca="false">C6/C5-1</f>
        <v>-0.00163114397564157</v>
      </c>
      <c r="D7" s="19" t="s">
        <v>265</v>
      </c>
      <c r="E7" s="19"/>
      <c r="F7" s="2"/>
      <c r="G7" s="2"/>
      <c r="H7" s="2"/>
      <c r="I7" s="2"/>
      <c r="J7" s="2"/>
      <c r="K7" s="2"/>
    </row>
    <row r="8" customFormat="false" ht="15" hidden="false" customHeight="false" outlineLevel="0" collapsed="false">
      <c r="A8" s="2"/>
      <c r="B8" s="5" t="s">
        <v>963</v>
      </c>
      <c r="C8" s="51" t="n">
        <f aca="false">Entrées!$C$40*1000</f>
        <v>9000</v>
      </c>
      <c r="D8" s="19" t="s">
        <v>190</v>
      </c>
      <c r="E8" s="19" t="s">
        <v>196</v>
      </c>
      <c r="F8" s="2"/>
      <c r="G8" s="2"/>
      <c r="H8" s="2"/>
      <c r="I8" s="2"/>
      <c r="J8" s="2"/>
      <c r="K8" s="2"/>
    </row>
    <row r="9" customFormat="false" ht="15" hidden="false" customHeight="false" outlineLevel="0" collapsed="false">
      <c r="A9" s="2"/>
      <c r="B9" s="5" t="s">
        <v>964</v>
      </c>
      <c r="C9" s="51" t="n">
        <f aca="false">Entrées!$C$41*1000</f>
        <v>10000</v>
      </c>
      <c r="D9" s="19" t="s">
        <v>190</v>
      </c>
      <c r="E9" s="19" t="s">
        <v>200</v>
      </c>
      <c r="F9" s="2"/>
      <c r="G9" s="2"/>
      <c r="H9" s="2"/>
      <c r="I9" s="2"/>
      <c r="J9" s="2"/>
      <c r="K9" s="2"/>
    </row>
    <row r="10" customFormat="false" ht="15" hidden="false" customHeight="false" outlineLevel="0" collapsed="false">
      <c r="A10" s="2"/>
      <c r="B10" s="17" t="s">
        <v>965</v>
      </c>
      <c r="C10" s="50" t="n">
        <f aca="false">C6-C8</f>
        <v>181</v>
      </c>
      <c r="D10" s="19" t="s">
        <v>190</v>
      </c>
      <c r="E10" s="19" t="s">
        <v>966</v>
      </c>
      <c r="F10" s="2"/>
      <c r="G10" s="2"/>
      <c r="H10" s="2"/>
      <c r="I10" s="2"/>
      <c r="J10" s="2"/>
      <c r="K10" s="2"/>
    </row>
    <row r="11" customFormat="false" ht="15" hidden="false" customHeight="false" outlineLevel="0" collapsed="false">
      <c r="A11" s="2"/>
      <c r="B11" s="17" t="s">
        <v>967</v>
      </c>
      <c r="C11" s="50" t="n">
        <f aca="false">C6-C9</f>
        <v>-819</v>
      </c>
      <c r="D11" s="19" t="s">
        <v>190</v>
      </c>
      <c r="E11" s="19"/>
      <c r="F11" s="2"/>
      <c r="G11" s="2"/>
      <c r="H11" s="2"/>
      <c r="I11" s="2"/>
      <c r="J11" s="2"/>
      <c r="K11" s="2"/>
    </row>
    <row r="12" customFormat="false" ht="15" hidden="false" customHeight="false" outlineLevel="0" collapsed="false">
      <c r="A12" s="2"/>
      <c r="B12" s="5" t="s">
        <v>968</v>
      </c>
      <c r="C12" s="47" t="n">
        <f aca="false">Entrées!$C$68</f>
        <v>430</v>
      </c>
      <c r="D12" s="19" t="s">
        <v>190</v>
      </c>
      <c r="E12" s="19" t="s">
        <v>292</v>
      </c>
      <c r="F12" s="2"/>
      <c r="G12" s="2"/>
      <c r="H12" s="2"/>
      <c r="I12" s="2"/>
      <c r="J12" s="2"/>
      <c r="K12" s="2"/>
    </row>
    <row r="13" customFormat="false" ht="15" hidden="false" customHeight="false" outlineLevel="0" collapsed="false">
      <c r="A13" s="2"/>
      <c r="B13" s="5" t="s">
        <v>969</v>
      </c>
      <c r="C13" s="51" t="n">
        <f aca="false">C11+C12</f>
        <v>-389</v>
      </c>
      <c r="D13" s="19" t="s">
        <v>190</v>
      </c>
      <c r="E13" s="19"/>
      <c r="F13" s="2"/>
      <c r="G13" s="2"/>
      <c r="H13" s="2"/>
      <c r="I13" s="2"/>
      <c r="J13" s="2"/>
      <c r="K13" s="2"/>
    </row>
    <row r="14" customFormat="false" ht="30" hidden="false" customHeight="true" outlineLevel="0" collapsed="false">
      <c r="A14" s="2"/>
      <c r="B14" s="56" t="s">
        <v>970</v>
      </c>
      <c r="C14" s="56"/>
      <c r="D14" s="56"/>
      <c r="E14" s="56"/>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17" t="s">
        <v>694</v>
      </c>
      <c r="B16" s="17" t="s">
        <v>971</v>
      </c>
      <c r="C16" s="2"/>
      <c r="D16" s="2"/>
      <c r="E16" s="2"/>
      <c r="F16" s="2"/>
      <c r="G16" s="2"/>
      <c r="H16" s="2"/>
      <c r="I16" s="2"/>
      <c r="J16" s="2"/>
      <c r="K16" s="2"/>
    </row>
    <row r="17" customFormat="false" ht="15" hidden="false" customHeight="false" outlineLevel="0" collapsed="false">
      <c r="A17" s="2"/>
      <c r="B17" s="5" t="s">
        <v>972</v>
      </c>
      <c r="C17" s="58" t="n">
        <f aca="false">Entrées!$C$63</f>
        <v>4.3</v>
      </c>
      <c r="D17" s="19" t="s">
        <v>96</v>
      </c>
      <c r="E17" s="19" t="s">
        <v>277</v>
      </c>
      <c r="F17" s="2"/>
      <c r="G17" s="2"/>
      <c r="H17" s="2"/>
      <c r="I17" s="2"/>
      <c r="J17" s="2"/>
      <c r="K17" s="2"/>
    </row>
    <row r="18" customFormat="false" ht="15" hidden="false" customHeight="false" outlineLevel="0" collapsed="false">
      <c r="A18" s="2"/>
      <c r="B18" s="5" t="s">
        <v>973</v>
      </c>
      <c r="C18" s="58" t="n">
        <f aca="false">Entrées!$C$64</f>
        <v>5.2</v>
      </c>
      <c r="D18" s="19" t="s">
        <v>96</v>
      </c>
      <c r="E18" s="19" t="s">
        <v>280</v>
      </c>
      <c r="F18" s="2"/>
      <c r="G18" s="2"/>
      <c r="H18" s="2"/>
      <c r="I18" s="2"/>
      <c r="J18" s="2"/>
      <c r="K18" s="2"/>
    </row>
    <row r="19" customFormat="false" ht="15" hidden="false" customHeight="false" outlineLevel="0" collapsed="false">
      <c r="A19" s="2"/>
      <c r="B19" s="5" t="s">
        <v>974</v>
      </c>
      <c r="C19" s="58" t="n">
        <f aca="false">Entrées!$C$65</f>
        <v>0.9</v>
      </c>
      <c r="D19" s="19" t="s">
        <v>96</v>
      </c>
      <c r="E19" s="19" t="s">
        <v>283</v>
      </c>
      <c r="F19" s="2"/>
      <c r="G19" s="2"/>
      <c r="H19" s="2"/>
      <c r="I19" s="2"/>
      <c r="J19" s="2"/>
      <c r="K19" s="2"/>
    </row>
    <row r="20" customFormat="false" ht="15" hidden="false" customHeight="false" outlineLevel="0" collapsed="false">
      <c r="A20" s="2"/>
      <c r="B20" s="5" t="s">
        <v>975</v>
      </c>
      <c r="C20" s="53" t="n">
        <f aca="false">C19/C18</f>
        <v>0.173076923076923</v>
      </c>
      <c r="D20" s="19" t="s">
        <v>265</v>
      </c>
      <c r="E20" s="19" t="s">
        <v>976</v>
      </c>
      <c r="F20" s="2"/>
      <c r="G20" s="2"/>
      <c r="H20" s="2"/>
      <c r="I20" s="2"/>
      <c r="J20" s="2"/>
      <c r="K20" s="2"/>
    </row>
    <row r="21" customFormat="false" ht="15" hidden="false" customHeight="false" outlineLevel="0" collapsed="false">
      <c r="A21" s="2"/>
      <c r="B21" s="5" t="s">
        <v>977</v>
      </c>
      <c r="C21" s="53" t="n">
        <f aca="false">Entrées!$C$67/100</f>
        <v>0.1</v>
      </c>
      <c r="D21" s="19" t="s">
        <v>265</v>
      </c>
      <c r="E21" s="19" t="s">
        <v>289</v>
      </c>
      <c r="F21" s="2"/>
      <c r="G21" s="2"/>
      <c r="H21" s="2"/>
      <c r="I21" s="2"/>
      <c r="J21" s="2"/>
      <c r="K21" s="2"/>
    </row>
    <row r="22" customFormat="false" ht="15" hidden="false" customHeight="false" outlineLevel="0" collapsed="false">
      <c r="A22" s="2"/>
      <c r="B22" s="17" t="s">
        <v>978</v>
      </c>
      <c r="C22" s="60" t="n">
        <f aca="false">C19*(1+C21)^2</f>
        <v>1.089</v>
      </c>
      <c r="D22" s="19" t="s">
        <v>96</v>
      </c>
      <c r="E22" s="19" t="s">
        <v>979</v>
      </c>
      <c r="F22" s="2"/>
      <c r="G22" s="2"/>
      <c r="H22" s="2"/>
      <c r="I22" s="2"/>
      <c r="J22" s="2"/>
      <c r="K22" s="2"/>
    </row>
    <row r="23" customFormat="false" ht="15" hidden="false" customHeight="false" outlineLevel="0" collapsed="false">
      <c r="A23" s="2"/>
      <c r="B23" s="5" t="s">
        <v>980</v>
      </c>
      <c r="C23" s="53" t="n">
        <f aca="false">Entrées!$C$57/Entrées!$C$59-1</f>
        <v>0.0510204081632653</v>
      </c>
      <c r="D23" s="19" t="s">
        <v>265</v>
      </c>
      <c r="E23" s="19" t="s">
        <v>981</v>
      </c>
      <c r="F23" s="2"/>
      <c r="G23" s="2"/>
      <c r="H23" s="2"/>
      <c r="I23" s="2"/>
      <c r="J23" s="2"/>
      <c r="K23" s="2"/>
    </row>
    <row r="24" customFormat="false" ht="15" hidden="false" customHeight="false" outlineLevel="0" collapsed="false">
      <c r="A24" s="2"/>
      <c r="B24" s="5" t="s">
        <v>982</v>
      </c>
      <c r="C24" s="53" t="n">
        <f aca="false">Entrées!$C$56/Entrées!$C$57</f>
        <v>0.194174757281553</v>
      </c>
      <c r="D24" s="19" t="s">
        <v>265</v>
      </c>
      <c r="E24" s="19" t="s">
        <v>983</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17" t="s">
        <v>741</v>
      </c>
      <c r="B26" s="17" t="s">
        <v>984</v>
      </c>
      <c r="C26" s="2"/>
      <c r="D26" s="2"/>
      <c r="E26" s="2"/>
      <c r="F26" s="2"/>
      <c r="G26" s="2"/>
      <c r="H26" s="2"/>
      <c r="I26" s="2"/>
      <c r="J26" s="2"/>
      <c r="K26" s="2"/>
    </row>
    <row r="27" customFormat="false" ht="15" hidden="false" customHeight="false" outlineLevel="0" collapsed="false">
      <c r="A27" s="2"/>
      <c r="B27" s="5" t="s">
        <v>985</v>
      </c>
      <c r="C27" s="47" t="n">
        <f aca="false">Entrées!$C$44</f>
        <v>1189</v>
      </c>
      <c r="D27" s="19" t="s">
        <v>69</v>
      </c>
      <c r="E27" s="19" t="s">
        <v>208</v>
      </c>
      <c r="F27" s="2"/>
      <c r="G27" s="2"/>
      <c r="H27" s="2"/>
      <c r="I27" s="2"/>
      <c r="J27" s="2"/>
      <c r="K27" s="2"/>
    </row>
    <row r="28" customFormat="false" ht="15" hidden="false" customHeight="false" outlineLevel="0" collapsed="false">
      <c r="A28" s="2"/>
      <c r="B28" s="17" t="s">
        <v>986</v>
      </c>
      <c r="C28" s="55" t="n">
        <f aca="false">Entrées!$C$98/100</f>
        <v>-0.002</v>
      </c>
      <c r="D28" s="19" t="s">
        <v>265</v>
      </c>
      <c r="E28" s="19" t="s">
        <v>379</v>
      </c>
      <c r="F28" s="2"/>
      <c r="G28" s="2"/>
      <c r="H28" s="2"/>
      <c r="I28" s="2"/>
      <c r="J28" s="2"/>
      <c r="K28" s="2"/>
    </row>
    <row r="29" customFormat="false" ht="15" hidden="false" customHeight="false" outlineLevel="0" collapsed="false">
      <c r="A29" s="2"/>
      <c r="B29" s="5" t="s">
        <v>987</v>
      </c>
      <c r="C29" s="53" t="n">
        <f aca="false">Entrées!$C$100/Entrées!$C$99-1</f>
        <v>0.0352220520673814</v>
      </c>
      <c r="D29" s="19" t="s">
        <v>265</v>
      </c>
      <c r="E29" s="19" t="s">
        <v>988</v>
      </c>
      <c r="F29" s="2"/>
      <c r="G29" s="2"/>
      <c r="H29" s="2"/>
      <c r="I29" s="2"/>
      <c r="J29" s="2"/>
      <c r="K29" s="2"/>
    </row>
    <row r="30" customFormat="false" ht="15" hidden="false" customHeight="false" outlineLevel="0" collapsed="false">
      <c r="A30" s="2"/>
      <c r="B30" s="5" t="s">
        <v>989</v>
      </c>
      <c r="C30" s="53" t="n">
        <f aca="false">Entrées!$C$102/Entrées!$C$101-1</f>
        <v>0.108501118568233</v>
      </c>
      <c r="D30" s="19" t="s">
        <v>265</v>
      </c>
      <c r="E30" s="19" t="s">
        <v>990</v>
      </c>
      <c r="F30" s="2"/>
      <c r="G30" s="2"/>
      <c r="H30" s="2"/>
      <c r="I30" s="2"/>
      <c r="J30" s="2"/>
      <c r="K30" s="2"/>
    </row>
    <row r="31" customFormat="false" ht="30" hidden="false" customHeight="true" outlineLevel="0" collapsed="false">
      <c r="A31" s="2"/>
      <c r="B31" s="56" t="s">
        <v>991</v>
      </c>
      <c r="C31" s="56"/>
      <c r="D31" s="56"/>
      <c r="E31" s="56"/>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17" t="s">
        <v>838</v>
      </c>
      <c r="B33" s="17" t="s">
        <v>992</v>
      </c>
      <c r="C33" s="2"/>
      <c r="D33" s="2"/>
      <c r="E33" s="2"/>
      <c r="F33" s="2"/>
      <c r="G33" s="2"/>
      <c r="H33" s="2"/>
      <c r="I33" s="2"/>
      <c r="J33" s="2"/>
      <c r="K33" s="2"/>
    </row>
    <row r="34" customFormat="false" ht="15" hidden="false" customHeight="false" outlineLevel="0" collapsed="false">
      <c r="A34" s="16"/>
      <c r="B34" s="16" t="s">
        <v>993</v>
      </c>
      <c r="C34" s="16" t="s">
        <v>994</v>
      </c>
      <c r="D34" s="16" t="s">
        <v>995</v>
      </c>
      <c r="E34" s="16" t="s">
        <v>996</v>
      </c>
      <c r="F34" s="16" t="s">
        <v>997</v>
      </c>
      <c r="G34" s="16" t="s">
        <v>998</v>
      </c>
      <c r="H34" s="16" t="s">
        <v>999</v>
      </c>
      <c r="I34" s="16" t="s">
        <v>62</v>
      </c>
      <c r="J34" s="16" t="s">
        <v>63</v>
      </c>
      <c r="K34" s="16" t="s">
        <v>1000</v>
      </c>
    </row>
    <row r="35" customFormat="false" ht="15" hidden="false" customHeight="false" outlineLevel="0" collapsed="false">
      <c r="A35" s="2"/>
      <c r="B35" s="5" t="s">
        <v>1001</v>
      </c>
      <c r="C35" s="5" t="s">
        <v>1002</v>
      </c>
      <c r="D35" s="87"/>
      <c r="E35" s="87"/>
      <c r="F35" s="87"/>
      <c r="G35" s="53" t="str">
        <f aca="false">IF(AND(ISNUMBER(E35),ISNUMBER(F35),E35&lt;&gt;0),F35/E35,"")</f>
        <v/>
      </c>
      <c r="H35" s="87"/>
      <c r="I35" s="87"/>
      <c r="J35" s="87"/>
      <c r="K35" s="19" t="s">
        <v>1003</v>
      </c>
    </row>
    <row r="36" customFormat="false" ht="15" hidden="false" customHeight="false" outlineLevel="0" collapsed="false">
      <c r="A36" s="2"/>
      <c r="B36" s="5" t="s">
        <v>1004</v>
      </c>
      <c r="C36" s="5" t="s">
        <v>1005</v>
      </c>
      <c r="D36" s="87"/>
      <c r="E36" s="46" t="n">
        <f aca="false">Entrées!$C$115</f>
        <v>1152</v>
      </c>
      <c r="F36" s="46" t="n">
        <f aca="false">Entrées!$C$116</f>
        <v>225.4</v>
      </c>
      <c r="G36" s="53" t="n">
        <f aca="false">IF(AND(ISNUMBER(E36),ISNUMBER(F36),E36&lt;&gt;0),F36/E36,"")</f>
        <v>0.195659722222222</v>
      </c>
      <c r="H36" s="87"/>
      <c r="I36" s="88" t="s">
        <v>426</v>
      </c>
      <c r="J36" s="88" t="s">
        <v>1006</v>
      </c>
      <c r="K36" s="19" t="s">
        <v>1007</v>
      </c>
    </row>
    <row r="37" customFormat="false" ht="15" hidden="false" customHeight="false" outlineLevel="0" collapsed="false">
      <c r="A37" s="2"/>
      <c r="B37" s="5" t="s">
        <v>1008</v>
      </c>
      <c r="C37" s="5" t="s">
        <v>1002</v>
      </c>
      <c r="D37" s="87"/>
      <c r="E37" s="87"/>
      <c r="F37" s="87"/>
      <c r="G37" s="53" t="str">
        <f aca="false">IF(AND(ISNUMBER(E37),ISNUMBER(F37),E37&lt;&gt;0),F37/E37,"")</f>
        <v/>
      </c>
      <c r="H37" s="87"/>
      <c r="I37" s="87"/>
      <c r="J37" s="87"/>
      <c r="K37" s="19" t="s">
        <v>1009</v>
      </c>
    </row>
    <row r="38" customFormat="false" ht="15" hidden="false" customHeight="false" outlineLevel="0" collapsed="false">
      <c r="A38" s="2"/>
      <c r="B38" s="5" t="s">
        <v>1010</v>
      </c>
      <c r="C38" s="5" t="s">
        <v>1002</v>
      </c>
      <c r="D38" s="87"/>
      <c r="E38" s="87"/>
      <c r="F38" s="87"/>
      <c r="G38" s="53" t="str">
        <f aca="false">IF(AND(ISNUMBER(E38),ISNUMBER(F38),E38&lt;&gt;0),F38/E38,"")</f>
        <v/>
      </c>
      <c r="H38" s="87"/>
      <c r="I38" s="87"/>
      <c r="J38" s="87"/>
      <c r="K38" s="19" t="s">
        <v>1011</v>
      </c>
    </row>
    <row r="39" customFormat="false" ht="15" hidden="false" customHeight="false" outlineLevel="0" collapsed="false">
      <c r="A39" s="2"/>
      <c r="B39" s="5" t="s">
        <v>1012</v>
      </c>
      <c r="C39" s="5" t="s">
        <v>1013</v>
      </c>
      <c r="D39" s="87"/>
      <c r="E39" s="87"/>
      <c r="F39" s="87"/>
      <c r="G39" s="53" t="str">
        <f aca="false">IF(AND(ISNUMBER(E39),ISNUMBER(F39),E39&lt;&gt;0),F39/E39,"")</f>
        <v/>
      </c>
      <c r="H39" s="87"/>
      <c r="I39" s="87"/>
      <c r="J39" s="87"/>
      <c r="K39" s="19" t="s">
        <v>1014</v>
      </c>
    </row>
    <row r="40" customFormat="false" ht="15" hidden="false" customHeight="false" outlineLevel="0" collapsed="false">
      <c r="A40" s="2"/>
      <c r="B40" s="5" t="s">
        <v>1015</v>
      </c>
      <c r="C40" s="2"/>
      <c r="D40" s="2"/>
      <c r="E40" s="2"/>
      <c r="F40" s="2"/>
      <c r="G40" s="53" t="n">
        <f aca="false">Entrées!$C$118/100</f>
        <v>0.196</v>
      </c>
      <c r="H40" s="2"/>
      <c r="I40" s="2"/>
      <c r="J40" s="2"/>
      <c r="K40" s="19" t="s">
        <v>434</v>
      </c>
    </row>
    <row r="41" customFormat="false" ht="15" hidden="false" customHeight="false" outlineLevel="0" collapsed="false">
      <c r="A41" s="2"/>
      <c r="B41" s="3" t="s">
        <v>1016</v>
      </c>
      <c r="C41" s="2"/>
      <c r="D41" s="2"/>
      <c r="E41" s="2"/>
      <c r="F41" s="2"/>
      <c r="G41" s="2"/>
      <c r="H41" s="2"/>
      <c r="I41" s="2"/>
      <c r="J41" s="2"/>
      <c r="K41" s="2"/>
    </row>
  </sheetData>
  <mergeCells count="2">
    <mergeCell ref="B14:E14"/>
    <mergeCell ref="B31:E3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5" min="3" style="0" width="12"/>
    <col collapsed="false" customWidth="true" hidden="false" outlineLevel="0" max="6" min="6" style="0" width="40"/>
    <col collapsed="false" customWidth="true" hidden="false" outlineLevel="0" max="7" min="7" style="0" width="11"/>
  </cols>
  <sheetData>
    <row r="1" customFormat="false" ht="17.35" hidden="false" customHeight="false" outlineLevel="0" collapsed="false">
      <c r="A1" s="1" t="s">
        <v>1017</v>
      </c>
      <c r="B1" s="2"/>
      <c r="C1" s="2"/>
      <c r="D1" s="2"/>
      <c r="E1" s="2"/>
      <c r="F1" s="2"/>
      <c r="G1" s="2"/>
    </row>
    <row r="2" customFormat="false" ht="15" hidden="false" customHeight="false" outlineLevel="0" collapsed="false">
      <c r="A2" s="3" t="s">
        <v>1018</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17" t="s">
        <v>681</v>
      </c>
      <c r="B4" s="17" t="s">
        <v>1019</v>
      </c>
      <c r="C4" s="2"/>
      <c r="D4" s="2"/>
      <c r="E4" s="2"/>
      <c r="F4" s="2"/>
      <c r="G4" s="2"/>
    </row>
    <row r="5" customFormat="false" ht="15" hidden="false" customHeight="false" outlineLevel="0" collapsed="false">
      <c r="A5" s="16"/>
      <c r="B5" s="16" t="s">
        <v>1020</v>
      </c>
      <c r="C5" s="16" t="s">
        <v>159</v>
      </c>
      <c r="D5" s="16" t="s">
        <v>106</v>
      </c>
      <c r="E5" s="16" t="s">
        <v>113</v>
      </c>
      <c r="F5" s="16" t="s">
        <v>605</v>
      </c>
      <c r="G5" s="89" t="s">
        <v>1021</v>
      </c>
    </row>
    <row r="6" customFormat="false" ht="15" hidden="false" customHeight="false" outlineLevel="0" collapsed="false">
      <c r="A6" s="2"/>
      <c r="B6" s="17" t="s">
        <v>1022</v>
      </c>
      <c r="C6" s="47" t="n">
        <f aca="false">Entrées!$C$104</f>
        <v>1220</v>
      </c>
      <c r="D6" s="47" t="n">
        <f aca="false">Entrées!$C$105</f>
        <v>1214</v>
      </c>
      <c r="E6" s="47" t="n">
        <f aca="false">Entrées!$C$49</f>
        <v>1290</v>
      </c>
      <c r="F6" s="19" t="s">
        <v>1023</v>
      </c>
      <c r="G6" s="50" t="n">
        <f aca="false">E6-D6</f>
        <v>76</v>
      </c>
    </row>
    <row r="7" customFormat="false" ht="15" hidden="false" customHeight="false" outlineLevel="0" collapsed="false">
      <c r="A7" s="2"/>
      <c r="B7" s="5" t="s">
        <v>1024</v>
      </c>
      <c r="C7" s="2"/>
      <c r="D7" s="47" t="n">
        <f aca="false">Entrées!$C$106</f>
        <v>418</v>
      </c>
      <c r="E7" s="47" t="n">
        <f aca="false">Entrées!$C$107</f>
        <v>472</v>
      </c>
      <c r="F7" s="19" t="s">
        <v>1025</v>
      </c>
      <c r="G7" s="51" t="n">
        <f aca="false">E7-D7</f>
        <v>54</v>
      </c>
    </row>
    <row r="8" customFormat="false" ht="15" hidden="false" customHeight="false" outlineLevel="0" collapsed="false">
      <c r="A8" s="2"/>
      <c r="B8" s="5" t="s">
        <v>1026</v>
      </c>
      <c r="C8" s="2"/>
      <c r="D8" s="47" t="n">
        <f aca="false">Entrées!$C$108</f>
        <v>454</v>
      </c>
      <c r="E8" s="47" t="n">
        <f aca="false">Entrées!$C$50</f>
        <v>461</v>
      </c>
      <c r="F8" s="19" t="s">
        <v>1027</v>
      </c>
      <c r="G8" s="51" t="n">
        <f aca="false">E8-D8</f>
        <v>7</v>
      </c>
    </row>
    <row r="9" customFormat="false" ht="15" hidden="false" customHeight="false" outlineLevel="0" collapsed="false">
      <c r="A9" s="2"/>
      <c r="B9" s="5" t="s">
        <v>1028</v>
      </c>
      <c r="C9" s="2"/>
      <c r="D9" s="47" t="n">
        <f aca="false">Entrées!$C$109</f>
        <v>315</v>
      </c>
      <c r="E9" s="47" t="n">
        <f aca="false">Entrées!$C$110</f>
        <v>328</v>
      </c>
      <c r="F9" s="19" t="s">
        <v>1029</v>
      </c>
      <c r="G9" s="51" t="n">
        <f aca="false">E9-D9</f>
        <v>13</v>
      </c>
    </row>
    <row r="10" customFormat="false" ht="15" hidden="false" customHeight="false" outlineLevel="0" collapsed="false">
      <c r="A10" s="2"/>
      <c r="B10" s="2"/>
      <c r="C10" s="2"/>
      <c r="D10" s="2"/>
      <c r="E10" s="2"/>
      <c r="F10" s="2"/>
      <c r="G10" s="2"/>
    </row>
    <row r="11" customFormat="false" ht="15" hidden="false" customHeight="false" outlineLevel="0" collapsed="false">
      <c r="A11" s="2"/>
      <c r="B11" s="5" t="s">
        <v>1030</v>
      </c>
      <c r="C11" s="47" t="n">
        <f aca="false">Entrées!$C$47</f>
        <v>1106</v>
      </c>
      <c r="D11" s="19" t="s">
        <v>69</v>
      </c>
      <c r="E11" s="19" t="s">
        <v>220</v>
      </c>
      <c r="F11" s="2"/>
      <c r="G11" s="2"/>
    </row>
    <row r="12" customFormat="false" ht="15" hidden="false" customHeight="false" outlineLevel="0" collapsed="false">
      <c r="A12" s="2"/>
      <c r="B12" s="5" t="s">
        <v>1031</v>
      </c>
      <c r="C12" s="47" t="n">
        <f aca="false">Entrées!$C$48</f>
        <v>53</v>
      </c>
      <c r="D12" s="19" t="s">
        <v>69</v>
      </c>
      <c r="E12" s="19" t="s">
        <v>224</v>
      </c>
      <c r="F12" s="2"/>
      <c r="G12" s="2"/>
    </row>
    <row r="13" customFormat="false" ht="15" hidden="false" customHeight="false" outlineLevel="0" collapsed="false">
      <c r="A13" s="2"/>
      <c r="B13" s="5" t="s">
        <v>1032</v>
      </c>
      <c r="C13" s="47" t="n">
        <f aca="false">Entrées!$C$111</f>
        <v>55</v>
      </c>
      <c r="D13" s="19" t="s">
        <v>69</v>
      </c>
      <c r="E13" s="19" t="s">
        <v>412</v>
      </c>
      <c r="F13" s="2"/>
      <c r="G13" s="2"/>
    </row>
    <row r="14" customFormat="false" ht="15" hidden="false" customHeight="false" outlineLevel="0" collapsed="false">
      <c r="A14" s="2"/>
      <c r="B14" s="17" t="s">
        <v>1033</v>
      </c>
      <c r="C14" s="50" t="n">
        <f aca="false">SUM(C11:C13)</f>
        <v>1214</v>
      </c>
      <c r="D14" s="19" t="s">
        <v>69</v>
      </c>
      <c r="E14" s="19" t="s">
        <v>1034</v>
      </c>
      <c r="F14" s="2"/>
      <c r="G14" s="2"/>
    </row>
    <row r="15" customFormat="false" ht="15" hidden="false" customHeight="false" outlineLevel="0" collapsed="false">
      <c r="A15" s="2"/>
      <c r="B15" s="5" t="s">
        <v>1035</v>
      </c>
      <c r="C15" s="47" t="n">
        <f aca="false">Entrées!$C$112</f>
        <v>72</v>
      </c>
      <c r="D15" s="19" t="s">
        <v>69</v>
      </c>
      <c r="E15" s="19" t="s">
        <v>415</v>
      </c>
      <c r="F15" s="2"/>
      <c r="G15" s="2"/>
    </row>
    <row r="16" customFormat="false" ht="15" hidden="false" customHeight="false" outlineLevel="0" collapsed="false">
      <c r="A16" s="2"/>
      <c r="B16" s="5" t="s">
        <v>1036</v>
      </c>
      <c r="C16" s="57" t="n">
        <f aca="false">Entrées!$C$105/Entrées!$C$8</f>
        <v>0.172198581560284</v>
      </c>
      <c r="D16" s="19" t="s">
        <v>99</v>
      </c>
      <c r="E16" s="19"/>
      <c r="F16" s="2"/>
      <c r="G16" s="2"/>
    </row>
    <row r="17" customFormat="false" ht="15" hidden="false" customHeight="false" outlineLevel="0" collapsed="false">
      <c r="A17" s="2"/>
      <c r="B17" s="2"/>
      <c r="C17" s="2"/>
      <c r="D17" s="2"/>
      <c r="E17" s="2"/>
      <c r="F17" s="2"/>
      <c r="G17" s="2"/>
    </row>
    <row r="18" customFormat="false" ht="15" hidden="false" customHeight="false" outlineLevel="0" collapsed="false">
      <c r="A18" s="17" t="s">
        <v>694</v>
      </c>
      <c r="B18" s="17" t="s">
        <v>1037</v>
      </c>
      <c r="C18" s="2"/>
      <c r="D18" s="2"/>
      <c r="E18" s="2"/>
      <c r="F18" s="2"/>
      <c r="G18" s="2"/>
    </row>
    <row r="19" customFormat="false" ht="15" hidden="false" customHeight="false" outlineLevel="0" collapsed="false">
      <c r="A19" s="2"/>
      <c r="B19" s="5" t="s">
        <v>1038</v>
      </c>
      <c r="C19" s="47" t="n">
        <f aca="false">Entrées!$C$46</f>
        <v>2542</v>
      </c>
      <c r="D19" s="19" t="s">
        <v>69</v>
      </c>
      <c r="E19" s="19" t="s">
        <v>218</v>
      </c>
      <c r="F19" s="2"/>
      <c r="G19" s="2"/>
    </row>
    <row r="20" customFormat="false" ht="15" hidden="false" customHeight="false" outlineLevel="0" collapsed="false">
      <c r="A20" s="2"/>
      <c r="B20" s="5" t="s">
        <v>1039</v>
      </c>
      <c r="C20" s="47" t="n">
        <f aca="false">Entrées!$C$103</f>
        <v>2066</v>
      </c>
      <c r="D20" s="19" t="s">
        <v>69</v>
      </c>
      <c r="E20" s="19" t="s">
        <v>391</v>
      </c>
      <c r="F20" s="2"/>
      <c r="G20" s="2"/>
    </row>
    <row r="21" customFormat="false" ht="15" hidden="false" customHeight="false" outlineLevel="0" collapsed="false">
      <c r="A21" s="2"/>
      <c r="B21" s="17" t="s">
        <v>1040</v>
      </c>
      <c r="C21" s="55" t="n">
        <f aca="false">C20/C19</f>
        <v>0.812745869394178</v>
      </c>
      <c r="D21" s="19" t="s">
        <v>265</v>
      </c>
      <c r="E21" s="19" t="s">
        <v>1041</v>
      </c>
      <c r="F21" s="2"/>
      <c r="G21" s="2"/>
    </row>
    <row r="22" customFormat="false" ht="15" hidden="false" customHeight="false" outlineLevel="0" collapsed="false">
      <c r="A22" s="2"/>
      <c r="B22" s="5" t="s">
        <v>1042</v>
      </c>
      <c r="C22" s="51" t="n">
        <f aca="false">G7</f>
        <v>54</v>
      </c>
      <c r="D22" s="19" t="s">
        <v>69</v>
      </c>
      <c r="E22" s="19" t="s">
        <v>1043</v>
      </c>
      <c r="F22" s="2"/>
      <c r="G22" s="2"/>
    </row>
    <row r="23" customFormat="false" ht="15" hidden="false" customHeight="false" outlineLevel="0" collapsed="false">
      <c r="A23" s="2"/>
      <c r="B23" s="5" t="s">
        <v>1044</v>
      </c>
      <c r="C23" s="51" t="n">
        <f aca="false">Entrées!$C$114-Entrées!$C$113</f>
        <v>30</v>
      </c>
      <c r="D23" s="19" t="s">
        <v>69</v>
      </c>
      <c r="E23" s="19" t="s">
        <v>1045</v>
      </c>
      <c r="F23" s="2"/>
      <c r="G23" s="2"/>
    </row>
    <row r="24" customFormat="false" ht="15" hidden="false" customHeight="false" outlineLevel="0" collapsed="false">
      <c r="A24" s="2"/>
      <c r="B24" s="17" t="s">
        <v>1046</v>
      </c>
      <c r="C24" s="37"/>
      <c r="D24" s="19" t="s">
        <v>69</v>
      </c>
      <c r="E24" s="19" t="s">
        <v>1047</v>
      </c>
      <c r="F24" s="2"/>
      <c r="G24" s="2"/>
    </row>
    <row r="25" customFormat="false" ht="15" hidden="false" customHeight="false" outlineLevel="0" collapsed="false">
      <c r="A25" s="2"/>
      <c r="B25" s="17" t="s">
        <v>1048</v>
      </c>
      <c r="C25" s="60" t="n">
        <f aca="false">IF(ISNUMBER(C24),C24/Trajectoire!$D$40,0)</f>
        <v>0</v>
      </c>
      <c r="D25" s="19" t="s">
        <v>99</v>
      </c>
      <c r="E25" s="19" t="s">
        <v>1049</v>
      </c>
      <c r="F25" s="2"/>
      <c r="G25" s="2"/>
    </row>
    <row r="26" customFormat="false" ht="43.5" hidden="false" customHeight="true" outlineLevel="0" collapsed="false">
      <c r="A26" s="2"/>
      <c r="B26" s="56" t="s">
        <v>1050</v>
      </c>
      <c r="C26" s="56"/>
      <c r="D26" s="56"/>
      <c r="E26" s="56"/>
      <c r="F26" s="56"/>
      <c r="G26" s="2"/>
    </row>
  </sheetData>
  <mergeCells count="1">
    <mergeCell ref="B26:F2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4"/>
    <col collapsed="false" customWidth="true" hidden="false" outlineLevel="0" max="6" min="4" style="0" width="16"/>
    <col collapsed="false" customWidth="true" hidden="false" outlineLevel="0" max="7" min="7" style="0" width="18"/>
    <col collapsed="false" customWidth="true" hidden="false" outlineLevel="0" max="8" min="8" style="0" width="46"/>
    <col collapsed="false" customWidth="true" hidden="false" outlineLevel="0" max="9" min="9" style="0" width="7"/>
  </cols>
  <sheetData>
    <row r="1" customFormat="false" ht="17.35" hidden="false" customHeight="false" outlineLevel="0" collapsed="false">
      <c r="A1" s="1" t="s">
        <v>1051</v>
      </c>
      <c r="B1" s="2"/>
      <c r="C1" s="2"/>
      <c r="D1" s="2"/>
      <c r="E1" s="2"/>
      <c r="F1" s="2"/>
      <c r="G1" s="2"/>
      <c r="H1" s="2"/>
      <c r="I1" s="2"/>
    </row>
    <row r="2" customFormat="false" ht="15" hidden="false" customHeight="false" outlineLevel="0" collapsed="false">
      <c r="A2" s="3" t="s">
        <v>1052</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17" t="s">
        <v>681</v>
      </c>
      <c r="B4" s="17" t="s">
        <v>1053</v>
      </c>
      <c r="C4" s="2"/>
      <c r="D4" s="2"/>
      <c r="E4" s="2"/>
      <c r="F4" s="2"/>
      <c r="G4" s="2"/>
      <c r="H4" s="2"/>
      <c r="I4" s="2"/>
    </row>
    <row r="5" customFormat="false" ht="15" hidden="false" customHeight="false" outlineLevel="0" collapsed="false">
      <c r="A5" s="16"/>
      <c r="B5" s="16" t="s">
        <v>1054</v>
      </c>
      <c r="C5" s="16" t="s">
        <v>1055</v>
      </c>
      <c r="D5" s="16" t="s">
        <v>1056</v>
      </c>
      <c r="E5" s="16" t="s">
        <v>1057</v>
      </c>
      <c r="F5" s="16" t="s">
        <v>1058</v>
      </c>
      <c r="G5" s="2"/>
      <c r="H5" s="2"/>
      <c r="I5" s="2"/>
    </row>
    <row r="6" customFormat="false" ht="15" hidden="false" customHeight="false" outlineLevel="0" collapsed="false">
      <c r="A6" s="2"/>
      <c r="B6" s="17" t="s">
        <v>1059</v>
      </c>
      <c r="C6" s="86" t="n">
        <f aca="false">Trajectoire!$AA$45</f>
        <v>-500.000711943791</v>
      </c>
      <c r="D6" s="86" t="n">
        <f aca="false">Trajectoire!$D$45</f>
        <v>1570.67466937297</v>
      </c>
      <c r="E6" s="86" t="n">
        <f aca="false">Trajectoire!$AB$45</f>
        <v>3490.715111665</v>
      </c>
      <c r="F6" s="2"/>
      <c r="G6" s="2"/>
      <c r="H6" s="2"/>
      <c r="I6" s="2"/>
    </row>
    <row r="7" customFormat="false" ht="15" hidden="false" customHeight="false" outlineLevel="0" collapsed="false">
      <c r="A7" s="2"/>
      <c r="B7" s="38" t="n">
        <v>8</v>
      </c>
      <c r="C7" s="51" t="n">
        <f aca="false">IF($B7&gt;Hypothèses!$C$25,MAX(0,C$6)/(1-Hypothèses!$C$25/$B7),0)</f>
        <v>0</v>
      </c>
      <c r="D7" s="51" t="n">
        <f aca="false">IF($B7&gt;Hypothèses!$C$25,MAX(0,D$6)/(1-Hypothèses!$C$25/$B7),0)</f>
        <v>2513.07947099675</v>
      </c>
      <c r="E7" s="51" t="n">
        <f aca="false">IF($B7&gt;Hypothèses!$C$25,MAX(0,E$6)/(1-Hypothèses!$C$25/$B7),0)</f>
        <v>5585.144178664</v>
      </c>
      <c r="F7" s="19" t="s">
        <v>1060</v>
      </c>
      <c r="G7" s="2"/>
      <c r="H7" s="2"/>
      <c r="I7" s="2"/>
    </row>
    <row r="8" customFormat="false" ht="15" hidden="false" customHeight="false" outlineLevel="0" collapsed="false">
      <c r="A8" s="2"/>
      <c r="B8" s="69" t="n">
        <f aca="false">Entrées!$C$53</f>
        <v>9.8</v>
      </c>
      <c r="C8" s="51" t="n">
        <f aca="false">IF($B8&gt;Hypothèses!$C$25,MAX(0,C$6)/(1-Hypothèses!$C$25/$B8),0)</f>
        <v>0</v>
      </c>
      <c r="D8" s="51" t="n">
        <f aca="false">IF($B8&gt;Hypothèses!$C$25,MAX(0,D$6)/(1-Hypothèses!$C$25/$B8),0)</f>
        <v>2263.61937644927</v>
      </c>
      <c r="E8" s="51" t="n">
        <f aca="false">IF($B8&gt;Hypothèses!$C$25,MAX(0,E$6)/(1-Hypothèses!$C$25/$B8),0)</f>
        <v>5030.73648445838</v>
      </c>
      <c r="F8" s="19" t="s">
        <v>1061</v>
      </c>
      <c r="G8" s="2"/>
      <c r="H8" s="2"/>
      <c r="I8" s="2"/>
    </row>
    <row r="9" customFormat="false" ht="15" hidden="false" customHeight="false" outlineLevel="0" collapsed="false">
      <c r="A9" s="2"/>
      <c r="B9" s="38" t="n">
        <v>12</v>
      </c>
      <c r="C9" s="51" t="n">
        <f aca="false">IF($B9&gt;Hypothèses!$C$25,MAX(0,C$6)/(1-Hypothèses!$C$25/$B9),0)</f>
        <v>0</v>
      </c>
      <c r="D9" s="51" t="n">
        <f aca="false">IF($B9&gt;Hypothèses!$C$25,MAX(0,D$6)/(1-Hypothèses!$C$25/$B9),0)</f>
        <v>2094.23289249729</v>
      </c>
      <c r="E9" s="51" t="n">
        <f aca="false">IF($B9&gt;Hypothèses!$C$25,MAX(0,E$6)/(1-Hypothèses!$C$25/$B9),0)</f>
        <v>4654.28681555333</v>
      </c>
      <c r="F9" s="19" t="s">
        <v>1062</v>
      </c>
      <c r="G9" s="2"/>
      <c r="H9" s="2"/>
      <c r="I9" s="2"/>
    </row>
    <row r="10" customFormat="false" ht="15" hidden="false" customHeight="false" outlineLevel="0" collapsed="false">
      <c r="A10" s="2"/>
      <c r="B10" s="69" t="n">
        <f aca="false">Entrées!$C$51*1000/Entrées!$C$56</f>
        <v>15</v>
      </c>
      <c r="C10" s="51" t="n">
        <f aca="false">IF($B10&gt;Hypothèses!$C$25,MAX(0,C$6)/(1-Hypothèses!$C$25/$B10),0)</f>
        <v>0</v>
      </c>
      <c r="D10" s="51" t="n">
        <f aca="false">IF($B10&gt;Hypothèses!$C$25,MAX(0,D$6)/(1-Hypothèses!$C$25/$B10),0)</f>
        <v>1963.34333671621</v>
      </c>
      <c r="E10" s="51" t="n">
        <f aca="false">IF($B10&gt;Hypothèses!$C$25,MAX(0,E$6)/(1-Hypothèses!$C$25/$B10),0)</f>
        <v>4363.39388958125</v>
      </c>
      <c r="F10" s="19" t="s">
        <v>1063</v>
      </c>
      <c r="G10" s="2"/>
      <c r="H10" s="2"/>
      <c r="I10" s="2"/>
    </row>
    <row r="11" customFormat="false" ht="15" hidden="false" customHeight="false" outlineLevel="0" collapsed="false">
      <c r="A11" s="2"/>
      <c r="B11" s="3" t="s">
        <v>1064</v>
      </c>
      <c r="C11" s="2"/>
      <c r="D11" s="2"/>
      <c r="E11" s="2"/>
      <c r="F11" s="2"/>
      <c r="G11" s="2"/>
      <c r="H11" s="2"/>
      <c r="I11" s="2"/>
    </row>
    <row r="12" customFormat="false" ht="15" hidden="false" customHeight="false" outlineLevel="0" collapsed="false">
      <c r="A12" s="2"/>
      <c r="B12" s="2"/>
      <c r="C12" s="2"/>
      <c r="D12" s="2"/>
      <c r="E12" s="2"/>
      <c r="F12" s="2"/>
      <c r="G12" s="2"/>
      <c r="H12" s="2"/>
      <c r="I12" s="2"/>
    </row>
    <row r="13" customFormat="false" ht="15" hidden="false" customHeight="false" outlineLevel="0" collapsed="false">
      <c r="A13" s="17" t="s">
        <v>694</v>
      </c>
      <c r="B13" s="17" t="s">
        <v>1065</v>
      </c>
      <c r="C13" s="2"/>
      <c r="D13" s="2"/>
      <c r="E13" s="2"/>
      <c r="F13" s="2"/>
      <c r="G13" s="2"/>
      <c r="H13" s="2"/>
      <c r="I13" s="2"/>
    </row>
    <row r="14" customFormat="false" ht="15" hidden="false" customHeight="false" outlineLevel="0" collapsed="false">
      <c r="A14" s="2"/>
      <c r="B14" s="5" t="s">
        <v>1066</v>
      </c>
      <c r="C14" s="51" t="n">
        <f aca="false">Entrées!$C$51*1000</f>
        <v>3000</v>
      </c>
      <c r="D14" s="19" t="s">
        <v>215</v>
      </c>
      <c r="E14" s="19" t="s">
        <v>233</v>
      </c>
      <c r="F14" s="2"/>
      <c r="G14" s="2"/>
      <c r="H14" s="2"/>
      <c r="I14" s="2"/>
    </row>
    <row r="15" customFormat="false" ht="15" hidden="false" customHeight="false" outlineLevel="0" collapsed="false">
      <c r="A15" s="2"/>
      <c r="B15" s="5" t="s">
        <v>1067</v>
      </c>
      <c r="C15" s="47" t="n">
        <f aca="false">Entrées!$C$56</f>
        <v>200</v>
      </c>
      <c r="D15" s="19" t="s">
        <v>215</v>
      </c>
      <c r="E15" s="19" t="s">
        <v>256</v>
      </c>
      <c r="F15" s="2"/>
      <c r="G15" s="2"/>
      <c r="H15" s="2"/>
      <c r="I15" s="2"/>
    </row>
    <row r="16" customFormat="false" ht="15" hidden="false" customHeight="false" outlineLevel="0" collapsed="false">
      <c r="A16" s="2"/>
      <c r="B16" s="5" t="s">
        <v>1068</v>
      </c>
      <c r="C16" s="47" t="n">
        <f aca="false">Entrées!$C$54</f>
        <v>120</v>
      </c>
      <c r="D16" s="19" t="s">
        <v>215</v>
      </c>
      <c r="E16" s="19" t="s">
        <v>248</v>
      </c>
      <c r="F16" s="2"/>
      <c r="G16" s="2"/>
      <c r="H16" s="2"/>
      <c r="I16" s="2"/>
    </row>
    <row r="17" customFormat="false" ht="15" hidden="false" customHeight="false" outlineLevel="0" collapsed="false">
      <c r="A17" s="2"/>
      <c r="B17" s="17" t="s">
        <v>1069</v>
      </c>
      <c r="C17" s="90" t="n">
        <f aca="false">C14/C15</f>
        <v>15</v>
      </c>
      <c r="D17" s="19" t="s">
        <v>99</v>
      </c>
      <c r="E17" s="19"/>
      <c r="F17" s="2"/>
      <c r="G17" s="2"/>
      <c r="H17" s="2"/>
      <c r="I17" s="2"/>
    </row>
    <row r="18" customFormat="false" ht="15" hidden="false" customHeight="false" outlineLevel="0" collapsed="false">
      <c r="A18" s="2"/>
      <c r="B18" s="17" t="s">
        <v>1070</v>
      </c>
      <c r="C18" s="90" t="n">
        <f aca="false">C14/(C15+C16)</f>
        <v>9.375</v>
      </c>
      <c r="D18" s="19" t="s">
        <v>99</v>
      </c>
      <c r="E18" s="19"/>
      <c r="F18" s="2"/>
      <c r="G18" s="2"/>
      <c r="H18" s="2"/>
      <c r="I18" s="2"/>
    </row>
    <row r="19" customFormat="false" ht="15" hidden="false" customHeight="false" outlineLevel="0" collapsed="false">
      <c r="A19" s="2"/>
      <c r="B19" s="5" t="s">
        <v>1071</v>
      </c>
      <c r="C19" s="69" t="n">
        <f aca="false">Entrées!$C$53</f>
        <v>9.8</v>
      </c>
      <c r="D19" s="19" t="s">
        <v>99</v>
      </c>
      <c r="E19" s="19" t="s">
        <v>244</v>
      </c>
      <c r="F19" s="2"/>
      <c r="G19" s="2"/>
      <c r="H19" s="2"/>
      <c r="I19" s="2"/>
    </row>
    <row r="20" customFormat="false" ht="30" hidden="false" customHeight="true" outlineLevel="0" collapsed="false">
      <c r="A20" s="2"/>
      <c r="B20" s="56" t="s">
        <v>1072</v>
      </c>
      <c r="C20" s="56"/>
      <c r="D20" s="56"/>
      <c r="E20" s="56"/>
      <c r="F20" s="56"/>
      <c r="G20" s="2"/>
      <c r="H20" s="2"/>
      <c r="I20" s="2"/>
    </row>
    <row r="21" customFormat="false" ht="15" hidden="false" customHeight="false" outlineLevel="0" collapsed="false">
      <c r="A21" s="2"/>
      <c r="B21" s="2"/>
      <c r="C21" s="2"/>
      <c r="D21" s="2"/>
      <c r="E21" s="2"/>
      <c r="F21" s="2"/>
      <c r="G21" s="2"/>
      <c r="H21" s="2"/>
      <c r="I21" s="2"/>
    </row>
    <row r="22" customFormat="false" ht="15" hidden="false" customHeight="false" outlineLevel="0" collapsed="false">
      <c r="A22" s="17" t="s">
        <v>741</v>
      </c>
      <c r="B22" s="17" t="s">
        <v>1073</v>
      </c>
      <c r="C22" s="2"/>
      <c r="D22" s="2"/>
      <c r="E22" s="2"/>
      <c r="F22" s="2"/>
      <c r="G22" s="2"/>
      <c r="H22" s="2"/>
      <c r="I22" s="2"/>
    </row>
    <row r="23" customFormat="false" ht="23.85" hidden="false" customHeight="false" outlineLevel="0" collapsed="false">
      <c r="A23" s="16"/>
      <c r="B23" s="16" t="s">
        <v>1074</v>
      </c>
      <c r="C23" s="16" t="s">
        <v>994</v>
      </c>
      <c r="D23" s="16" t="s">
        <v>1075</v>
      </c>
      <c r="E23" s="16" t="s">
        <v>1076</v>
      </c>
      <c r="F23" s="16" t="s">
        <v>1077</v>
      </c>
      <c r="G23" s="16" t="s">
        <v>1078</v>
      </c>
      <c r="H23" s="16" t="s">
        <v>62</v>
      </c>
      <c r="I23" s="16" t="s">
        <v>63</v>
      </c>
    </row>
    <row r="24" customFormat="false" ht="15" hidden="false" customHeight="false" outlineLevel="0" collapsed="false">
      <c r="A24" s="2"/>
      <c r="B24" s="91" t="s">
        <v>1079</v>
      </c>
      <c r="C24" s="91" t="s">
        <v>1002</v>
      </c>
      <c r="D24" s="91" t="s">
        <v>1080</v>
      </c>
      <c r="E24" s="47" t="n">
        <f aca="false">-Entrées!$C$81</f>
        <v>2778</v>
      </c>
      <c r="F24" s="69" t="n">
        <f aca="false">Entrées!$C$53</f>
        <v>9.8</v>
      </c>
      <c r="G24" s="5" t="str">
        <f aca="false">IF(AND(ISNUMBER(E24),ISNUMBER(F24)),IF(E24&lt;=IF(F24&gt;Hypothèses!$C$25,MAX(0,$D$6)/(1-Hypothèses!$C$25/F24),0),"oui","non"),"")</f>
        <v>non</v>
      </c>
      <c r="H24" s="19" t="s">
        <v>115</v>
      </c>
      <c r="I24" s="19" t="n">
        <v>25</v>
      </c>
    </row>
    <row r="25" customFormat="false" ht="15" hidden="false" customHeight="false" outlineLevel="0" collapsed="false">
      <c r="A25" s="2"/>
      <c r="B25" s="87"/>
      <c r="C25" s="87"/>
      <c r="D25" s="87"/>
      <c r="E25" s="37"/>
      <c r="F25" s="92"/>
      <c r="G25" s="5" t="str">
        <f aca="false">IF(AND(ISNUMBER(E25),ISNUMBER(F25)),IF(E25&lt;=IF(F25&gt;Hypothèses!$C$25,MAX(0,$D$6)/(1-Hypothèses!$C$25/F25),0),"oui","non"),"")</f>
        <v/>
      </c>
      <c r="H25" s="87"/>
      <c r="I25" s="87"/>
    </row>
    <row r="26" customFormat="false" ht="15" hidden="false" customHeight="false" outlineLevel="0" collapsed="false">
      <c r="A26" s="2"/>
      <c r="B26" s="87"/>
      <c r="C26" s="87"/>
      <c r="D26" s="87"/>
      <c r="E26" s="37"/>
      <c r="F26" s="92"/>
      <c r="G26" s="5" t="str">
        <f aca="false">IF(AND(ISNUMBER(E26),ISNUMBER(F26)),IF(E26&lt;=IF(F26&gt;Hypothèses!$C$25,MAX(0,$D$6)/(1-Hypothèses!$C$25/F26),0),"oui","non"),"")</f>
        <v/>
      </c>
      <c r="H26" s="87"/>
      <c r="I26" s="87"/>
    </row>
    <row r="27" customFormat="false" ht="15" hidden="false" customHeight="false" outlineLevel="0" collapsed="false">
      <c r="A27" s="2"/>
      <c r="B27" s="87"/>
      <c r="C27" s="87"/>
      <c r="D27" s="87"/>
      <c r="E27" s="37"/>
      <c r="F27" s="92"/>
      <c r="G27" s="5" t="str">
        <f aca="false">IF(AND(ISNUMBER(E27),ISNUMBER(F27)),IF(E27&lt;=IF(F27&gt;Hypothèses!$C$25,MAX(0,$D$6)/(1-Hypothèses!$C$25/F27),0),"oui","non"),"")</f>
        <v/>
      </c>
      <c r="H27" s="87"/>
      <c r="I27" s="87"/>
    </row>
    <row r="28" customFormat="false" ht="15" hidden="false" customHeight="false" outlineLevel="0" collapsed="false">
      <c r="A28" s="2"/>
      <c r="B28" s="87"/>
      <c r="C28" s="87"/>
      <c r="D28" s="87"/>
      <c r="E28" s="37"/>
      <c r="F28" s="92"/>
      <c r="G28" s="5" t="str">
        <f aca="false">IF(AND(ISNUMBER(E28),ISNUMBER(F28)),IF(E28&lt;=IF(F28&gt;Hypothèses!$C$25,MAX(0,$D$6)/(1-Hypothèses!$C$25/F28),0),"oui","non"),"")</f>
        <v/>
      </c>
      <c r="H28" s="87"/>
      <c r="I28" s="87"/>
    </row>
    <row r="29" customFormat="false" ht="15" hidden="false" customHeight="false" outlineLevel="0" collapsed="false">
      <c r="A29" s="2"/>
      <c r="B29" s="87"/>
      <c r="C29" s="87"/>
      <c r="D29" s="87"/>
      <c r="E29" s="37"/>
      <c r="F29" s="92"/>
      <c r="G29" s="5" t="str">
        <f aca="false">IF(AND(ISNUMBER(E29),ISNUMBER(F29)),IF(E29&lt;=IF(F29&gt;Hypothèses!$C$25,MAX(0,$D$6)/(1-Hypothèses!$C$25/F29),0),"oui","non"),"")</f>
        <v/>
      </c>
      <c r="H29" s="87"/>
      <c r="I29" s="87"/>
    </row>
    <row r="30" customFormat="false" ht="15" hidden="false" customHeight="false" outlineLevel="0" collapsed="false">
      <c r="A30" s="2"/>
      <c r="B30" s="87"/>
      <c r="C30" s="87"/>
      <c r="D30" s="87"/>
      <c r="E30" s="37"/>
      <c r="F30" s="92"/>
      <c r="G30" s="5" t="str">
        <f aca="false">IF(AND(ISNUMBER(E30),ISNUMBER(F30)),IF(E30&lt;=IF(F30&gt;Hypothèses!$C$25,MAX(0,$D$6)/(1-Hypothèses!$C$25/F30),0),"oui","non"),"")</f>
        <v/>
      </c>
      <c r="H30" s="87"/>
      <c r="I30" s="87"/>
    </row>
    <row r="31" customFormat="false" ht="15" hidden="false" customHeight="false" outlineLevel="0" collapsed="false">
      <c r="A31" s="2"/>
      <c r="B31" s="87"/>
      <c r="C31" s="87"/>
      <c r="D31" s="87"/>
      <c r="E31" s="37"/>
      <c r="F31" s="92"/>
      <c r="G31" s="5" t="str">
        <f aca="false">IF(AND(ISNUMBER(E31),ISNUMBER(F31)),IF(E31&lt;=IF(F31&gt;Hypothèses!$C$25,MAX(0,$D$6)/(1-Hypothèses!$C$25/F31),0),"oui","non"),"")</f>
        <v/>
      </c>
      <c r="H31" s="87"/>
      <c r="I31" s="87"/>
    </row>
    <row r="32" customFormat="false" ht="15" hidden="false" customHeight="false" outlineLevel="0" collapsed="false">
      <c r="A32" s="2"/>
      <c r="B32" s="87"/>
      <c r="C32" s="87"/>
      <c r="D32" s="87"/>
      <c r="E32" s="37"/>
      <c r="F32" s="92"/>
      <c r="G32" s="5" t="str">
        <f aca="false">IF(AND(ISNUMBER(E32),ISNUMBER(F32)),IF(E32&lt;=IF(F32&gt;Hypothèses!$C$25,MAX(0,$D$6)/(1-Hypothèses!$C$25/F32),0),"oui","non"),"")</f>
        <v/>
      </c>
      <c r="H32" s="87"/>
      <c r="I32" s="87"/>
    </row>
    <row r="33" customFormat="false" ht="15" hidden="false" customHeight="false" outlineLevel="0" collapsed="false">
      <c r="A33" s="2"/>
      <c r="B33" s="3" t="s">
        <v>1081</v>
      </c>
      <c r="C33" s="2"/>
      <c r="D33" s="2"/>
      <c r="E33" s="2"/>
      <c r="F33" s="2"/>
      <c r="G33" s="2"/>
      <c r="H33" s="2"/>
      <c r="I33" s="2"/>
    </row>
  </sheetData>
  <mergeCells count="1">
    <mergeCell ref="B20:F2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1082</v>
      </c>
      <c r="B1" s="2"/>
      <c r="C1" s="2"/>
      <c r="D1" s="2"/>
      <c r="E1" s="2"/>
      <c r="F1" s="2"/>
      <c r="G1" s="2"/>
    </row>
    <row r="2" customFormat="false" ht="15" hidden="false" customHeight="false" outlineLevel="0" collapsed="false">
      <c r="A2" s="3" t="s">
        <v>1083</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16" t="s">
        <v>1084</v>
      </c>
      <c r="B4" s="16" t="s">
        <v>1085</v>
      </c>
      <c r="C4" s="16" t="s">
        <v>1086</v>
      </c>
      <c r="D4" s="16" t="s">
        <v>1087</v>
      </c>
      <c r="E4" s="16" t="s">
        <v>1088</v>
      </c>
      <c r="F4" s="16" t="s">
        <v>1089</v>
      </c>
      <c r="G4" s="16" t="s">
        <v>1090</v>
      </c>
    </row>
    <row r="5" customFormat="false" ht="27.75" hidden="false" customHeight="true" outlineLevel="0" collapsed="false">
      <c r="A5" s="20" t="n">
        <v>1</v>
      </c>
      <c r="B5" s="32" t="s">
        <v>1091</v>
      </c>
      <c r="C5" s="49" t="n">
        <f aca="false">Levier!$C$8</f>
        <v>2.62507365939894</v>
      </c>
      <c r="D5" s="49" t="n">
        <f aca="false">Levier!$C$9</f>
        <v>2.63</v>
      </c>
      <c r="E5" s="93" t="n">
        <v>0.006</v>
      </c>
      <c r="F5" s="94" t="str">
        <f aca="false">IF(ABS(C5-D5)&lt;=E5,"OK","ÉCART")</f>
        <v>OK</v>
      </c>
      <c r="G5" s="19" t="s">
        <v>1092</v>
      </c>
    </row>
    <row r="6" customFormat="false" ht="27.75" hidden="false" customHeight="true" outlineLevel="0" collapsed="false">
      <c r="A6" s="20" t="n">
        <v>2</v>
      </c>
      <c r="B6" s="32" t="s">
        <v>1093</v>
      </c>
      <c r="C6" s="49" t="n">
        <f aca="false">Levier!$C$12</f>
        <v>2.78822695035461</v>
      </c>
      <c r="D6" s="49" t="n">
        <f aca="false">Levier!$C$13</f>
        <v>2.79</v>
      </c>
      <c r="E6" s="93" t="n">
        <v>0.006</v>
      </c>
      <c r="F6" s="94" t="str">
        <f aca="false">IF(ABS(C6-D6)&lt;=E6,"OK","ÉCART")</f>
        <v>OK</v>
      </c>
      <c r="G6" s="19" t="s">
        <v>1092</v>
      </c>
    </row>
    <row r="7" customFormat="false" ht="27.75" hidden="false" customHeight="true" outlineLevel="0" collapsed="false">
      <c r="A7" s="20" t="n">
        <v>3</v>
      </c>
      <c r="B7" s="32" t="s">
        <v>1094</v>
      </c>
      <c r="C7" s="47" t="n">
        <f aca="false">'Pont de dette'!$C$16</f>
        <v>24547</v>
      </c>
      <c r="D7" s="47" t="n">
        <f aca="false">'Pont de dette'!$C$17</f>
        <v>24548</v>
      </c>
      <c r="E7" s="95" t="n">
        <v>2</v>
      </c>
      <c r="F7" s="94" t="str">
        <f aca="false">IF(ABS(C7-D7)&lt;=E7,"OK","ÉCART")</f>
        <v>OK</v>
      </c>
      <c r="G7" s="19" t="s">
        <v>1092</v>
      </c>
    </row>
    <row r="8" customFormat="false" ht="27.75" hidden="false" customHeight="true" outlineLevel="0" collapsed="false">
      <c r="A8" s="20" t="n">
        <v>4</v>
      </c>
      <c r="B8" s="32" t="s">
        <v>1095</v>
      </c>
      <c r="C8" s="58" t="n">
        <f aca="false">Cessions!$C$9</f>
        <v>3.1</v>
      </c>
      <c r="D8" s="58" t="n">
        <f aca="false">Cessions!$C$10</f>
        <v>3.1</v>
      </c>
      <c r="E8" s="96" t="n">
        <v>0.001</v>
      </c>
      <c r="F8" s="94" t="str">
        <f aca="false">IF(ABS(C8-D8)&lt;=E8,"OK","ÉCART")</f>
        <v>OK</v>
      </c>
      <c r="G8" s="19" t="s">
        <v>1092</v>
      </c>
    </row>
    <row r="9" customFormat="false" ht="27.75" hidden="false" customHeight="true" outlineLevel="0" collapsed="false">
      <c r="A9" s="20" t="n">
        <v>5</v>
      </c>
      <c r="B9" s="32" t="s">
        <v>1096</v>
      </c>
      <c r="C9" s="47" t="n">
        <f aca="false">ESG!$C$14</f>
        <v>1214</v>
      </c>
      <c r="D9" s="47" t="n">
        <f aca="false">Entrées!$C$105</f>
        <v>1214</v>
      </c>
      <c r="E9" s="95" t="n">
        <v>0.5</v>
      </c>
      <c r="F9" s="94" t="str">
        <f aca="false">IF(ABS(C9-D9)&lt;=E9,"OK","ÉCART")</f>
        <v>OK</v>
      </c>
      <c r="G9" s="19" t="s">
        <v>1092</v>
      </c>
    </row>
    <row r="10" customFormat="false" ht="27.75" hidden="false" customHeight="true" outlineLevel="0" collapsed="false">
      <c r="A10" s="20" t="n">
        <v>6</v>
      </c>
      <c r="B10" s="32" t="s">
        <v>1097</v>
      </c>
      <c r="C10" s="51" t="n">
        <f aca="false">Entrées!$C$32*Entrées!$C$91/1000000</f>
        <v>1097.5460085</v>
      </c>
      <c r="D10" s="47" t="n">
        <f aca="false">Entrées!$C$79</f>
        <v>1099</v>
      </c>
      <c r="E10" s="95" t="n">
        <v>15</v>
      </c>
      <c r="F10" s="94" t="str">
        <f aca="false">IF(ABS(C10-D10)&lt;=E10,"OK","ÉCART")</f>
        <v>OK</v>
      </c>
      <c r="G10" s="19" t="s">
        <v>1092</v>
      </c>
    </row>
    <row r="11" customFormat="false" ht="27.75" hidden="false" customHeight="true" outlineLevel="0" collapsed="false">
      <c r="A11" s="20" t="n">
        <v>7</v>
      </c>
      <c r="B11" s="32" t="s">
        <v>1098</v>
      </c>
      <c r="C11" s="49" t="n">
        <f aca="false">Trajectoire!$D$32</f>
        <v>3.01771731406222</v>
      </c>
      <c r="D11" s="93" t="n">
        <v>3.075</v>
      </c>
      <c r="E11" s="93" t="n">
        <v>0.075</v>
      </c>
      <c r="F11" s="94" t="str">
        <f aca="false">IF(ABS(C11-D11)&lt;=E11,"OK","ÉCART")</f>
        <v>OK</v>
      </c>
      <c r="G11" s="19" t="s">
        <v>1092</v>
      </c>
    </row>
    <row r="12" customFormat="false" ht="27.75" hidden="false" customHeight="true" outlineLevel="0" collapsed="false">
      <c r="A12" s="20" t="n">
        <v>8</v>
      </c>
      <c r="B12" s="32" t="s">
        <v>1099</v>
      </c>
      <c r="C12" s="75" t="n">
        <f aca="false">Hypothèses!$C$18</f>
        <v>1.17584579071597</v>
      </c>
      <c r="D12" s="97" t="n">
        <v>1.175</v>
      </c>
      <c r="E12" s="97" t="n">
        <v>0.125</v>
      </c>
      <c r="F12" s="94" t="str">
        <f aca="false">IF(ABS(C12-D12)&lt;=E12,"OK","ÉCART")</f>
        <v>OK</v>
      </c>
      <c r="G12" s="19" t="s">
        <v>1092</v>
      </c>
    </row>
    <row r="13" customFormat="false" ht="27.75" hidden="false" customHeight="true" outlineLevel="0" collapsed="false">
      <c r="A13" s="20" t="n">
        <v>9</v>
      </c>
      <c r="B13" s="32" t="s">
        <v>1100</v>
      </c>
      <c r="C13" s="58" t="n">
        <f aca="false">Cessions!$C$16</f>
        <v>0.5</v>
      </c>
      <c r="D13" s="58" t="n">
        <f aca="false">Cessions!$C$17</f>
        <v>0.5</v>
      </c>
      <c r="E13" s="96" t="n">
        <v>0.001</v>
      </c>
      <c r="F13" s="94" t="str">
        <f aca="false">IF(ABS(C13-D13)&lt;=E13,"OK","ÉCART")</f>
        <v>OK</v>
      </c>
      <c r="G13" s="19" t="s">
        <v>1092</v>
      </c>
    </row>
    <row r="14" customFormat="false" ht="27.75" hidden="false" customHeight="true" outlineLevel="0" collapsed="false">
      <c r="A14" s="20" t="n">
        <v>10</v>
      </c>
      <c r="B14" s="32" t="s">
        <v>1101</v>
      </c>
      <c r="C14" s="51" t="n">
        <f aca="false">-Entrées!$C$141*1000</f>
        <v>400</v>
      </c>
      <c r="D14" s="47" t="n">
        <f aca="false">Entrées!$C$143</f>
        <v>397</v>
      </c>
      <c r="E14" s="95" t="n">
        <v>60</v>
      </c>
      <c r="F14" s="94" t="str">
        <f aca="false">IF(ABS(C14-D14)&lt;=E14,"OK","ÉCART")</f>
        <v>OK</v>
      </c>
      <c r="G14" s="19" t="s">
        <v>1092</v>
      </c>
    </row>
    <row r="15" customFormat="false" ht="27.75" hidden="false" customHeight="true" outlineLevel="0" collapsed="false">
      <c r="A15" s="20" t="n">
        <v>11</v>
      </c>
      <c r="B15" s="32" t="s">
        <v>1102</v>
      </c>
      <c r="C15" s="47" t="n">
        <f aca="false">Levier!$C$30</f>
        <v>24000</v>
      </c>
      <c r="D15" s="95" t="n">
        <v>24000</v>
      </c>
      <c r="E15" s="95" t="n">
        <v>1</v>
      </c>
      <c r="F15" s="94" t="str">
        <f aca="false">IF(ABS(C15-D15)&lt;=E15,"OK","ÉCART")</f>
        <v>OK</v>
      </c>
      <c r="G15" s="19" t="s">
        <v>1092</v>
      </c>
    </row>
    <row r="16" customFormat="false" ht="27.75" hidden="false" customHeight="true" outlineLevel="0" collapsed="false">
      <c r="A16" s="20" t="n">
        <v>12</v>
      </c>
      <c r="B16" s="32" t="s">
        <v>1103</v>
      </c>
      <c r="C16" s="47" t="n">
        <f aca="false">Trajectoire!$D$40</f>
        <v>7981.43050727668</v>
      </c>
      <c r="D16" s="47" t="n">
        <f aca="false">Entrées!$C$17*1000</f>
        <v>8000</v>
      </c>
      <c r="E16" s="42" t="s">
        <v>613</v>
      </c>
      <c r="F16" s="94" t="s">
        <v>1104</v>
      </c>
      <c r="G16" s="19" t="s">
        <v>1105</v>
      </c>
    </row>
    <row r="17" customFormat="false" ht="27.75" hidden="false" customHeight="true" outlineLevel="0" collapsed="false">
      <c r="A17" s="20" t="n">
        <v>13</v>
      </c>
      <c r="B17" s="32" t="s">
        <v>1106</v>
      </c>
      <c r="C17" s="47" t="n">
        <f aca="false">Levier!$C$46</f>
        <v>-63.7999999999993</v>
      </c>
      <c r="D17" s="95" t="n">
        <v>0</v>
      </c>
      <c r="E17" s="42" t="s">
        <v>613</v>
      </c>
      <c r="F17" s="94" t="s">
        <v>1104</v>
      </c>
      <c r="G17" s="19" t="s">
        <v>1105</v>
      </c>
    </row>
    <row r="18" customFormat="false" ht="27.75" hidden="false" customHeight="true" outlineLevel="0" collapsed="false">
      <c r="A18" s="20" t="n">
        <v>14</v>
      </c>
      <c r="B18" s="32" t="s">
        <v>1107</v>
      </c>
      <c r="C18" s="47" t="n">
        <f aca="false">'Pont de dette'!$C$35</f>
        <v>398</v>
      </c>
      <c r="D18" s="95" t="n">
        <v>0</v>
      </c>
      <c r="E18" s="42" t="s">
        <v>613</v>
      </c>
      <c r="F18" s="94" t="s">
        <v>1104</v>
      </c>
      <c r="G18" s="19" t="s">
        <v>1105</v>
      </c>
    </row>
    <row r="19" customFormat="false" ht="27.75" hidden="false" customHeight="true" outlineLevel="0" collapsed="false">
      <c r="A19" s="20" t="n">
        <v>15</v>
      </c>
      <c r="B19" s="32" t="s">
        <v>1108</v>
      </c>
      <c r="C19" s="47" t="n">
        <f aca="false">'Pont de dette'!$C$20</f>
        <v>236</v>
      </c>
      <c r="D19" s="95" t="n">
        <v>0</v>
      </c>
      <c r="E19" s="42" t="s">
        <v>613</v>
      </c>
      <c r="F19" s="94" t="s">
        <v>1104</v>
      </c>
      <c r="G19" s="19" t="s">
        <v>1105</v>
      </c>
    </row>
    <row r="20" customFormat="false" ht="27.75" hidden="false" customHeight="true" outlineLevel="0" collapsed="false">
      <c r="A20" s="20" t="n">
        <v>16</v>
      </c>
      <c r="B20" s="32" t="s">
        <v>1109</v>
      </c>
      <c r="C20" s="69" t="n">
        <f aca="false">Cibles!$C$18</f>
        <v>9.375</v>
      </c>
      <c r="D20" s="69" t="n">
        <f aca="false">Cibles!$C$19</f>
        <v>9.8</v>
      </c>
      <c r="E20" s="42" t="s">
        <v>613</v>
      </c>
      <c r="F20" s="94" t="s">
        <v>1104</v>
      </c>
      <c r="G20" s="19" t="s">
        <v>1105</v>
      </c>
    </row>
    <row r="21" customFormat="false" ht="27.75" hidden="false" customHeight="true" outlineLevel="0" collapsed="false">
      <c r="A21" s="20" t="n">
        <v>17</v>
      </c>
      <c r="B21" s="32" t="s">
        <v>1110</v>
      </c>
      <c r="C21" s="77" t="n">
        <f aca="false">COUNTIF(Entrées!$L$6:$L$172,"à relire")</f>
        <v>167</v>
      </c>
      <c r="D21" s="18" t="n">
        <v>0</v>
      </c>
      <c r="E21" s="42" t="s">
        <v>613</v>
      </c>
      <c r="F21" s="94" t="s">
        <v>1104</v>
      </c>
      <c r="G21" s="19" t="s">
        <v>1105</v>
      </c>
    </row>
    <row r="22" customFormat="false" ht="15" hidden="false" customHeight="false" outlineLevel="0" collapsed="false">
      <c r="A22" s="2"/>
      <c r="B22" s="2"/>
      <c r="C22" s="2"/>
      <c r="D22" s="2"/>
      <c r="E22" s="2"/>
      <c r="F22" s="2"/>
      <c r="G22" s="2"/>
    </row>
    <row r="23" customFormat="false" ht="15" hidden="false" customHeight="false" outlineLevel="0" collapsed="false">
      <c r="A23" s="2"/>
      <c r="B23" s="17" t="s">
        <v>1111</v>
      </c>
      <c r="C23" s="2"/>
      <c r="D23" s="2"/>
      <c r="E23" s="2"/>
      <c r="F23" s="94" t="str">
        <f aca="false">IF(COUNTIFS($G$5:$G$21,"Bloquant",$F$5:$F$21,"ÉCART")=0,"OK","ÉCART")</f>
        <v>OK</v>
      </c>
      <c r="G23" s="2"/>
    </row>
  </sheetData>
  <conditionalFormatting sqref="F5:F23">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2026-10-02T08:14:49Z</dcterms:created>
  <dc:creator>openpyxl</dc:creator>
  <dc:description/>
  <dc:language>en-US</dc:language>
  <cp:lastModifiedBy/>
  <dcterms:modified xsi:type="dcterms:W3CDTF">2026-10-02T10:14:53Z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